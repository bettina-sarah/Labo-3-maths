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X:\Cours\Math\Labs\Labo-3-maths\"/>
    </mc:Choice>
  </mc:AlternateContent>
  <xr:revisionPtr revIDLastSave="0" documentId="13_ncr:1_{34B5C171-CAE0-4D18-9BE6-058696165EC3}" xr6:coauthVersionLast="47" xr6:coauthVersionMax="47" xr10:uidLastSave="{00000000-0000-0000-0000-000000000000}"/>
  <bookViews>
    <workbookView xWindow="-120" yWindow="-120" windowWidth="29040" windowHeight="15840" activeTab="3" xr2:uid="{5057DBA8-19D2-4302-AAAB-8E2D77E01F24}"/>
  </bookViews>
  <sheets>
    <sheet name="Base de sondage" sheetId="1" r:id="rId1"/>
    <sheet name="Taille" sheetId="4" r:id="rId2"/>
    <sheet name="Heure" sheetId="5" r:id="rId3"/>
    <sheet name="Appéciation" sheetId="6" r:id="rId4"/>
    <sheet name="Avis" sheetId="7" r:id="rId5"/>
  </sheets>
  <definedNames>
    <definedName name="Appréciation">'Base de sondage'!$K$2:$K$144</definedName>
    <definedName name="Données">'Base de sondage'!$I$1:$K$144</definedName>
    <definedName name="Heures">'Base de sondage'!$J$2:$J$144</definedName>
    <definedName name="Identification">'Base de sondage'!$I$2:$I$144</definedName>
    <definedName name="Taille">'Base de sondage'!$H$2:$H$144</definedName>
  </definedNames>
  <calcPr calcId="191028"/>
  <pivotCaches>
    <pivotCache cacheId="2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5" i="5" l="1"/>
  <c r="H57" i="6"/>
  <c r="H53" i="6"/>
  <c r="H54" i="6"/>
  <c r="H55" i="6"/>
  <c r="H56" i="6"/>
  <c r="H52" i="6"/>
  <c r="I52" i="6" s="1"/>
  <c r="I53" i="6" s="1"/>
  <c r="I54" i="6" s="1"/>
  <c r="D41" i="5"/>
  <c r="D39" i="5"/>
  <c r="F7" i="5"/>
  <c r="F8" i="5"/>
  <c r="F9" i="5"/>
  <c r="F10" i="5"/>
  <c r="F11" i="5"/>
  <c r="F12" i="5"/>
  <c r="F13" i="5"/>
  <c r="F14" i="5"/>
  <c r="F6" i="5"/>
  <c r="G7" i="5" s="1"/>
  <c r="D26" i="5"/>
  <c r="D27" i="5"/>
  <c r="D31" i="5" s="1"/>
  <c r="D30" i="5"/>
  <c r="D34" i="5"/>
  <c r="D35" i="5" s="1"/>
  <c r="D36" i="5" s="1"/>
  <c r="D37" i="5" s="1"/>
  <c r="D90" i="5"/>
  <c r="B9" i="5"/>
  <c r="C6" i="4"/>
  <c r="E8" i="4" s="1"/>
  <c r="B7" i="5"/>
  <c r="B6" i="5"/>
  <c r="I3" i="1" a="1"/>
  <c r="I3" i="1" s="1"/>
  <c r="J3" i="1" a="1"/>
  <c r="J3" i="1" s="1"/>
  <c r="K3" i="1" a="1"/>
  <c r="K3" i="1" s="1"/>
  <c r="I4" i="1" a="1"/>
  <c r="I4" i="1"/>
  <c r="J4" i="1" a="1"/>
  <c r="J4" i="1" s="1"/>
  <c r="K4" i="1" a="1"/>
  <c r="K4" i="1" s="1"/>
  <c r="I5" i="1" a="1"/>
  <c r="I5" i="1" s="1"/>
  <c r="J5" i="1" a="1"/>
  <c r="J5" i="1" s="1"/>
  <c r="K5" i="1" a="1"/>
  <c r="K5" i="1" s="1"/>
  <c r="I6" i="1" a="1"/>
  <c r="I6" i="1" s="1"/>
  <c r="J6" i="1" a="1"/>
  <c r="J6" i="1" s="1"/>
  <c r="K6" i="1" a="1"/>
  <c r="K6" i="1" s="1"/>
  <c r="I7" i="1" a="1"/>
  <c r="I7" i="1" s="1"/>
  <c r="J7" i="1" a="1"/>
  <c r="J7" i="1" s="1"/>
  <c r="K7" i="1" a="1"/>
  <c r="K7" i="1" s="1"/>
  <c r="I8" i="1" a="1"/>
  <c r="I8" i="1" s="1"/>
  <c r="J8" i="1" a="1"/>
  <c r="J8" i="1" s="1"/>
  <c r="K8" i="1" a="1"/>
  <c r="K8" i="1" s="1"/>
  <c r="I9" i="1" a="1"/>
  <c r="I9" i="1" s="1"/>
  <c r="J9" i="1" a="1"/>
  <c r="J9" i="1" s="1"/>
  <c r="K9" i="1" a="1"/>
  <c r="K9" i="1" s="1"/>
  <c r="I10" i="1" a="1"/>
  <c r="I10" i="1" s="1"/>
  <c r="J10" i="1" a="1"/>
  <c r="J10" i="1" s="1"/>
  <c r="K10" i="1" a="1"/>
  <c r="K10" i="1"/>
  <c r="I11" i="1" a="1"/>
  <c r="I11" i="1" s="1"/>
  <c r="J11" i="1" a="1"/>
  <c r="J11" i="1" s="1"/>
  <c r="K11" i="1" a="1"/>
  <c r="K11" i="1" s="1"/>
  <c r="I12" i="1" a="1"/>
  <c r="I12" i="1" s="1"/>
  <c r="J12" i="1" a="1"/>
  <c r="J12" i="1" s="1"/>
  <c r="K12" i="1" a="1"/>
  <c r="K12" i="1" s="1"/>
  <c r="I13" i="1" a="1"/>
  <c r="I13" i="1" s="1"/>
  <c r="J13" i="1" a="1"/>
  <c r="J13" i="1"/>
  <c r="K13" i="1" a="1"/>
  <c r="K13" i="1" s="1"/>
  <c r="I14" i="1" a="1"/>
  <c r="I14" i="1" s="1"/>
  <c r="J14" i="1" a="1"/>
  <c r="J14" i="1" s="1"/>
  <c r="K14" i="1" a="1"/>
  <c r="K14" i="1" s="1"/>
  <c r="I15" i="1" a="1"/>
  <c r="I15" i="1" s="1"/>
  <c r="J15" i="1" a="1"/>
  <c r="J15" i="1" s="1"/>
  <c r="K15" i="1" a="1"/>
  <c r="K15" i="1" s="1"/>
  <c r="I16" i="1" a="1"/>
  <c r="I16" i="1" s="1"/>
  <c r="J16" i="1" a="1"/>
  <c r="J16" i="1" s="1"/>
  <c r="K16" i="1" a="1"/>
  <c r="K16" i="1" s="1"/>
  <c r="I17" i="1" a="1"/>
  <c r="I17" i="1" s="1"/>
  <c r="J17" i="1" a="1"/>
  <c r="J17" i="1" s="1"/>
  <c r="K17" i="1" a="1"/>
  <c r="K17" i="1" s="1"/>
  <c r="I18" i="1" a="1"/>
  <c r="I18" i="1" s="1"/>
  <c r="J18" i="1" a="1"/>
  <c r="J18" i="1" s="1"/>
  <c r="K18" i="1" a="1"/>
  <c r="K18" i="1" s="1"/>
  <c r="I19" i="1" a="1"/>
  <c r="I19" i="1" s="1"/>
  <c r="J19" i="1" a="1"/>
  <c r="J19" i="1" s="1"/>
  <c r="K19" i="1" a="1"/>
  <c r="K19" i="1" s="1"/>
  <c r="I20" i="1" a="1"/>
  <c r="I20" i="1" s="1"/>
  <c r="J20" i="1" a="1"/>
  <c r="J20" i="1" s="1"/>
  <c r="K20" i="1" a="1"/>
  <c r="K20" i="1" s="1"/>
  <c r="I21" i="1" a="1"/>
  <c r="I21" i="1" s="1"/>
  <c r="J21" i="1" a="1"/>
  <c r="J21" i="1"/>
  <c r="K21" i="1" a="1"/>
  <c r="K21" i="1" s="1"/>
  <c r="I22" i="1" a="1"/>
  <c r="I22" i="1" s="1"/>
  <c r="J22" i="1" a="1"/>
  <c r="J22" i="1" s="1"/>
  <c r="K22" i="1" a="1"/>
  <c r="K22" i="1" s="1"/>
  <c r="I23" i="1" a="1"/>
  <c r="I23" i="1" s="1"/>
  <c r="J23" i="1" a="1"/>
  <c r="J23" i="1" s="1"/>
  <c r="K23" i="1" a="1"/>
  <c r="K23" i="1" s="1"/>
  <c r="I24" i="1" a="1"/>
  <c r="I24" i="1"/>
  <c r="J24" i="1" a="1"/>
  <c r="J24" i="1" s="1"/>
  <c r="K24" i="1" a="1"/>
  <c r="K24" i="1" s="1"/>
  <c r="I25" i="1" a="1"/>
  <c r="I25" i="1" s="1"/>
  <c r="J25" i="1" a="1"/>
  <c r="J25" i="1"/>
  <c r="K25" i="1" a="1"/>
  <c r="K25" i="1" s="1"/>
  <c r="I26" i="1" a="1"/>
  <c r="I26" i="1" s="1"/>
  <c r="J26" i="1" a="1"/>
  <c r="J26" i="1" s="1"/>
  <c r="K26" i="1" a="1"/>
  <c r="K26" i="1" s="1"/>
  <c r="I27" i="1" a="1"/>
  <c r="I27" i="1" s="1"/>
  <c r="J27" i="1" a="1"/>
  <c r="J27" i="1" s="1"/>
  <c r="K27" i="1" a="1"/>
  <c r="K27" i="1" s="1"/>
  <c r="I28" i="1" a="1"/>
  <c r="I28" i="1" s="1"/>
  <c r="J28" i="1" a="1"/>
  <c r="J28" i="1" s="1"/>
  <c r="K28" i="1" a="1"/>
  <c r="K28" i="1" s="1"/>
  <c r="I29" i="1" a="1"/>
  <c r="I29" i="1" s="1"/>
  <c r="J29" i="1" a="1"/>
  <c r="J29" i="1" s="1"/>
  <c r="K29" i="1" a="1"/>
  <c r="K29" i="1" s="1"/>
  <c r="I30" i="1" a="1"/>
  <c r="I30" i="1" s="1"/>
  <c r="J30" i="1" a="1"/>
  <c r="J30" i="1" s="1"/>
  <c r="K30" i="1" a="1"/>
  <c r="K30" i="1" s="1"/>
  <c r="I31" i="1" a="1"/>
  <c r="I31" i="1" s="1"/>
  <c r="J31" i="1" a="1"/>
  <c r="J31" i="1" s="1"/>
  <c r="K31" i="1" a="1"/>
  <c r="K31" i="1" s="1"/>
  <c r="I32" i="1" a="1"/>
  <c r="I32" i="1"/>
  <c r="J32" i="1" a="1"/>
  <c r="J32" i="1" s="1"/>
  <c r="K32" i="1" a="1"/>
  <c r="K32" i="1" s="1"/>
  <c r="I33" i="1" a="1"/>
  <c r="I33" i="1" s="1"/>
  <c r="J33" i="1" a="1"/>
  <c r="J33" i="1" s="1"/>
  <c r="K33" i="1" a="1"/>
  <c r="K33" i="1" s="1"/>
  <c r="I34" i="1" a="1"/>
  <c r="I34" i="1" s="1"/>
  <c r="J34" i="1" a="1"/>
  <c r="J34" i="1" s="1"/>
  <c r="K34" i="1" a="1"/>
  <c r="K34" i="1"/>
  <c r="I35" i="1" a="1"/>
  <c r="I35" i="1" s="1"/>
  <c r="J35" i="1" a="1"/>
  <c r="J35" i="1" s="1"/>
  <c r="K35" i="1" a="1"/>
  <c r="K35" i="1" s="1"/>
  <c r="I36" i="1" a="1"/>
  <c r="I36" i="1"/>
  <c r="J36" i="1" a="1"/>
  <c r="J36" i="1" s="1"/>
  <c r="K36" i="1" a="1"/>
  <c r="K36" i="1" s="1"/>
  <c r="I37" i="1" a="1"/>
  <c r="I37" i="1" s="1"/>
  <c r="J37" i="1" a="1"/>
  <c r="J37" i="1" s="1"/>
  <c r="K37" i="1" a="1"/>
  <c r="K37" i="1" s="1"/>
  <c r="I38" i="1" a="1"/>
  <c r="I38" i="1" s="1"/>
  <c r="J38" i="1" a="1"/>
  <c r="J38" i="1" s="1"/>
  <c r="K38" i="1" a="1"/>
  <c r="K38" i="1" s="1"/>
  <c r="I39" i="1" a="1"/>
  <c r="I39" i="1" s="1"/>
  <c r="J39" i="1" a="1"/>
  <c r="J39" i="1" s="1"/>
  <c r="K39" i="1" a="1"/>
  <c r="K39" i="1" s="1"/>
  <c r="I40" i="1" a="1"/>
  <c r="I40" i="1" s="1"/>
  <c r="J40" i="1" a="1"/>
  <c r="J40" i="1" s="1"/>
  <c r="K40" i="1" a="1"/>
  <c r="K40" i="1" s="1"/>
  <c r="I41" i="1" a="1"/>
  <c r="I41" i="1" s="1"/>
  <c r="J41" i="1" a="1"/>
  <c r="J41" i="1" s="1"/>
  <c r="K41" i="1" a="1"/>
  <c r="K41" i="1" s="1"/>
  <c r="I42" i="1" a="1"/>
  <c r="I42" i="1" s="1"/>
  <c r="J42" i="1" a="1"/>
  <c r="J42" i="1" s="1"/>
  <c r="K42" i="1" a="1"/>
  <c r="K42" i="1"/>
  <c r="I43" i="1" a="1"/>
  <c r="I43" i="1" s="1"/>
  <c r="J43" i="1" a="1"/>
  <c r="J43" i="1" s="1"/>
  <c r="K43" i="1" a="1"/>
  <c r="K43" i="1" s="1"/>
  <c r="I44" i="1" a="1"/>
  <c r="I44" i="1" s="1"/>
  <c r="J44" i="1" a="1"/>
  <c r="J44" i="1" s="1"/>
  <c r="K44" i="1" a="1"/>
  <c r="K44" i="1" s="1"/>
  <c r="I45" i="1" a="1"/>
  <c r="I45" i="1" s="1"/>
  <c r="J45" i="1" a="1"/>
  <c r="J45" i="1"/>
  <c r="K45" i="1" a="1"/>
  <c r="K45" i="1" s="1"/>
  <c r="I46" i="1" a="1"/>
  <c r="I46" i="1" s="1"/>
  <c r="J46" i="1" a="1"/>
  <c r="J46" i="1" s="1"/>
  <c r="K46" i="1" a="1"/>
  <c r="K46" i="1"/>
  <c r="I47" i="1" a="1"/>
  <c r="I47" i="1" s="1"/>
  <c r="J47" i="1" a="1"/>
  <c r="J47" i="1" s="1"/>
  <c r="K47" i="1" a="1"/>
  <c r="K47" i="1" s="1"/>
  <c r="I48" i="1" a="1"/>
  <c r="I48" i="1" s="1"/>
  <c r="J48" i="1" a="1"/>
  <c r="J48" i="1" s="1"/>
  <c r="K48" i="1" a="1"/>
  <c r="K48" i="1" s="1"/>
  <c r="I49" i="1" a="1"/>
  <c r="I49" i="1" s="1"/>
  <c r="J49" i="1" a="1"/>
  <c r="J49" i="1" s="1"/>
  <c r="K49" i="1" a="1"/>
  <c r="K49" i="1" s="1"/>
  <c r="I50" i="1" a="1"/>
  <c r="I50" i="1" s="1"/>
  <c r="J50" i="1" a="1"/>
  <c r="J50" i="1" s="1"/>
  <c r="K50" i="1" a="1"/>
  <c r="K50" i="1" s="1"/>
  <c r="I51" i="1" a="1"/>
  <c r="I51" i="1" s="1"/>
  <c r="J51" i="1" a="1"/>
  <c r="J51" i="1" s="1"/>
  <c r="K51" i="1" a="1"/>
  <c r="K51" i="1" s="1"/>
  <c r="I52" i="1" a="1"/>
  <c r="I52" i="1" s="1"/>
  <c r="J52" i="1" a="1"/>
  <c r="J52" i="1" s="1"/>
  <c r="K52" i="1" a="1"/>
  <c r="K52" i="1" s="1"/>
  <c r="I53" i="1" a="1"/>
  <c r="I53" i="1" s="1"/>
  <c r="J53" i="1" a="1"/>
  <c r="J53" i="1"/>
  <c r="K53" i="1" a="1"/>
  <c r="K53" i="1" s="1"/>
  <c r="I54" i="1" a="1"/>
  <c r="I54" i="1" s="1"/>
  <c r="J54" i="1" a="1"/>
  <c r="J54" i="1" s="1"/>
  <c r="K54" i="1" a="1"/>
  <c r="K54" i="1" s="1"/>
  <c r="I55" i="1" a="1"/>
  <c r="I55" i="1" s="1"/>
  <c r="J55" i="1" a="1"/>
  <c r="J55" i="1" s="1"/>
  <c r="K55" i="1" a="1"/>
  <c r="K55" i="1" s="1"/>
  <c r="I56" i="1" a="1"/>
  <c r="I56" i="1"/>
  <c r="J56" i="1" a="1"/>
  <c r="J56" i="1" s="1"/>
  <c r="K56" i="1" a="1"/>
  <c r="K56" i="1" s="1"/>
  <c r="I57" i="1" a="1"/>
  <c r="I57" i="1" s="1"/>
  <c r="J57" i="1" a="1"/>
  <c r="J57" i="1"/>
  <c r="K57" i="1" a="1"/>
  <c r="K57" i="1" s="1"/>
  <c r="I58" i="1" a="1"/>
  <c r="I58" i="1" s="1"/>
  <c r="J58" i="1" a="1"/>
  <c r="J58" i="1" s="1"/>
  <c r="K58" i="1" a="1"/>
  <c r="K58" i="1" s="1"/>
  <c r="I59" i="1" a="1"/>
  <c r="I59" i="1" s="1"/>
  <c r="J59" i="1" a="1"/>
  <c r="J59" i="1" s="1"/>
  <c r="K59" i="1" a="1"/>
  <c r="K59" i="1" s="1"/>
  <c r="I60" i="1" a="1"/>
  <c r="I60" i="1" s="1"/>
  <c r="J60" i="1" a="1"/>
  <c r="J60" i="1" s="1"/>
  <c r="K60" i="1" a="1"/>
  <c r="K60" i="1" s="1"/>
  <c r="I61" i="1" a="1"/>
  <c r="I61" i="1" s="1"/>
  <c r="J61" i="1" a="1"/>
  <c r="J61" i="1" s="1"/>
  <c r="K61" i="1" a="1"/>
  <c r="K61" i="1" s="1"/>
  <c r="I62" i="1" a="1"/>
  <c r="I62" i="1" s="1"/>
  <c r="J62" i="1" a="1"/>
  <c r="J62" i="1" s="1"/>
  <c r="K62" i="1" a="1"/>
  <c r="K62" i="1" s="1"/>
  <c r="I63" i="1" a="1"/>
  <c r="I63" i="1" s="1"/>
  <c r="J63" i="1" a="1"/>
  <c r="J63" i="1" s="1"/>
  <c r="K63" i="1" a="1"/>
  <c r="K63" i="1" s="1"/>
  <c r="I64" i="1" a="1"/>
  <c r="I64" i="1"/>
  <c r="J64" i="1" a="1"/>
  <c r="J64" i="1" s="1"/>
  <c r="K64" i="1" a="1"/>
  <c r="K64" i="1" s="1"/>
  <c r="I65" i="1" a="1"/>
  <c r="I65" i="1" s="1"/>
  <c r="J65" i="1" a="1"/>
  <c r="J65" i="1" s="1"/>
  <c r="K65" i="1" a="1"/>
  <c r="K65" i="1" s="1"/>
  <c r="I66" i="1" a="1"/>
  <c r="I66" i="1" s="1"/>
  <c r="J66" i="1" a="1"/>
  <c r="J66" i="1" s="1"/>
  <c r="K66" i="1" a="1"/>
  <c r="K66" i="1"/>
  <c r="I67" i="1" a="1"/>
  <c r="I67" i="1" s="1"/>
  <c r="J67" i="1" a="1"/>
  <c r="J67" i="1" s="1"/>
  <c r="K67" i="1" a="1"/>
  <c r="K67" i="1" s="1"/>
  <c r="I68" i="1" a="1"/>
  <c r="I68" i="1"/>
  <c r="J68" i="1" a="1"/>
  <c r="J68" i="1" s="1"/>
  <c r="K68" i="1" a="1"/>
  <c r="K68" i="1" s="1"/>
  <c r="I69" i="1" a="1"/>
  <c r="I69" i="1" s="1"/>
  <c r="J69" i="1" a="1"/>
  <c r="J69" i="1" s="1"/>
  <c r="K69" i="1" a="1"/>
  <c r="K69" i="1" s="1"/>
  <c r="I70" i="1" a="1"/>
  <c r="I70" i="1" s="1"/>
  <c r="J70" i="1" a="1"/>
  <c r="J70" i="1" s="1"/>
  <c r="K70" i="1" a="1"/>
  <c r="K70" i="1" s="1"/>
  <c r="I71" i="1" a="1"/>
  <c r="I71" i="1" s="1"/>
  <c r="J71" i="1" a="1"/>
  <c r="J71" i="1" s="1"/>
  <c r="K71" i="1" a="1"/>
  <c r="K71" i="1" s="1"/>
  <c r="I72" i="1" a="1"/>
  <c r="I72" i="1" s="1"/>
  <c r="J72" i="1" a="1"/>
  <c r="J72" i="1" s="1"/>
  <c r="K72" i="1" a="1"/>
  <c r="K72" i="1" s="1"/>
  <c r="I73" i="1" a="1"/>
  <c r="I73" i="1" s="1"/>
  <c r="J73" i="1" a="1"/>
  <c r="J73" i="1" s="1"/>
  <c r="K73" i="1" a="1"/>
  <c r="K73" i="1" s="1"/>
  <c r="I74" i="1" a="1"/>
  <c r="I74" i="1" s="1"/>
  <c r="J74" i="1" a="1"/>
  <c r="J74" i="1" s="1"/>
  <c r="K74" i="1" a="1"/>
  <c r="K74" i="1"/>
  <c r="I75" i="1" a="1"/>
  <c r="I75" i="1" s="1"/>
  <c r="J75" i="1" a="1"/>
  <c r="J75" i="1" s="1"/>
  <c r="K75" i="1" a="1"/>
  <c r="K75" i="1" s="1"/>
  <c r="I76" i="1" a="1"/>
  <c r="I76" i="1" s="1"/>
  <c r="J76" i="1" a="1"/>
  <c r="J76" i="1" s="1"/>
  <c r="K76" i="1" a="1"/>
  <c r="K76" i="1" s="1"/>
  <c r="I77" i="1" a="1"/>
  <c r="I77" i="1" s="1"/>
  <c r="J77" i="1" a="1"/>
  <c r="J77" i="1"/>
  <c r="K77" i="1" a="1"/>
  <c r="K77" i="1" s="1"/>
  <c r="I78" i="1" a="1"/>
  <c r="I78" i="1" s="1"/>
  <c r="J78" i="1" a="1"/>
  <c r="J78" i="1" s="1"/>
  <c r="K78" i="1" a="1"/>
  <c r="K78" i="1"/>
  <c r="I79" i="1" a="1"/>
  <c r="I79" i="1" s="1"/>
  <c r="J79" i="1" a="1"/>
  <c r="J79" i="1" s="1"/>
  <c r="K79" i="1" a="1"/>
  <c r="K79" i="1" s="1"/>
  <c r="I80" i="1" a="1"/>
  <c r="I80" i="1" s="1"/>
  <c r="J80" i="1" a="1"/>
  <c r="J80" i="1" s="1"/>
  <c r="K80" i="1" a="1"/>
  <c r="K80" i="1" s="1"/>
  <c r="I81" i="1" a="1"/>
  <c r="I81" i="1" s="1"/>
  <c r="J81" i="1" a="1"/>
  <c r="J81" i="1" s="1"/>
  <c r="K81" i="1" a="1"/>
  <c r="K81" i="1" s="1"/>
  <c r="I82" i="1" a="1"/>
  <c r="I82" i="1" s="1"/>
  <c r="J82" i="1" a="1"/>
  <c r="J82" i="1" s="1"/>
  <c r="K82" i="1" a="1"/>
  <c r="K82" i="1" s="1"/>
  <c r="I83" i="1" a="1"/>
  <c r="I83" i="1" s="1"/>
  <c r="J83" i="1" a="1"/>
  <c r="J83" i="1" s="1"/>
  <c r="K83" i="1" a="1"/>
  <c r="K83" i="1" s="1"/>
  <c r="I84" i="1" a="1"/>
  <c r="I84" i="1" s="1"/>
  <c r="J84" i="1" a="1"/>
  <c r="J84" i="1" s="1"/>
  <c r="K84" i="1" a="1"/>
  <c r="K84" i="1" s="1"/>
  <c r="I85" i="1" a="1"/>
  <c r="I85" i="1" s="1"/>
  <c r="J85" i="1" a="1"/>
  <c r="J85" i="1" s="1"/>
  <c r="K85" i="1" a="1"/>
  <c r="K85" i="1" s="1"/>
  <c r="I86" i="1" a="1"/>
  <c r="I86" i="1" s="1"/>
  <c r="J86" i="1" a="1"/>
  <c r="J86" i="1" s="1"/>
  <c r="K86" i="1" a="1"/>
  <c r="K86" i="1" s="1"/>
  <c r="I87" i="1" a="1"/>
  <c r="I87" i="1" s="1"/>
  <c r="J87" i="1" a="1"/>
  <c r="J87" i="1" s="1"/>
  <c r="K87" i="1" a="1"/>
  <c r="K87" i="1" s="1"/>
  <c r="I88" i="1" a="1"/>
  <c r="I88" i="1"/>
  <c r="J88" i="1" a="1"/>
  <c r="J88" i="1" s="1"/>
  <c r="K88" i="1" a="1"/>
  <c r="K88" i="1" s="1"/>
  <c r="I89" i="1" a="1"/>
  <c r="I89" i="1" s="1"/>
  <c r="J89" i="1" a="1"/>
  <c r="J89" i="1"/>
  <c r="K89" i="1" a="1"/>
  <c r="K89" i="1" s="1"/>
  <c r="I90" i="1" a="1"/>
  <c r="I90" i="1" s="1"/>
  <c r="J90" i="1" a="1"/>
  <c r="J90" i="1" s="1"/>
  <c r="K90" i="1" a="1"/>
  <c r="K90" i="1" s="1"/>
  <c r="I91" i="1" a="1"/>
  <c r="I91" i="1" s="1"/>
  <c r="J91" i="1" a="1"/>
  <c r="J91" i="1" s="1"/>
  <c r="K91" i="1" a="1"/>
  <c r="K91" i="1" s="1"/>
  <c r="I92" i="1" a="1"/>
  <c r="I92" i="1" s="1"/>
  <c r="J92" i="1" a="1"/>
  <c r="J92" i="1" s="1"/>
  <c r="K92" i="1" a="1"/>
  <c r="K92" i="1" s="1"/>
  <c r="I93" i="1" a="1"/>
  <c r="I93" i="1" s="1"/>
  <c r="J93" i="1" a="1"/>
  <c r="J93" i="1" s="1"/>
  <c r="K93" i="1" a="1"/>
  <c r="K93" i="1" s="1"/>
  <c r="I94" i="1" a="1"/>
  <c r="I94" i="1" s="1"/>
  <c r="J94" i="1" a="1"/>
  <c r="J94" i="1" s="1"/>
  <c r="K94" i="1" a="1"/>
  <c r="K94" i="1" s="1"/>
  <c r="I95" i="1" a="1"/>
  <c r="I95" i="1" s="1"/>
  <c r="J95" i="1" a="1"/>
  <c r="J95" i="1" s="1"/>
  <c r="K95" i="1" a="1"/>
  <c r="K95" i="1" s="1"/>
  <c r="I96" i="1" a="1"/>
  <c r="I96" i="1" s="1"/>
  <c r="J96" i="1" a="1"/>
  <c r="J96" i="1" s="1"/>
  <c r="K96" i="1" a="1"/>
  <c r="K96" i="1" s="1"/>
  <c r="I97" i="1" a="1"/>
  <c r="I97" i="1" s="1"/>
  <c r="J97" i="1" a="1"/>
  <c r="J97" i="1" s="1"/>
  <c r="K97" i="1" a="1"/>
  <c r="K97" i="1" s="1"/>
  <c r="I98" i="1" a="1"/>
  <c r="I98" i="1" s="1"/>
  <c r="J98" i="1" a="1"/>
  <c r="J98" i="1" s="1"/>
  <c r="K98" i="1" a="1"/>
  <c r="K98" i="1"/>
  <c r="I99" i="1" a="1"/>
  <c r="I99" i="1" s="1"/>
  <c r="J99" i="1" a="1"/>
  <c r="J99" i="1" s="1"/>
  <c r="K99" i="1" a="1"/>
  <c r="K99" i="1" s="1"/>
  <c r="I100" i="1" a="1"/>
  <c r="I100" i="1"/>
  <c r="J100" i="1" a="1"/>
  <c r="J100" i="1" s="1"/>
  <c r="K100" i="1" a="1"/>
  <c r="K100" i="1" s="1"/>
  <c r="I101" i="1" a="1"/>
  <c r="I101" i="1" s="1"/>
  <c r="J101" i="1" a="1"/>
  <c r="J101" i="1" s="1"/>
  <c r="K101" i="1" a="1"/>
  <c r="K101" i="1" s="1"/>
  <c r="I102" i="1" a="1"/>
  <c r="I102" i="1" s="1"/>
  <c r="J102" i="1" a="1"/>
  <c r="J102" i="1" s="1"/>
  <c r="K102" i="1" a="1"/>
  <c r="K102" i="1" s="1"/>
  <c r="I103" i="1" a="1"/>
  <c r="I103" i="1" s="1"/>
  <c r="J103" i="1" a="1"/>
  <c r="J103" i="1" s="1"/>
  <c r="K103" i="1" a="1"/>
  <c r="K103" i="1" s="1"/>
  <c r="I104" i="1" a="1"/>
  <c r="I104" i="1" s="1"/>
  <c r="J104" i="1" a="1"/>
  <c r="J104" i="1" s="1"/>
  <c r="K104" i="1" a="1"/>
  <c r="K104" i="1" s="1"/>
  <c r="I105" i="1" a="1"/>
  <c r="I105" i="1" s="1"/>
  <c r="J105" i="1" a="1"/>
  <c r="J105" i="1" s="1"/>
  <c r="K105" i="1" a="1"/>
  <c r="K105" i="1" s="1"/>
  <c r="I106" i="1" a="1"/>
  <c r="I106" i="1" s="1"/>
  <c r="J106" i="1" a="1"/>
  <c r="J106" i="1" s="1"/>
  <c r="K106" i="1" a="1"/>
  <c r="K106" i="1" s="1"/>
  <c r="I107" i="1" a="1"/>
  <c r="I107" i="1" s="1"/>
  <c r="J107" i="1" a="1"/>
  <c r="J107" i="1" s="1"/>
  <c r="K107" i="1" a="1"/>
  <c r="K107" i="1" s="1"/>
  <c r="I108" i="1" a="1"/>
  <c r="I108" i="1" s="1"/>
  <c r="J108" i="1" a="1"/>
  <c r="J108" i="1" s="1"/>
  <c r="K108" i="1" a="1"/>
  <c r="K108" i="1" s="1"/>
  <c r="I109" i="1" a="1"/>
  <c r="I109" i="1" s="1"/>
  <c r="J109" i="1" a="1"/>
  <c r="J109" i="1"/>
  <c r="K109" i="1" a="1"/>
  <c r="K109" i="1" s="1"/>
  <c r="I110" i="1" a="1"/>
  <c r="I110" i="1" s="1"/>
  <c r="J110" i="1" a="1"/>
  <c r="J110" i="1" s="1"/>
  <c r="K110" i="1" a="1"/>
  <c r="K110" i="1"/>
  <c r="I111" i="1" a="1"/>
  <c r="I111" i="1" s="1"/>
  <c r="J111" i="1" a="1"/>
  <c r="J111" i="1" s="1"/>
  <c r="K111" i="1" a="1"/>
  <c r="K111" i="1" s="1"/>
  <c r="I112" i="1" a="1"/>
  <c r="I112" i="1" s="1"/>
  <c r="J112" i="1" a="1"/>
  <c r="J112" i="1" s="1"/>
  <c r="K112" i="1" a="1"/>
  <c r="K112" i="1" s="1"/>
  <c r="I113" i="1" a="1"/>
  <c r="I113" i="1" s="1"/>
  <c r="J113" i="1" a="1"/>
  <c r="J113" i="1" s="1"/>
  <c r="K113" i="1" a="1"/>
  <c r="K113" i="1" s="1"/>
  <c r="I114" i="1" a="1"/>
  <c r="I114" i="1" s="1"/>
  <c r="J114" i="1" a="1"/>
  <c r="J114" i="1" s="1"/>
  <c r="K114" i="1" a="1"/>
  <c r="K114" i="1" s="1"/>
  <c r="I115" i="1" a="1"/>
  <c r="I115" i="1" s="1"/>
  <c r="J115" i="1" a="1"/>
  <c r="J115" i="1" s="1"/>
  <c r="K115" i="1" a="1"/>
  <c r="K115" i="1" s="1"/>
  <c r="I116" i="1" a="1"/>
  <c r="I116" i="1" s="1"/>
  <c r="J116" i="1" a="1"/>
  <c r="J116" i="1" s="1"/>
  <c r="K116" i="1" a="1"/>
  <c r="K116" i="1"/>
  <c r="I117" i="1" a="1"/>
  <c r="I117" i="1" s="1"/>
  <c r="J117" i="1" a="1"/>
  <c r="J117" i="1" s="1"/>
  <c r="K117" i="1" a="1"/>
  <c r="K117" i="1" s="1"/>
  <c r="I118" i="1" a="1"/>
  <c r="I118" i="1"/>
  <c r="J118" i="1" a="1"/>
  <c r="J118" i="1" s="1"/>
  <c r="K118" i="1" a="1"/>
  <c r="K118" i="1" s="1"/>
  <c r="I119" i="1" a="1"/>
  <c r="I119" i="1" s="1"/>
  <c r="J119" i="1" a="1"/>
  <c r="J119" i="1"/>
  <c r="K119" i="1" a="1"/>
  <c r="K119" i="1" s="1"/>
  <c r="I120" i="1" a="1"/>
  <c r="I120" i="1" s="1"/>
  <c r="J120" i="1" a="1"/>
  <c r="J120" i="1" s="1"/>
  <c r="K120" i="1" a="1"/>
  <c r="K120" i="1"/>
  <c r="I121" i="1" a="1"/>
  <c r="I121" i="1" s="1"/>
  <c r="J121" i="1" a="1"/>
  <c r="J121" i="1" s="1"/>
  <c r="K121" i="1" a="1"/>
  <c r="K121" i="1" s="1"/>
  <c r="I122" i="1" a="1"/>
  <c r="I122" i="1"/>
  <c r="J122" i="1" a="1"/>
  <c r="J122" i="1" s="1"/>
  <c r="K122" i="1" a="1"/>
  <c r="K122" i="1" s="1"/>
  <c r="I123" i="1" a="1"/>
  <c r="I123" i="1" s="1"/>
  <c r="J123" i="1" a="1"/>
  <c r="J123" i="1" s="1"/>
  <c r="K123" i="1" a="1"/>
  <c r="K123" i="1" s="1"/>
  <c r="I124" i="1" a="1"/>
  <c r="I124" i="1" s="1"/>
  <c r="J124" i="1" a="1"/>
  <c r="J124" i="1" s="1"/>
  <c r="K124" i="1" a="1"/>
  <c r="K124" i="1" s="1"/>
  <c r="I125" i="1" a="1"/>
  <c r="I125" i="1" s="1"/>
  <c r="J125" i="1" a="1"/>
  <c r="J125" i="1" s="1"/>
  <c r="K125" i="1" a="1"/>
  <c r="K125" i="1" s="1"/>
  <c r="I126" i="1" a="1"/>
  <c r="I126" i="1" s="1"/>
  <c r="J126" i="1" a="1"/>
  <c r="J126" i="1" s="1"/>
  <c r="K126" i="1" a="1"/>
  <c r="K126" i="1" s="1"/>
  <c r="I127" i="1" a="1"/>
  <c r="I127" i="1" s="1"/>
  <c r="J127" i="1" a="1"/>
  <c r="J127" i="1" s="1"/>
  <c r="K127" i="1" a="1"/>
  <c r="K127" i="1" s="1"/>
  <c r="I128" i="1" a="1"/>
  <c r="I128" i="1" s="1"/>
  <c r="J128" i="1" a="1"/>
  <c r="J128" i="1" s="1"/>
  <c r="K128" i="1" a="1"/>
  <c r="K128" i="1" s="1"/>
  <c r="I129" i="1" a="1"/>
  <c r="I129" i="1" s="1"/>
  <c r="J129" i="1" a="1"/>
  <c r="J129" i="1" s="1"/>
  <c r="K129" i="1" a="1"/>
  <c r="K129" i="1" s="1"/>
  <c r="I130" i="1" a="1"/>
  <c r="I130" i="1" s="1"/>
  <c r="J130" i="1" a="1"/>
  <c r="J130" i="1" s="1"/>
  <c r="K130" i="1" a="1"/>
  <c r="K130" i="1" s="1"/>
  <c r="I131" i="1" a="1"/>
  <c r="I131" i="1" s="1"/>
  <c r="J131" i="1" a="1"/>
  <c r="J131" i="1" s="1"/>
  <c r="K131" i="1" a="1"/>
  <c r="K131" i="1" s="1"/>
  <c r="I132" i="1" a="1"/>
  <c r="I132" i="1" s="1"/>
  <c r="J132" i="1" a="1"/>
  <c r="J132" i="1" s="1"/>
  <c r="K132" i="1" a="1"/>
  <c r="K132" i="1" s="1"/>
  <c r="I133" i="1" a="1"/>
  <c r="I133" i="1" s="1"/>
  <c r="J133" i="1" a="1"/>
  <c r="J133" i="1" s="1"/>
  <c r="K133" i="1" a="1"/>
  <c r="K133" i="1" s="1"/>
  <c r="I134" i="1" a="1"/>
  <c r="I134" i="1" s="1"/>
  <c r="J134" i="1" a="1"/>
  <c r="J134" i="1" s="1"/>
  <c r="K134" i="1" a="1"/>
  <c r="K134" i="1" s="1"/>
  <c r="I135" i="1" a="1"/>
  <c r="I135" i="1" s="1"/>
  <c r="J135" i="1" a="1"/>
  <c r="J135" i="1" s="1"/>
  <c r="K135" i="1" a="1"/>
  <c r="K135" i="1" s="1"/>
  <c r="I136" i="1" a="1"/>
  <c r="I136" i="1" s="1"/>
  <c r="J136" i="1" a="1"/>
  <c r="J136" i="1" s="1"/>
  <c r="K136" i="1" a="1"/>
  <c r="K136" i="1" s="1"/>
  <c r="I137" i="1" a="1"/>
  <c r="I137" i="1" s="1"/>
  <c r="J137" i="1" a="1"/>
  <c r="J137" i="1" s="1"/>
  <c r="K137" i="1" a="1"/>
  <c r="K137" i="1" s="1"/>
  <c r="I138" i="1" a="1"/>
  <c r="I138" i="1" s="1"/>
  <c r="J138" i="1" a="1"/>
  <c r="J138" i="1" s="1"/>
  <c r="K138" i="1" a="1"/>
  <c r="K138" i="1" s="1"/>
  <c r="I139" i="1" a="1"/>
  <c r="I139" i="1" s="1"/>
  <c r="J139" i="1" a="1"/>
  <c r="J139" i="1" s="1"/>
  <c r="K139" i="1" a="1"/>
  <c r="K139" i="1" s="1"/>
  <c r="I140" i="1" a="1"/>
  <c r="I140" i="1" s="1"/>
  <c r="J140" i="1" a="1"/>
  <c r="J140" i="1" s="1"/>
  <c r="K140" i="1" a="1"/>
  <c r="K140" i="1" s="1"/>
  <c r="I141" i="1" a="1"/>
  <c r="I141" i="1" s="1"/>
  <c r="J141" i="1" a="1"/>
  <c r="J141" i="1" s="1"/>
  <c r="K141" i="1" a="1"/>
  <c r="K141" i="1" s="1"/>
  <c r="I142" i="1" a="1"/>
  <c r="I142" i="1" s="1"/>
  <c r="J142" i="1" a="1"/>
  <c r="J142" i="1" s="1"/>
  <c r="K142" i="1" a="1"/>
  <c r="K142" i="1" s="1"/>
  <c r="I143" i="1" a="1"/>
  <c r="I143" i="1" s="1"/>
  <c r="J143" i="1" a="1"/>
  <c r="J143" i="1" s="1"/>
  <c r="K143" i="1" a="1"/>
  <c r="K143" i="1" s="1"/>
  <c r="I144" i="1" a="1"/>
  <c r="I144" i="1" s="1"/>
  <c r="J144" i="1" a="1"/>
  <c r="J144" i="1" s="1"/>
  <c r="K144" i="1" a="1"/>
  <c r="K144" i="1" s="1"/>
  <c r="J2" i="1" a="1"/>
  <c r="J2" i="1" s="1"/>
  <c r="K2" i="1" a="1"/>
  <c r="K2" i="1" s="1"/>
  <c r="I2" i="1" a="1"/>
  <c r="I2" i="1" s="1"/>
  <c r="C5" i="4"/>
  <c r="C4" i="4"/>
  <c r="C3" i="4"/>
  <c r="D24" i="7"/>
  <c r="C24" i="7"/>
  <c r="D68" i="6"/>
  <c r="C68" i="6"/>
  <c r="M11" i="1" s="1"/>
  <c r="C90" i="5"/>
  <c r="D24" i="4"/>
  <c r="C24" i="4"/>
  <c r="P20" i="1"/>
  <c r="O20" i="1"/>
  <c r="I55" i="6" l="1"/>
  <c r="I56" i="6" s="1"/>
  <c r="N11" i="1"/>
  <c r="O11" i="1" s="1"/>
  <c r="G8" i="5"/>
  <c r="G9" i="5" s="1"/>
  <c r="G10" i="5" s="1"/>
  <c r="G11" i="5" s="1"/>
  <c r="G12" i="5" s="1"/>
  <c r="G13" i="5" s="1"/>
  <c r="B8" i="5"/>
  <c r="B11" i="5" s="1"/>
  <c r="D28" i="5"/>
  <c r="G6" i="5"/>
  <c r="D42" i="5"/>
  <c r="D29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<sst xmlns="http://schemas.openxmlformats.org/spreadsheetml/2006/main" count="246" uniqueCount="144">
  <si>
    <t>Identification</t>
  </si>
  <si>
    <t>Heures</t>
  </si>
  <si>
    <t>Appréciation</t>
  </si>
  <si>
    <t>Échantillon aléatoire simple</t>
  </si>
  <si>
    <t>Taille</t>
  </si>
  <si>
    <t>Membres de l'équipe</t>
  </si>
  <si>
    <t xml:space="preserve">Nom 1 : </t>
  </si>
  <si>
    <t xml:space="preserve">Nom 2 : </t>
  </si>
  <si>
    <t>Note</t>
  </si>
  <si>
    <t>Sur</t>
  </si>
  <si>
    <t>Note finale sur 100</t>
  </si>
  <si>
    <t>Aléatoire</t>
  </si>
  <si>
    <t>Création échantillon</t>
  </si>
  <si>
    <t>Mise en place</t>
  </si>
  <si>
    <t>Liste de données</t>
  </si>
  <si>
    <t>Série statistique</t>
  </si>
  <si>
    <t xml:space="preserve">Total      </t>
  </si>
  <si>
    <r>
      <t>1-</t>
    </r>
    <r>
      <rPr>
        <b/>
        <sz val="11"/>
        <color theme="0"/>
        <rFont val="Calibri"/>
        <family val="2"/>
      </rPr>
      <t>α</t>
    </r>
    <r>
      <rPr>
        <b/>
        <sz val="11"/>
        <color theme="0"/>
        <rFont val="Calibri"/>
        <family val="2"/>
        <scheme val="minor"/>
      </rPr>
      <t xml:space="preserve"> = </t>
    </r>
  </si>
  <si>
    <t xml:space="preserve">α = </t>
  </si>
  <si>
    <t xml:space="preserve">α/2 = </t>
  </si>
  <si>
    <r>
      <t>P(Z&lt;z</t>
    </r>
    <r>
      <rPr>
        <b/>
        <vertAlign val="subscript"/>
        <sz val="11"/>
        <color theme="0"/>
        <rFont val="Calibri"/>
        <family val="2"/>
        <scheme val="minor"/>
      </rPr>
      <t>α/2</t>
    </r>
    <r>
      <rPr>
        <b/>
        <sz val="11"/>
        <color theme="0"/>
        <rFont val="Calibri"/>
        <family val="2"/>
        <scheme val="minor"/>
      </rPr>
      <t>) = 1-α/2 =</t>
    </r>
  </si>
  <si>
    <r>
      <t>z</t>
    </r>
    <r>
      <rPr>
        <b/>
        <vertAlign val="subscript"/>
        <sz val="11"/>
        <color theme="0"/>
        <rFont val="Calibri"/>
        <family val="2"/>
        <scheme val="minor"/>
      </rPr>
      <t>α/2</t>
    </r>
    <r>
      <rPr>
        <b/>
        <sz val="11"/>
        <color theme="0"/>
        <rFont val="Calibri"/>
        <family val="2"/>
        <scheme val="minor"/>
      </rPr>
      <t>=</t>
    </r>
  </si>
  <si>
    <t xml:space="preserve">ME = </t>
  </si>
  <si>
    <t xml:space="preserve">n = </t>
  </si>
  <si>
    <t xml:space="preserve">s = </t>
  </si>
  <si>
    <t xml:space="preserve">Réponse : </t>
  </si>
  <si>
    <t>Calculs</t>
  </si>
  <si>
    <t xml:space="preserve">1-α </t>
  </si>
  <si>
    <t xml:space="preserve">α </t>
  </si>
  <si>
    <t xml:space="preserve">α/2 </t>
  </si>
  <si>
    <r>
      <t>P(Z&lt;z</t>
    </r>
    <r>
      <rPr>
        <vertAlign val="subscript"/>
        <sz val="11"/>
        <color theme="1"/>
        <rFont val="Calibri"/>
        <family val="2"/>
        <scheme val="minor"/>
      </rPr>
      <t>α/2</t>
    </r>
    <r>
      <rPr>
        <sz val="11"/>
        <color theme="1"/>
        <rFont val="Calibri"/>
        <family val="2"/>
        <scheme val="minor"/>
      </rPr>
      <t>)</t>
    </r>
  </si>
  <si>
    <r>
      <t>z</t>
    </r>
    <r>
      <rPr>
        <vertAlign val="subscript"/>
        <sz val="11"/>
        <color theme="1"/>
        <rFont val="Calibri"/>
        <family val="2"/>
        <scheme val="minor"/>
      </rPr>
      <t>α/2</t>
    </r>
  </si>
  <si>
    <t>Taille de l'échantillon</t>
  </si>
  <si>
    <t xml:space="preserve">ME et s </t>
  </si>
  <si>
    <t>Calcul de n</t>
  </si>
  <si>
    <t>Choix de n et réponse</t>
  </si>
  <si>
    <t xml:space="preserve">Total    </t>
  </si>
  <si>
    <t xml:space="preserve">Variable : </t>
  </si>
  <si>
    <t>Type de variable :</t>
  </si>
  <si>
    <t>Unité statistique :</t>
  </si>
  <si>
    <t>Minimum =</t>
  </si>
  <si>
    <t>Maximum =</t>
  </si>
  <si>
    <t>Étendue =</t>
  </si>
  <si>
    <t>n =</t>
  </si>
  <si>
    <t>Nombre de classe idéal =</t>
  </si>
  <si>
    <t>Amplitude calculée =</t>
  </si>
  <si>
    <t>Amplitude choisie =</t>
  </si>
  <si>
    <r>
      <rPr>
        <b/>
        <sz val="11"/>
        <color theme="0"/>
        <rFont val="MS Reference Sans Serif"/>
        <family val="2"/>
      </rPr>
      <t></t>
    </r>
    <r>
      <rPr>
        <b/>
        <sz val="11"/>
        <color theme="0"/>
        <rFont val="Calibri"/>
        <family val="2"/>
      </rPr>
      <t xml:space="preserve"> =</t>
    </r>
  </si>
  <si>
    <t>(Utiliser la série statistique directement.)</t>
  </si>
  <si>
    <t>s =</t>
  </si>
  <si>
    <t xml:space="preserve">Interprétation de s : </t>
  </si>
  <si>
    <r>
      <t>erreur-type  =  σ</t>
    </r>
    <r>
      <rPr>
        <b/>
        <vertAlign val="subscript"/>
        <sz val="11"/>
        <color theme="0"/>
        <rFont val="MS Reference Sans Serif"/>
        <family val="2"/>
      </rPr>
      <t></t>
    </r>
    <r>
      <rPr>
        <b/>
        <sz val="11"/>
        <color theme="0"/>
        <rFont val="Calibri"/>
        <family val="2"/>
      </rPr>
      <t xml:space="preserve"> =   </t>
    </r>
  </si>
  <si>
    <t>ME =</t>
  </si>
  <si>
    <t xml:space="preserve">borne inf = </t>
  </si>
  <si>
    <t xml:space="preserve">borne sup = </t>
  </si>
  <si>
    <t>Interprétation</t>
  </si>
  <si>
    <t>Variable</t>
  </si>
  <si>
    <t>Nature</t>
  </si>
  <si>
    <t>Unités statistiques</t>
  </si>
  <si>
    <t>Création des classes</t>
  </si>
  <si>
    <t>Minimum</t>
  </si>
  <si>
    <t>Max</t>
  </si>
  <si>
    <t>Étendue</t>
  </si>
  <si>
    <t>n</t>
  </si>
  <si>
    <t>Nombre de classes</t>
  </si>
  <si>
    <t>Amplitude calculée</t>
  </si>
  <si>
    <t>Amplitude choisie</t>
  </si>
  <si>
    <t>Tableau</t>
  </si>
  <si>
    <t>Titre</t>
  </si>
  <si>
    <t>Titres colonnes</t>
  </si>
  <si>
    <t>Classes</t>
  </si>
  <si>
    <t>Fréquences absolues</t>
  </si>
  <si>
    <t>Fréquences relatives</t>
  </si>
  <si>
    <t>Fréquences relatives cumulées</t>
  </si>
  <si>
    <t>Mise en forme finale, facile et agréable à lire</t>
  </si>
  <si>
    <t>Respect des règles de présentation</t>
  </si>
  <si>
    <t>Histogramme</t>
  </si>
  <si>
    <t>Barres</t>
  </si>
  <si>
    <t>Axe vertical</t>
  </si>
  <si>
    <t>Axe horizontal</t>
  </si>
  <si>
    <t>Titre vertical</t>
  </si>
  <si>
    <t>Titre  horizontal</t>
  </si>
  <si>
    <r>
      <t>Calcul de z</t>
    </r>
    <r>
      <rPr>
        <b/>
        <vertAlign val="subscript"/>
        <sz val="11"/>
        <color theme="0"/>
        <rFont val="Calibri"/>
        <family val="2"/>
        <scheme val="minor"/>
      </rPr>
      <t>α/2</t>
    </r>
  </si>
  <si>
    <t>Moyenne/Écart-type</t>
  </si>
  <si>
    <t xml:space="preserve">moyenne </t>
  </si>
  <si>
    <t xml:space="preserve">s </t>
  </si>
  <si>
    <t>Marge d'erreur</t>
  </si>
  <si>
    <t xml:space="preserve">erreur-type </t>
  </si>
  <si>
    <t xml:space="preserve">ME </t>
  </si>
  <si>
    <t>Intervalle de confiance</t>
  </si>
  <si>
    <t>borne inférieure</t>
  </si>
  <si>
    <t>borne supérieure</t>
  </si>
  <si>
    <t xml:space="preserve">p = </t>
  </si>
  <si>
    <r>
      <t>erreur-type = σ</t>
    </r>
    <r>
      <rPr>
        <b/>
        <vertAlign val="subscript"/>
        <sz val="11"/>
        <color theme="0"/>
        <rFont val="Calibri"/>
        <family val="2"/>
      </rPr>
      <t xml:space="preserve">P </t>
    </r>
    <r>
      <rPr>
        <b/>
        <sz val="11"/>
        <color theme="0"/>
        <rFont val="Calibri"/>
        <family val="2"/>
      </rPr>
      <t xml:space="preserve">= </t>
    </r>
  </si>
  <si>
    <t>Modalités</t>
  </si>
  <si>
    <t>Diagramme à bandes verticales</t>
  </si>
  <si>
    <t>Bandes verticales</t>
  </si>
  <si>
    <t xml:space="preserve">Axe vertical </t>
  </si>
  <si>
    <t>ME</t>
  </si>
  <si>
    <t>Francois Bouchard</t>
  </si>
  <si>
    <t>Bettina-Sarah Janesch</t>
  </si>
  <si>
    <t xml:space="preserve">n= </t>
  </si>
  <si>
    <t>Il faudra sonder au moins 143 étudiants avec ses contraintes.</t>
  </si>
  <si>
    <t>nombre d’heures par semaine consacrées à l’étude</t>
  </si>
  <si>
    <t>quantitative continue</t>
  </si>
  <si>
    <t>un étudiant du cégep du Vieux Montréal à l'automne en 2020</t>
  </si>
  <si>
    <t>La plupart des heures d'étude se trouvent entre 37,99 et 47,24 heures.</t>
  </si>
  <si>
    <t>Étiquettes de lignes</t>
  </si>
  <si>
    <t>Total général</t>
  </si>
  <si>
    <t>Nombre de Heures</t>
  </si>
  <si>
    <t>30-34</t>
  </si>
  <si>
    <t>34-38</t>
  </si>
  <si>
    <t>38-42</t>
  </si>
  <si>
    <t>42-46</t>
  </si>
  <si>
    <t>46-50</t>
  </si>
  <si>
    <t>50-54</t>
  </si>
  <si>
    <t>54-58</t>
  </si>
  <si>
    <t>58-62</t>
  </si>
  <si>
    <t>[30;34[</t>
  </si>
  <si>
    <t>[34;38[</t>
  </si>
  <si>
    <t>[38;42[</t>
  </si>
  <si>
    <t>[42;46[</t>
  </si>
  <si>
    <t>[46;50[</t>
  </si>
  <si>
    <t>[50;54[</t>
  </si>
  <si>
    <t>[54;58[</t>
  </si>
  <si>
    <t>[58;62[</t>
  </si>
  <si>
    <t>Nombre d'étudiants</t>
  </si>
  <si>
    <t>Nombre d'heures</t>
  </si>
  <si>
    <t>Pourcentage cumulé d'étudiants (%)</t>
  </si>
  <si>
    <t>Pourcentage d'étudiants (%)</t>
  </si>
  <si>
    <t>Total</t>
  </si>
  <si>
    <t>Répartition des étudiants selon le nombre d'heures consacrés aux études au Cégep du Vieux-Montréal à l'automne 2020</t>
  </si>
  <si>
    <t>On peut affirmer, avec un niveau de confiance de 92%, que la moyenne d'heures consacrés à l'étude par les membres de la communauté étudiante du cégep du Vieux
Montréal à l'automne 2020 est entre 38,09 et 47,15 heures.</t>
  </si>
  <si>
    <t>Nombre de Appréciation</t>
  </si>
  <si>
    <t xml:space="preserve">Total </t>
  </si>
  <si>
    <t>Source: les intervenants du Cégep du Vieux Montréal (Automne 2020)</t>
  </si>
  <si>
    <t>Source:  les intervenants du Cégep du Vieux Montréal (Automne 2020)</t>
  </si>
  <si>
    <t>Répartition des étudiants selon leur degré d'appréciation des cours à distance au Cégep du Vieux Montréal (Automne 2020)</t>
  </si>
  <si>
    <t>J'adore</t>
  </si>
  <si>
    <t>J'apprécie</t>
  </si>
  <si>
    <t>Je suis neutre</t>
  </si>
  <si>
    <t>Je n'aime pas</t>
  </si>
  <si>
    <t>Je déteste</t>
  </si>
  <si>
    <t>Degré d'appréciation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</si>
</sst>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0"/>
    <numFmt numFmtId="166" formatCode="0.000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0"/>
      <name val="Calibri"/>
      <family val="2"/>
    </font>
    <font>
      <b/>
      <vertAlign val="subscript"/>
      <sz val="11"/>
      <color theme="0"/>
      <name val="Calibri"/>
      <family val="2"/>
      <scheme val="minor"/>
    </font>
    <font>
      <b/>
      <sz val="11"/>
      <color theme="0"/>
      <name val="MS Reference Sans Serif"/>
      <family val="2"/>
    </font>
    <font>
      <b/>
      <vertAlign val="subscript"/>
      <sz val="11"/>
      <color theme="0"/>
      <name val="MS Reference Sans Serif"/>
      <family val="2"/>
    </font>
    <font>
      <b/>
      <vertAlign val="subscript"/>
      <sz val="11"/>
      <color theme="0"/>
      <name val="Calibri"/>
      <family val="2"/>
    </font>
    <font>
      <b/>
      <sz val="14"/>
      <color theme="0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2" tint="-0.499984740745262"/>
        <bgColor theme="0" tint="-0.14999847407452621"/>
      </patternFill>
    </fill>
  </fills>
  <borders count="122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theme="1"/>
      </left>
      <right style="thin">
        <color theme="2" tint="-0.749992370372631"/>
      </right>
      <top style="medium">
        <color theme="1"/>
      </top>
      <bottom/>
      <diagonal/>
    </border>
    <border>
      <left/>
      <right style="thin">
        <color theme="1"/>
      </right>
      <top style="medium">
        <color theme="1"/>
      </top>
      <bottom style="thin">
        <color theme="0" tint="-0.249977111117893"/>
      </bottom>
      <diagonal/>
    </border>
    <border>
      <left/>
      <right style="medium">
        <color theme="1"/>
      </right>
      <top style="medium">
        <color theme="1"/>
      </top>
      <bottom style="thin">
        <color theme="0" tint="-0.249977111117893"/>
      </bottom>
      <diagonal/>
    </border>
    <border>
      <left style="medium">
        <color theme="1"/>
      </left>
      <right style="thin">
        <color theme="2" tint="-0.749992370372631"/>
      </right>
      <top/>
      <bottom/>
      <diagonal/>
    </border>
    <border>
      <left/>
      <right style="thin">
        <color theme="1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medium">
        <color theme="1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 style="thin">
        <color theme="1"/>
      </right>
      <top style="thin">
        <color theme="2" tint="-0.249977111117893"/>
      </top>
      <bottom/>
      <diagonal/>
    </border>
    <border>
      <left style="thin">
        <color theme="1"/>
      </left>
      <right style="thin">
        <color theme="1"/>
      </right>
      <top style="thin">
        <color theme="2" tint="-0.249977111117893"/>
      </top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 style="thin">
        <color theme="2" tint="-0.749992370372631"/>
      </left>
      <right style="thin">
        <color theme="2" tint="-0.749992370372631"/>
      </right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/>
      <bottom/>
      <diagonal/>
    </border>
    <border>
      <left style="medium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/>
      </left>
      <right style="medium">
        <color theme="1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/>
      </left>
      <right style="thin">
        <color theme="1"/>
      </right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theme="1"/>
      </left>
      <right style="thin">
        <color theme="1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1"/>
      </left>
      <right style="medium">
        <color theme="1"/>
      </right>
      <top style="thin">
        <color theme="0" tint="-0.249977111117893"/>
      </top>
      <bottom/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1"/>
      </left>
      <right style="thin">
        <color theme="1"/>
      </right>
      <top/>
      <bottom style="thin">
        <color theme="2" tint="-0.249977111117893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/>
      <diagonal/>
    </border>
    <border>
      <left style="medium">
        <color theme="1"/>
      </left>
      <right style="thin">
        <color theme="1"/>
      </right>
      <top/>
      <bottom style="medium">
        <color theme="1"/>
      </bottom>
      <diagonal/>
    </border>
    <border>
      <left style="thin">
        <color theme="1"/>
      </left>
      <right style="thin">
        <color theme="1"/>
      </right>
      <top/>
      <bottom style="medium">
        <color theme="1"/>
      </bottom>
      <diagonal/>
    </border>
    <border>
      <left style="thin">
        <color theme="1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medium">
        <color theme="1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749992370372631"/>
      </left>
      <right style="medium">
        <color theme="1"/>
      </right>
      <top/>
      <bottom/>
      <diagonal/>
    </border>
    <border>
      <left style="thin">
        <color theme="1"/>
      </left>
      <right style="medium">
        <color theme="1"/>
      </right>
      <top/>
      <bottom style="thin">
        <color theme="2" tint="-0.249977111117893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/>
      <bottom style="medium">
        <color indexed="64"/>
      </bottom>
      <diagonal/>
    </border>
    <border>
      <left style="thin">
        <color theme="2" tint="-0.749992370372631"/>
      </left>
      <right style="thin">
        <color theme="2" tint="-0.749992370372631"/>
      </right>
      <top/>
      <bottom style="medium">
        <color indexed="64"/>
      </bottom>
      <diagonal/>
    </border>
    <border>
      <left style="medium">
        <color theme="1"/>
      </left>
      <right style="thin">
        <color theme="1"/>
      </right>
      <top style="medium">
        <color indexed="64"/>
      </top>
      <bottom/>
      <diagonal/>
    </border>
    <border>
      <left/>
      <right style="thin">
        <color theme="1"/>
      </right>
      <top style="medium">
        <color indexed="64"/>
      </top>
      <bottom style="thin">
        <color theme="0" tint="-0.249977111117893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0" tint="-0.249977111117893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0" tint="-0.249977111117893"/>
      </bottom>
      <diagonal/>
    </border>
    <border>
      <left style="medium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medium">
        <color theme="1"/>
      </right>
      <top style="thin">
        <color theme="2" tint="-0.249977111117893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medium">
        <color theme="1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theme="1"/>
      </left>
      <right style="thin">
        <color theme="1"/>
      </right>
      <top style="thin">
        <color theme="2" tint="-0.249977111117893"/>
      </top>
      <bottom style="medium">
        <color indexed="64"/>
      </bottom>
      <diagonal/>
    </border>
    <border>
      <left style="medium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 style="medium">
        <color indexed="64"/>
      </top>
      <bottom style="thin">
        <color theme="2" tint="-0.249977111117893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2" tint="-0.249977111117893"/>
      </bottom>
      <diagonal/>
    </border>
    <border>
      <left/>
      <right style="medium">
        <color theme="1"/>
      </right>
      <top style="medium">
        <color indexed="64"/>
      </top>
      <bottom style="thin">
        <color theme="2" tint="-0.249977111117893"/>
      </bottom>
      <diagonal/>
    </border>
    <border>
      <left style="thin">
        <color theme="2" tint="-0.749992370372631"/>
      </left>
      <right style="medium">
        <color theme="1"/>
      </right>
      <top/>
      <bottom style="medium">
        <color indexed="64"/>
      </bottom>
      <diagonal/>
    </border>
    <border>
      <left/>
      <right style="thin">
        <color theme="1"/>
      </right>
      <top/>
      <bottom style="thin">
        <color theme="2" tint="-0.249977111117893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theme="1"/>
      </right>
      <top/>
      <bottom style="thin">
        <color theme="2" tint="-0.249977111117893"/>
      </bottom>
      <diagonal/>
    </border>
    <border>
      <left/>
      <right style="medium">
        <color theme="1"/>
      </right>
      <top style="thin">
        <color theme="2" tint="-0.249977111117893"/>
      </top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indexed="64"/>
      </top>
      <bottom/>
      <diagonal/>
    </border>
    <border>
      <left style="thin">
        <color theme="2" tint="-0.749992370372631"/>
      </left>
      <right style="medium">
        <color theme="1"/>
      </right>
      <top style="thin">
        <color indexed="64"/>
      </top>
      <bottom/>
      <diagonal/>
    </border>
    <border>
      <left style="thin">
        <color theme="1"/>
      </left>
      <right/>
      <top style="thin">
        <color theme="2" tint="-0.249977111117893"/>
      </top>
      <bottom style="medium">
        <color indexed="64"/>
      </bottom>
      <diagonal/>
    </border>
    <border>
      <left/>
      <right style="medium">
        <color theme="1"/>
      </right>
      <top style="thin">
        <color theme="2" tint="-0.249977111117893"/>
      </top>
      <bottom style="medium">
        <color indexed="64"/>
      </bottom>
      <diagonal/>
    </border>
    <border>
      <left style="thin">
        <color theme="1"/>
      </left>
      <right/>
      <top/>
      <bottom style="medium">
        <color indexed="64"/>
      </bottom>
      <diagonal/>
    </border>
    <border>
      <left style="thin">
        <color indexed="64"/>
      </left>
      <right style="thin">
        <color theme="1"/>
      </right>
      <top style="medium">
        <color indexed="64"/>
      </top>
      <bottom style="thin">
        <color theme="2" tint="-0.249977111117893"/>
      </bottom>
      <diagonal/>
    </border>
    <border>
      <left style="thin">
        <color theme="1"/>
      </left>
      <right/>
      <top/>
      <bottom style="thin">
        <color theme="2" tint="-0.249977111117893"/>
      </bottom>
      <diagonal/>
    </border>
    <border>
      <left/>
      <right/>
      <top style="thin">
        <color theme="2" tint="-0.249977111117893"/>
      </top>
      <bottom/>
      <diagonal/>
    </border>
    <border>
      <left/>
      <right/>
      <top style="thin">
        <color indexed="64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theme="2" tint="-0.249977111117893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57">
    <xf numFmtId="0" fontId="0" fillId="0" borderId="0" xfId="0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1" fontId="0" fillId="0" borderId="1" xfId="0" applyNumberFormat="1" applyBorder="1" applyAlignment="1" applyProtection="1">
      <alignment horizontal="left"/>
      <protection locked="0"/>
    </xf>
    <xf numFmtId="0" fontId="0" fillId="0" borderId="1" xfId="0" applyBorder="1" applyAlignment="1" applyProtection="1">
      <alignment horizontal="left"/>
      <protection locked="0"/>
    </xf>
    <xf numFmtId="2" fontId="0" fillId="0" borderId="1" xfId="0" applyNumberFormat="1" applyBorder="1" applyAlignment="1" applyProtection="1">
      <alignment horizontal="left"/>
      <protection locked="0"/>
    </xf>
    <xf numFmtId="0" fontId="2" fillId="0" borderId="0" xfId="0" applyFont="1" applyProtection="1">
      <protection locked="0"/>
    </xf>
    <xf numFmtId="0" fontId="2" fillId="0" borderId="13" xfId="0" applyFont="1" applyBorder="1" applyAlignment="1" applyProtection="1">
      <alignment horizontal="center" vertical="center" wrapText="1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164" fontId="0" fillId="0" borderId="13" xfId="0" applyNumberFormat="1" applyBorder="1" applyAlignment="1" applyProtection="1">
      <alignment horizontal="center" vertical="center"/>
      <protection locked="0"/>
    </xf>
    <xf numFmtId="0" fontId="1" fillId="0" borderId="13" xfId="0" applyFont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165" fontId="0" fillId="0" borderId="0" xfId="0" applyNumberFormat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5" borderId="15" xfId="0" applyFill="1" applyBorder="1" applyAlignment="1">
      <alignment horizontal="left" vertical="center" wrapText="1"/>
    </xf>
    <xf numFmtId="0" fontId="0" fillId="5" borderId="15" xfId="0" applyFill="1" applyBorder="1" applyAlignment="1">
      <alignment horizontal="center" vertical="center"/>
    </xf>
    <xf numFmtId="0" fontId="0" fillId="5" borderId="18" xfId="0" applyFill="1" applyBorder="1" applyAlignment="1">
      <alignment horizontal="left" vertical="center" wrapText="1"/>
    </xf>
    <xf numFmtId="0" fontId="0" fillId="5" borderId="18" xfId="0" applyFill="1" applyBorder="1" applyAlignment="1">
      <alignment horizontal="center" vertical="center"/>
    </xf>
    <xf numFmtId="0" fontId="0" fillId="5" borderId="21" xfId="0" applyFill="1" applyBorder="1" applyAlignment="1">
      <alignment horizontal="left" vertical="center" wrapText="1"/>
    </xf>
    <xf numFmtId="0" fontId="0" fillId="5" borderId="22" xfId="0" applyFill="1" applyBorder="1" applyAlignment="1">
      <alignment horizontal="center" vertical="center"/>
    </xf>
    <xf numFmtId="0" fontId="0" fillId="0" borderId="24" xfId="0" applyBorder="1" applyAlignment="1">
      <alignment horizontal="left" vertical="center" wrapText="1"/>
    </xf>
    <xf numFmtId="0" fontId="0" fillId="0" borderId="24" xfId="0" applyBorder="1" applyAlignment="1">
      <alignment horizontal="center" vertical="center"/>
    </xf>
    <xf numFmtId="0" fontId="0" fillId="0" borderId="26" xfId="0" applyBorder="1" applyAlignment="1">
      <alignment horizontal="left" vertical="center" wrapText="1"/>
    </xf>
    <xf numFmtId="0" fontId="0" fillId="0" borderId="26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5" borderId="55" xfId="0" applyFill="1" applyBorder="1" applyAlignment="1">
      <alignment vertical="center" wrapText="1"/>
    </xf>
    <xf numFmtId="0" fontId="0" fillId="5" borderId="56" xfId="0" applyFill="1" applyBorder="1" applyAlignment="1">
      <alignment horizontal="center" vertical="center"/>
    </xf>
    <xf numFmtId="0" fontId="0" fillId="5" borderId="57" xfId="0" applyFill="1" applyBorder="1" applyAlignment="1">
      <alignment horizontal="center" vertical="center"/>
    </xf>
    <xf numFmtId="0" fontId="0" fillId="5" borderId="18" xfId="0" applyFill="1" applyBorder="1" applyAlignment="1">
      <alignment vertical="center" wrapText="1"/>
    </xf>
    <xf numFmtId="0" fontId="0" fillId="5" borderId="28" xfId="0" applyFill="1" applyBorder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5" borderId="31" xfId="0" applyFill="1" applyBorder="1" applyAlignment="1">
      <alignment vertical="center" wrapText="1"/>
    </xf>
    <xf numFmtId="0" fontId="0" fillId="5" borderId="32" xfId="0" applyFill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59" xfId="0" applyFill="1" applyBorder="1" applyAlignment="1">
      <alignment horizontal="center" vertical="center"/>
    </xf>
    <xf numFmtId="0" fontId="0" fillId="0" borderId="61" xfId="0" applyBorder="1" applyAlignment="1">
      <alignment vertical="center" wrapText="1"/>
    </xf>
    <xf numFmtId="0" fontId="0" fillId="0" borderId="62" xfId="0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20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4" xfId="0" applyBorder="1" applyAlignment="1">
      <alignment vertical="center" wrapText="1"/>
    </xf>
    <xf numFmtId="0" fontId="0" fillId="6" borderId="65" xfId="0" applyFill="1" applyBorder="1" applyAlignment="1">
      <alignment horizontal="center" vertical="center"/>
    </xf>
    <xf numFmtId="0" fontId="0" fillId="6" borderId="60" xfId="0" applyFill="1" applyBorder="1" applyAlignment="1">
      <alignment horizontal="center" vertical="center"/>
    </xf>
    <xf numFmtId="0" fontId="0" fillId="5" borderId="67" xfId="0" applyFill="1" applyBorder="1" applyAlignment="1">
      <alignment horizontal="left" vertical="center" wrapText="1"/>
    </xf>
    <xf numFmtId="0" fontId="0" fillId="5" borderId="68" xfId="0" applyFill="1" applyBorder="1" applyAlignment="1">
      <alignment horizontal="center" vertical="center"/>
    </xf>
    <xf numFmtId="0" fontId="0" fillId="5" borderId="69" xfId="0" applyFill="1" applyBorder="1" applyAlignment="1">
      <alignment horizontal="center" vertical="center"/>
    </xf>
    <xf numFmtId="0" fontId="0" fillId="5" borderId="41" xfId="0" applyFill="1" applyBorder="1" applyAlignment="1">
      <alignment horizontal="left" vertical="center" wrapText="1"/>
    </xf>
    <xf numFmtId="0" fontId="0" fillId="5" borderId="42" xfId="0" applyFill="1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5" borderId="20" xfId="0" applyFill="1" applyBorder="1" applyAlignment="1">
      <alignment horizontal="left" vertical="center" wrapText="1"/>
    </xf>
    <xf numFmtId="0" fontId="0" fillId="5" borderId="65" xfId="0" applyFill="1" applyBorder="1" applyAlignment="1">
      <alignment horizontal="left" vertical="center" wrapText="1"/>
    </xf>
    <xf numFmtId="0" fontId="0" fillId="6" borderId="71" xfId="0" applyFill="1" applyBorder="1" applyAlignment="1">
      <alignment horizontal="left" vertical="center" wrapText="1"/>
    </xf>
    <xf numFmtId="0" fontId="0" fillId="6" borderId="35" xfId="0" applyFill="1" applyBorder="1" applyAlignment="1">
      <alignment horizontal="center" vertical="center"/>
    </xf>
    <xf numFmtId="0" fontId="0" fillId="6" borderId="45" xfId="0" applyFill="1" applyBorder="1" applyAlignment="1">
      <alignment horizontal="left" vertical="center" wrapText="1"/>
    </xf>
    <xf numFmtId="0" fontId="0" fillId="6" borderId="36" xfId="0" applyFill="1" applyBorder="1" applyAlignment="1">
      <alignment horizontal="center" vertical="center"/>
    </xf>
    <xf numFmtId="0" fontId="0" fillId="6" borderId="46" xfId="0" applyFill="1" applyBorder="1" applyAlignment="1">
      <alignment horizontal="left" vertical="center" wrapText="1"/>
    </xf>
    <xf numFmtId="0" fontId="0" fillId="6" borderId="40" xfId="0" applyFill="1" applyBorder="1" applyAlignment="1">
      <alignment horizontal="center" vertical="center"/>
    </xf>
    <xf numFmtId="0" fontId="0" fillId="5" borderId="50" xfId="0" applyFill="1" applyBorder="1" applyAlignment="1">
      <alignment horizontal="center" vertical="center"/>
    </xf>
    <xf numFmtId="0" fontId="0" fillId="5" borderId="5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2" fillId="2" borderId="0" xfId="0" applyFont="1" applyFill="1" applyAlignment="1">
      <alignment horizontal="right"/>
    </xf>
    <xf numFmtId="0" fontId="4" fillId="2" borderId="0" xfId="0" applyFont="1" applyFill="1" applyAlignment="1">
      <alignment horizontal="right"/>
    </xf>
    <xf numFmtId="0" fontId="2" fillId="2" borderId="0" xfId="0" applyFont="1" applyFill="1"/>
    <xf numFmtId="0" fontId="1" fillId="0" borderId="0" xfId="0" applyFont="1" applyAlignment="1" applyProtection="1">
      <alignment wrapText="1"/>
      <protection locked="0"/>
    </xf>
    <xf numFmtId="164" fontId="0" fillId="0" borderId="0" xfId="0" applyNumberFormat="1" applyProtection="1">
      <protection locked="0"/>
    </xf>
    <xf numFmtId="0" fontId="0" fillId="6" borderId="20" xfId="0" applyFill="1" applyBorder="1" applyAlignment="1">
      <alignment horizontal="left" vertical="center" wrapText="1"/>
    </xf>
    <xf numFmtId="0" fontId="0" fillId="6" borderId="38" xfId="0" applyFill="1" applyBorder="1" applyAlignment="1">
      <alignment horizontal="center" vertical="center"/>
    </xf>
    <xf numFmtId="0" fontId="0" fillId="6" borderId="65" xfId="0" applyFill="1" applyBorder="1" applyAlignment="1">
      <alignment horizontal="left" vertical="center" wrapText="1"/>
    </xf>
    <xf numFmtId="0" fontId="0" fillId="6" borderId="59" xfId="0" applyFill="1" applyBorder="1" applyAlignment="1">
      <alignment horizontal="center" vertical="center"/>
    </xf>
    <xf numFmtId="0" fontId="0" fillId="5" borderId="71" xfId="0" applyFill="1" applyBorder="1" applyAlignment="1">
      <alignment horizontal="left" vertical="center" wrapText="1"/>
    </xf>
    <xf numFmtId="0" fontId="0" fillId="5" borderId="35" xfId="0" applyFill="1" applyBorder="1" applyAlignment="1">
      <alignment horizontal="center" vertical="center"/>
    </xf>
    <xf numFmtId="0" fontId="0" fillId="5" borderId="44" xfId="0" applyFill="1" applyBorder="1" applyAlignment="1">
      <alignment horizontal="center" vertical="center"/>
    </xf>
    <xf numFmtId="0" fontId="0" fillId="5" borderId="45" xfId="0" applyFill="1" applyBorder="1" applyAlignment="1">
      <alignment horizontal="left" vertical="center" wrapText="1"/>
    </xf>
    <xf numFmtId="0" fontId="0" fillId="5" borderId="37" xfId="0" applyFill="1" applyBorder="1" applyAlignment="1">
      <alignment horizontal="center" vertical="center"/>
    </xf>
    <xf numFmtId="0" fontId="0" fillId="5" borderId="46" xfId="0" applyFill="1" applyBorder="1" applyAlignment="1">
      <alignment horizontal="left" vertical="center" wrapText="1"/>
    </xf>
    <xf numFmtId="0" fontId="0" fillId="5" borderId="40" xfId="0" applyFill="1" applyBorder="1" applyAlignment="1">
      <alignment horizontal="center" vertical="center"/>
    </xf>
    <xf numFmtId="0" fontId="0" fillId="5" borderId="47" xfId="0" applyFill="1" applyBorder="1" applyAlignment="1">
      <alignment horizontal="center" vertical="center"/>
    </xf>
    <xf numFmtId="0" fontId="0" fillId="6" borderId="50" xfId="0" applyFill="1" applyBorder="1" applyAlignment="1">
      <alignment horizontal="center" vertical="center"/>
    </xf>
    <xf numFmtId="0" fontId="0" fillId="6" borderId="51" xfId="0" applyFill="1" applyBorder="1" applyAlignment="1">
      <alignment horizontal="center" vertical="center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 wrapText="1"/>
      <protection locked="0"/>
    </xf>
    <xf numFmtId="1" fontId="0" fillId="0" borderId="0" xfId="0" applyNumberFormat="1" applyAlignment="1" applyProtection="1">
      <alignment horizontal="center"/>
      <protection locked="0"/>
    </xf>
    <xf numFmtId="0" fontId="0" fillId="0" borderId="0" xfId="0" applyAlignment="1">
      <alignment horizontal="right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7" borderId="72" xfId="0" applyFont="1" applyFill="1" applyBorder="1" applyAlignment="1">
      <alignment horizontal="center" vertical="center"/>
    </xf>
    <xf numFmtId="0" fontId="2" fillId="7" borderId="73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 wrapText="1"/>
    </xf>
    <xf numFmtId="0" fontId="0" fillId="0" borderId="74" xfId="0" applyBorder="1" applyAlignment="1">
      <alignment horizontal="center" vertical="center"/>
    </xf>
    <xf numFmtId="164" fontId="0" fillId="0" borderId="75" xfId="0" applyNumberFormat="1" applyBorder="1" applyAlignment="1">
      <alignment horizontal="center" vertical="center"/>
    </xf>
    <xf numFmtId="0" fontId="0" fillId="5" borderId="81" xfId="0" applyFill="1" applyBorder="1" applyAlignment="1">
      <alignment horizontal="center" vertical="center" wrapText="1"/>
    </xf>
    <xf numFmtId="0" fontId="0" fillId="5" borderId="82" xfId="0" applyFill="1" applyBorder="1" applyAlignment="1">
      <alignment horizontal="center" vertical="center" wrapText="1"/>
    </xf>
    <xf numFmtId="0" fontId="0" fillId="6" borderId="90" xfId="0" applyFill="1" applyBorder="1" applyAlignment="1">
      <alignment horizontal="center" vertical="center" wrapText="1"/>
    </xf>
    <xf numFmtId="0" fontId="0" fillId="6" borderId="45" xfId="0" applyFill="1" applyBorder="1" applyAlignment="1">
      <alignment horizontal="center" vertical="center" wrapText="1"/>
    </xf>
    <xf numFmtId="0" fontId="0" fillId="6" borderId="83" xfId="0" applyFill="1" applyBorder="1" applyAlignment="1">
      <alignment horizontal="center" vertical="center" wrapText="1"/>
    </xf>
    <xf numFmtId="0" fontId="0" fillId="6" borderId="84" xfId="0" applyFill="1" applyBorder="1" applyAlignment="1">
      <alignment horizontal="center" vertical="center" wrapText="1"/>
    </xf>
    <xf numFmtId="0" fontId="0" fillId="5" borderId="88" xfId="0" applyFill="1" applyBorder="1" applyAlignment="1">
      <alignment horizontal="center" vertical="center" wrapText="1"/>
    </xf>
    <xf numFmtId="0" fontId="0" fillId="5" borderId="89" xfId="0" applyFill="1" applyBorder="1" applyAlignment="1">
      <alignment horizontal="center" vertical="center" wrapText="1"/>
    </xf>
    <xf numFmtId="0" fontId="0" fillId="5" borderId="91" xfId="0" applyFill="1" applyBorder="1" applyAlignment="1">
      <alignment horizontal="center" vertical="center" wrapText="1"/>
    </xf>
    <xf numFmtId="0" fontId="0" fillId="5" borderId="92" xfId="0" applyFill="1" applyBorder="1" applyAlignment="1">
      <alignment horizontal="center" vertical="center" wrapText="1"/>
    </xf>
    <xf numFmtId="0" fontId="2" fillId="4" borderId="25" xfId="0" applyFont="1" applyFill="1" applyBorder="1" applyAlignment="1">
      <alignment vertical="center" wrapText="1"/>
    </xf>
    <xf numFmtId="0" fontId="0" fillId="5" borderId="94" xfId="0" applyFill="1" applyBorder="1" applyAlignment="1">
      <alignment horizontal="center" vertical="center"/>
    </xf>
    <xf numFmtId="0" fontId="0" fillId="5" borderId="95" xfId="0" applyFill="1" applyBorder="1" applyAlignment="1">
      <alignment horizontal="center" vertical="center"/>
    </xf>
    <xf numFmtId="0" fontId="0" fillId="0" borderId="96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0" fontId="9" fillId="3" borderId="0" xfId="0" applyFont="1" applyFill="1" applyAlignment="1">
      <alignment vertical="center" wrapText="1"/>
    </xf>
    <xf numFmtId="0" fontId="2" fillId="4" borderId="14" xfId="0" applyFont="1" applyFill="1" applyBorder="1" applyAlignment="1">
      <alignment vertical="center"/>
    </xf>
    <xf numFmtId="0" fontId="2" fillId="4" borderId="17" xfId="0" applyFont="1" applyFill="1" applyBorder="1" applyAlignment="1">
      <alignment vertical="center"/>
    </xf>
    <xf numFmtId="0" fontId="2" fillId="4" borderId="23" xfId="0" applyFont="1" applyFill="1" applyBorder="1" applyAlignment="1">
      <alignment vertical="center" wrapText="1"/>
    </xf>
    <xf numFmtId="0" fontId="2" fillId="4" borderId="54" xfId="0" applyFont="1" applyFill="1" applyBorder="1" applyAlignment="1">
      <alignment vertical="center"/>
    </xf>
    <xf numFmtId="0" fontId="2" fillId="4" borderId="27" xfId="0" applyFont="1" applyFill="1" applyBorder="1" applyAlignment="1">
      <alignment vertical="center"/>
    </xf>
    <xf numFmtId="0" fontId="2" fillId="4" borderId="58" xfId="0" applyFont="1" applyFill="1" applyBorder="1" applyAlignment="1">
      <alignment vertical="center"/>
    </xf>
    <xf numFmtId="0" fontId="2" fillId="4" borderId="66" xfId="0" applyFont="1" applyFill="1" applyBorder="1" applyAlignment="1">
      <alignment vertical="center"/>
    </xf>
    <xf numFmtId="0" fontId="2" fillId="4" borderId="25" xfId="0" applyFont="1" applyFill="1" applyBorder="1" applyAlignment="1">
      <alignment vertical="center"/>
    </xf>
    <xf numFmtId="0" fontId="2" fillId="4" borderId="52" xfId="0" applyFont="1" applyFill="1" applyBorder="1" applyAlignment="1">
      <alignment vertical="center"/>
    </xf>
    <xf numFmtId="0" fontId="0" fillId="5" borderId="98" xfId="0" applyFill="1" applyBorder="1" applyAlignment="1">
      <alignment horizontal="left" vertical="center" wrapText="1"/>
    </xf>
    <xf numFmtId="0" fontId="0" fillId="5" borderId="65" xfId="0" applyFill="1" applyBorder="1" applyAlignment="1">
      <alignment horizontal="center" vertical="center"/>
    </xf>
    <xf numFmtId="0" fontId="0" fillId="5" borderId="99" xfId="0" applyFill="1" applyBorder="1" applyAlignment="1">
      <alignment horizontal="center" vertical="center"/>
    </xf>
    <xf numFmtId="0" fontId="0" fillId="0" borderId="100" xfId="0" applyBorder="1" applyAlignment="1">
      <alignment vertical="center" wrapText="1"/>
    </xf>
    <xf numFmtId="0" fontId="0" fillId="0" borderId="59" xfId="0" applyBorder="1" applyAlignment="1">
      <alignment horizontal="center" vertical="center"/>
    </xf>
    <xf numFmtId="0" fontId="1" fillId="5" borderId="49" xfId="0" applyFont="1" applyFill="1" applyBorder="1" applyAlignment="1">
      <alignment vertical="center"/>
    </xf>
    <xf numFmtId="0" fontId="1" fillId="5" borderId="48" xfId="0" applyFont="1" applyFill="1" applyBorder="1" applyAlignment="1">
      <alignment vertical="center"/>
    </xf>
    <xf numFmtId="0" fontId="0" fillId="0" borderId="3" xfId="0" applyBorder="1" applyAlignment="1" applyProtection="1">
      <alignment vertical="center" wrapText="1"/>
      <protection locked="0"/>
    </xf>
    <xf numFmtId="0" fontId="0" fillId="0" borderId="4" xfId="0" applyBorder="1" applyAlignment="1" applyProtection="1">
      <alignment vertical="center" wrapText="1"/>
      <protection locked="0"/>
    </xf>
    <xf numFmtId="0" fontId="0" fillId="0" borderId="5" xfId="0" applyBorder="1" applyAlignment="1" applyProtection="1">
      <alignment vertical="center" wrapText="1"/>
      <protection locked="0"/>
    </xf>
    <xf numFmtId="0" fontId="0" fillId="0" borderId="6" xfId="0" applyBorder="1" applyAlignment="1" applyProtection="1">
      <alignment vertical="center" wrapText="1"/>
      <protection locked="0"/>
    </xf>
    <xf numFmtId="0" fontId="0" fillId="0" borderId="0" xfId="0" applyAlignment="1" applyProtection="1">
      <alignment vertical="center" wrapText="1"/>
      <protection locked="0"/>
    </xf>
    <xf numFmtId="0" fontId="0" fillId="0" borderId="7" xfId="0" applyBorder="1" applyAlignment="1" applyProtection="1">
      <alignment vertical="center" wrapText="1"/>
      <protection locked="0"/>
    </xf>
    <xf numFmtId="0" fontId="0" fillId="0" borderId="8" xfId="0" applyBorder="1" applyAlignment="1" applyProtection="1">
      <alignment vertical="center" wrapText="1"/>
      <protection locked="0"/>
    </xf>
    <xf numFmtId="0" fontId="0" fillId="0" borderId="2" xfId="0" applyBorder="1" applyAlignment="1" applyProtection="1">
      <alignment vertical="center" wrapText="1"/>
      <protection locked="0"/>
    </xf>
    <xf numFmtId="0" fontId="0" fillId="0" borderId="9" xfId="0" applyBorder="1" applyAlignment="1" applyProtection="1">
      <alignment vertical="center" wrapText="1"/>
      <protection locked="0"/>
    </xf>
    <xf numFmtId="0" fontId="0" fillId="6" borderId="15" xfId="0" applyFill="1" applyBorder="1" applyAlignment="1">
      <alignment horizontal="left" vertical="center" wrapText="1"/>
    </xf>
    <xf numFmtId="0" fontId="0" fillId="6" borderId="15" xfId="0" applyFill="1" applyBorder="1" applyAlignment="1">
      <alignment horizontal="center" vertical="center"/>
    </xf>
    <xf numFmtId="0" fontId="0" fillId="6" borderId="16" xfId="0" applyFill="1" applyBorder="1" applyAlignment="1">
      <alignment horizontal="center" vertical="center"/>
    </xf>
    <xf numFmtId="0" fontId="0" fillId="6" borderId="18" xfId="0" applyFill="1" applyBorder="1" applyAlignment="1">
      <alignment horizontal="left" vertical="center" wrapText="1"/>
    </xf>
    <xf numFmtId="0" fontId="0" fillId="6" borderId="18" xfId="0" applyFill="1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0" borderId="59" xfId="0" applyBorder="1" applyProtection="1">
      <protection locked="0"/>
    </xf>
    <xf numFmtId="0" fontId="0" fillId="5" borderId="101" xfId="0" applyFill="1" applyBorder="1" applyAlignment="1">
      <alignment horizontal="left" vertical="center" wrapText="1"/>
    </xf>
    <xf numFmtId="0" fontId="0" fillId="5" borderId="102" xfId="0" applyFill="1" applyBorder="1" applyAlignment="1">
      <alignment horizontal="left" vertical="center" wrapText="1"/>
    </xf>
    <xf numFmtId="0" fontId="0" fillId="5" borderId="34" xfId="0" applyFill="1" applyBorder="1" applyAlignment="1">
      <alignment horizontal="left" vertical="center" wrapText="1"/>
    </xf>
    <xf numFmtId="0" fontId="0" fillId="5" borderId="0" xfId="0" applyFill="1" applyAlignment="1">
      <alignment horizontal="left" vertical="center" wrapText="1"/>
    </xf>
    <xf numFmtId="0" fontId="0" fillId="5" borderId="103" xfId="0" applyFill="1" applyBorder="1" applyAlignment="1">
      <alignment horizontal="left" vertical="center" wrapText="1"/>
    </xf>
    <xf numFmtId="0" fontId="0" fillId="0" borderId="104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64" xfId="0" applyBorder="1" applyAlignment="1">
      <alignment horizontal="left" vertical="center" wrapText="1"/>
    </xf>
    <xf numFmtId="0" fontId="0" fillId="5" borderId="109" xfId="0" applyFill="1" applyBorder="1" applyAlignment="1">
      <alignment horizontal="left" vertical="center" wrapText="1"/>
    </xf>
    <xf numFmtId="0" fontId="0" fillId="0" borderId="0" xfId="0" applyAlignment="1" applyProtection="1">
      <alignment horizontal="center" vertical="center" wrapText="1"/>
      <protection locked="0"/>
    </xf>
    <xf numFmtId="164" fontId="0" fillId="0" borderId="1" xfId="0" applyNumberFormat="1" applyBorder="1" applyAlignment="1" applyProtection="1">
      <alignment horizontal="left"/>
      <protection locked="0"/>
    </xf>
    <xf numFmtId="2" fontId="0" fillId="0" borderId="0" xfId="0" applyNumberFormat="1" applyProtection="1">
      <protection locked="0"/>
    </xf>
    <xf numFmtId="2" fontId="0" fillId="0" borderId="0" xfId="0" applyNumberFormat="1" applyAlignment="1">
      <alignment horizontal="center" vertical="center"/>
    </xf>
    <xf numFmtId="166" fontId="0" fillId="0" borderId="1" xfId="0" applyNumberFormat="1" applyBorder="1" applyAlignment="1" applyProtection="1">
      <alignment horizontal="left"/>
      <protection locked="0"/>
    </xf>
    <xf numFmtId="166" fontId="0" fillId="0" borderId="0" xfId="0" applyNumberFormat="1" applyAlignment="1" applyProtection="1">
      <alignment horizontal="left"/>
      <protection locked="0"/>
    </xf>
    <xf numFmtId="166" fontId="0" fillId="0" borderId="0" xfId="0" applyNumberFormat="1" applyProtection="1">
      <protection locked="0"/>
    </xf>
    <xf numFmtId="166" fontId="0" fillId="5" borderId="68" xfId="0" applyNumberFormat="1" applyFill="1" applyBorder="1" applyAlignment="1">
      <alignment horizontal="center" vertical="center"/>
    </xf>
    <xf numFmtId="166" fontId="0" fillId="5" borderId="35" xfId="0" applyNumberFormat="1" applyFill="1" applyBorder="1" applyAlignment="1">
      <alignment horizontal="center" vertical="center"/>
    </xf>
    <xf numFmtId="166" fontId="0" fillId="5" borderId="22" xfId="0" applyNumberFormat="1" applyFill="1" applyBorder="1" applyAlignment="1">
      <alignment horizontal="center" vertical="center"/>
    </xf>
    <xf numFmtId="166" fontId="0" fillId="0" borderId="96" xfId="0" applyNumberFormat="1" applyBorder="1" applyAlignment="1">
      <alignment horizontal="center" vertical="center"/>
    </xf>
    <xf numFmtId="166" fontId="0" fillId="0" borderId="26" xfId="0" applyNumberFormat="1" applyBorder="1" applyAlignment="1">
      <alignment horizontal="center" vertical="center"/>
    </xf>
    <xf numFmtId="166" fontId="0" fillId="0" borderId="53" xfId="0" applyNumberFormat="1" applyBorder="1" applyAlignment="1">
      <alignment horizontal="center" vertical="center"/>
    </xf>
    <xf numFmtId="166" fontId="0" fillId="5" borderId="50" xfId="0" applyNumberForma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0" xfId="0"/>
    <xf numFmtId="0" fontId="0" fillId="0" borderId="0" xfId="0" pivotButton="1"/>
    <xf numFmtId="0" fontId="0" fillId="0" borderId="0" xfId="0" applyAlignment="1">
      <alignment horizontal="center" vertical="center"/>
    </xf>
    <xf numFmtId="0" fontId="0" fillId="0" borderId="0" xfId="0" applyNumberFormat="1"/>
    <xf numFmtId="0" fontId="0" fillId="0" borderId="0" xfId="0" applyAlignment="1"/>
    <xf numFmtId="1" fontId="0" fillId="0" borderId="0" xfId="0" applyNumberFormat="1" applyAlignment="1">
      <alignment horizontal="left"/>
    </xf>
    <xf numFmtId="164" fontId="0" fillId="0" borderId="0" xfId="0" applyNumberFormat="1" applyAlignment="1">
      <alignment horizontal="center" vertical="center"/>
    </xf>
    <xf numFmtId="0" fontId="1" fillId="0" borderId="0" xfId="0" applyFont="1"/>
    <xf numFmtId="0" fontId="1" fillId="5" borderId="86" xfId="0" applyFont="1" applyFill="1" applyBorder="1" applyAlignment="1">
      <alignment horizontal="right" vertical="center"/>
    </xf>
    <xf numFmtId="0" fontId="1" fillId="5" borderId="87" xfId="0" applyFont="1" applyFill="1" applyBorder="1" applyAlignment="1">
      <alignment horizontal="right" vertical="center"/>
    </xf>
    <xf numFmtId="0" fontId="2" fillId="8" borderId="80" xfId="0" applyFont="1" applyFill="1" applyBorder="1" applyAlignment="1">
      <alignment horizontal="center" vertical="center" wrapText="1"/>
    </xf>
    <xf numFmtId="0" fontId="2" fillId="8" borderId="93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9" fillId="3" borderId="76" xfId="0" applyFont="1" applyFill="1" applyBorder="1" applyAlignment="1">
      <alignment horizontal="center" vertical="center"/>
    </xf>
    <xf numFmtId="0" fontId="9" fillId="3" borderId="78" xfId="0" applyFont="1" applyFill="1" applyBorder="1" applyAlignment="1">
      <alignment horizontal="center" vertical="center"/>
    </xf>
    <xf numFmtId="0" fontId="9" fillId="3" borderId="77" xfId="0" applyFont="1" applyFill="1" applyBorder="1" applyAlignment="1">
      <alignment horizontal="center" vertical="center"/>
    </xf>
    <xf numFmtId="0" fontId="9" fillId="3" borderId="79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8" borderId="85" xfId="0" applyFont="1" applyFill="1" applyBorder="1" applyAlignment="1">
      <alignment horizontal="center" vertical="center" wrapText="1"/>
    </xf>
    <xf numFmtId="0" fontId="2" fillId="4" borderId="106" xfId="0" applyFont="1" applyFill="1" applyBorder="1" applyAlignment="1">
      <alignment horizontal="center" vertical="center" wrapText="1"/>
    </xf>
    <xf numFmtId="0" fontId="2" fillId="4" borderId="107" xfId="0" applyFont="1" applyFill="1" applyBorder="1" applyAlignment="1">
      <alignment horizontal="center" vertical="center" wrapText="1"/>
    </xf>
    <xf numFmtId="0" fontId="2" fillId="4" borderId="108" xfId="0" applyFont="1" applyFill="1" applyBorder="1" applyAlignment="1">
      <alignment horizontal="center" vertical="center" wrapText="1"/>
    </xf>
    <xf numFmtId="0" fontId="1" fillId="5" borderId="105" xfId="0" applyFont="1" applyFill="1" applyBorder="1" applyAlignment="1">
      <alignment horizontal="right" vertical="center"/>
    </xf>
    <xf numFmtId="0" fontId="1" fillId="5" borderId="49" xfId="0" applyFont="1" applyFill="1" applyBorder="1" applyAlignment="1">
      <alignment horizontal="right" vertical="center"/>
    </xf>
    <xf numFmtId="0" fontId="0" fillId="0" borderId="10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166" fontId="9" fillId="3" borderId="0" xfId="0" applyNumberFormat="1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/>
    </xf>
    <xf numFmtId="0" fontId="0" fillId="0" borderId="0" xfId="0" applyAlignment="1" applyProtection="1">
      <alignment horizontal="center" vertical="center" wrapText="1"/>
      <protection locked="0"/>
    </xf>
    <xf numFmtId="0" fontId="2" fillId="4" borderId="54" xfId="0" applyFont="1" applyFill="1" applyBorder="1" applyAlignment="1">
      <alignment horizontal="center" vertical="center"/>
    </xf>
    <xf numFmtId="0" fontId="2" fillId="4" borderId="27" xfId="0" applyFont="1" applyFill="1" applyBorder="1" applyAlignment="1">
      <alignment horizontal="center" vertical="center"/>
    </xf>
    <xf numFmtId="0" fontId="2" fillId="4" borderId="39" xfId="0" applyFont="1" applyFill="1" applyBorder="1" applyAlignment="1">
      <alignment horizontal="center" vertical="center"/>
    </xf>
    <xf numFmtId="0" fontId="0" fillId="0" borderId="110" xfId="0" applyBorder="1" applyAlignment="1">
      <alignment horizontal="center" vertical="center" wrapText="1"/>
    </xf>
    <xf numFmtId="0" fontId="0" fillId="0" borderId="111" xfId="0" applyBorder="1" applyAlignment="1">
      <alignment horizontal="center" vertical="center" wrapText="1"/>
    </xf>
    <xf numFmtId="0" fontId="0" fillId="0" borderId="115" xfId="0" applyBorder="1" applyAlignment="1">
      <alignment horizontal="center" vertical="center" wrapText="1"/>
    </xf>
    <xf numFmtId="0" fontId="0" fillId="0" borderId="116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112" xfId="0" applyBorder="1" applyAlignment="1">
      <alignment horizontal="center" vertical="center" wrapText="1"/>
    </xf>
    <xf numFmtId="0" fontId="0" fillId="0" borderId="117" xfId="0" applyBorder="1" applyAlignment="1">
      <alignment horizontal="center" vertical="center" wrapText="1"/>
    </xf>
    <xf numFmtId="0" fontId="0" fillId="0" borderId="113" xfId="0" applyBorder="1" applyAlignment="1">
      <alignment horizontal="center" vertical="center" wrapText="1"/>
    </xf>
    <xf numFmtId="0" fontId="0" fillId="0" borderId="114" xfId="0" applyBorder="1" applyAlignment="1">
      <alignment horizontal="center" vertical="center" wrapText="1"/>
    </xf>
    <xf numFmtId="0" fontId="0" fillId="0" borderId="3" xfId="0" applyBorder="1" applyAlignment="1" applyProtection="1">
      <alignment horizontal="center" vertical="center" wrapText="1"/>
      <protection locked="0"/>
    </xf>
    <xf numFmtId="0" fontId="0" fillId="0" borderId="4" xfId="0" applyBorder="1" applyAlignment="1" applyProtection="1">
      <alignment horizontal="center" vertical="center" wrapText="1"/>
      <protection locked="0"/>
    </xf>
    <xf numFmtId="0" fontId="0" fillId="0" borderId="5" xfId="0" applyBorder="1" applyAlignment="1" applyProtection="1">
      <alignment horizontal="center" vertical="center" wrapText="1"/>
      <protection locked="0"/>
    </xf>
    <xf numFmtId="0" fontId="0" fillId="0" borderId="6" xfId="0" applyBorder="1" applyAlignment="1" applyProtection="1">
      <alignment horizontal="center" vertical="center" wrapText="1"/>
      <protection locked="0"/>
    </xf>
    <xf numFmtId="0" fontId="0" fillId="0" borderId="0" xfId="0" applyBorder="1" applyAlignment="1" applyProtection="1">
      <alignment horizontal="center" vertical="center" wrapText="1"/>
      <protection locked="0"/>
    </xf>
    <xf numFmtId="0" fontId="0" fillId="0" borderId="7" xfId="0" applyBorder="1" applyAlignment="1" applyProtection="1">
      <alignment horizontal="center" vertical="center" wrapText="1"/>
      <protection locked="0"/>
    </xf>
    <xf numFmtId="0" fontId="0" fillId="0" borderId="8" xfId="0" applyBorder="1" applyAlignment="1" applyProtection="1">
      <alignment horizontal="center" vertical="center" wrapText="1"/>
      <protection locked="0"/>
    </xf>
    <xf numFmtId="0" fontId="0" fillId="0" borderId="2" xfId="0" applyBorder="1" applyAlignment="1" applyProtection="1">
      <alignment horizontal="center" vertical="center" wrapText="1"/>
      <protection locked="0"/>
    </xf>
    <xf numFmtId="0" fontId="0" fillId="0" borderId="9" xfId="0" applyBorder="1" applyAlignment="1" applyProtection="1">
      <alignment horizontal="center" vertical="center" wrapText="1"/>
      <protection locked="0"/>
    </xf>
    <xf numFmtId="0" fontId="3" fillId="0" borderId="6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" fillId="0" borderId="118" xfId="0" applyFont="1" applyBorder="1" applyAlignment="1" applyProtection="1">
      <alignment horizontal="center" vertical="center" wrapText="1"/>
      <protection locked="0"/>
    </xf>
    <xf numFmtId="0" fontId="1" fillId="0" borderId="61" xfId="0" applyFont="1" applyBorder="1" applyAlignment="1" applyProtection="1">
      <alignment horizontal="center" vertical="center" wrapText="1"/>
      <protection locked="0"/>
    </xf>
    <xf numFmtId="0" fontId="1" fillId="0" borderId="119" xfId="0" applyFont="1" applyBorder="1" applyAlignment="1" applyProtection="1">
      <alignment horizontal="center" vertical="center" wrapText="1"/>
      <protection locked="0"/>
    </xf>
    <xf numFmtId="0" fontId="1" fillId="0" borderId="120" xfId="0" applyFont="1" applyBorder="1" applyAlignment="1" applyProtection="1">
      <alignment horizontal="center" vertical="center" wrapText="1"/>
      <protection locked="0"/>
    </xf>
    <xf numFmtId="0" fontId="1" fillId="0" borderId="64" xfId="0" applyFont="1" applyBorder="1" applyAlignment="1" applyProtection="1">
      <alignment horizontal="center" vertical="center" wrapText="1"/>
      <protection locked="0"/>
    </xf>
    <xf numFmtId="0" fontId="1" fillId="0" borderId="121" xfId="0" applyFont="1" applyBorder="1" applyAlignment="1" applyProtection="1">
      <alignment horizontal="center" vertical="center" wrapText="1"/>
      <protection locked="0"/>
    </xf>
    <xf numFmtId="0" fontId="2" fillId="4" borderId="58" xfId="0" applyFont="1" applyFill="1" applyBorder="1" applyAlignment="1">
      <alignment horizontal="center" vertical="center"/>
    </xf>
    <xf numFmtId="0" fontId="1" fillId="6" borderId="48" xfId="0" applyFont="1" applyFill="1" applyBorder="1" applyAlignment="1">
      <alignment horizontal="right" vertical="center"/>
    </xf>
    <xf numFmtId="0" fontId="1" fillId="6" borderId="49" xfId="0" applyFont="1" applyFill="1" applyBorder="1" applyAlignment="1">
      <alignment horizontal="right" vertical="center"/>
    </xf>
    <xf numFmtId="0" fontId="9" fillId="3" borderId="0" xfId="0" applyFont="1" applyFill="1" applyAlignment="1">
      <alignment horizontal="center" vertical="center" wrapText="1"/>
    </xf>
    <xf numFmtId="0" fontId="2" fillId="4" borderId="14" xfId="0" applyFont="1" applyFill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/>
    </xf>
    <xf numFmtId="0" fontId="2" fillId="4" borderId="54" xfId="0" applyFont="1" applyFill="1" applyBorder="1" applyAlignment="1">
      <alignment horizontal="center" vertical="center" wrapText="1"/>
    </xf>
    <xf numFmtId="0" fontId="2" fillId="4" borderId="27" xfId="0" applyFont="1" applyFill="1" applyBorder="1" applyAlignment="1">
      <alignment horizontal="center" vertical="center" wrapText="1"/>
    </xf>
    <xf numFmtId="0" fontId="2" fillId="4" borderId="58" xfId="0" applyFont="1" applyFill="1" applyBorder="1" applyAlignment="1">
      <alignment horizontal="center" vertical="center" wrapText="1"/>
    </xf>
    <xf numFmtId="0" fontId="2" fillId="4" borderId="66" xfId="0" applyFont="1" applyFill="1" applyBorder="1" applyAlignment="1">
      <alignment horizontal="center" vertical="center"/>
    </xf>
    <xf numFmtId="0" fontId="2" fillId="4" borderId="25" xfId="0" applyFont="1" applyFill="1" applyBorder="1" applyAlignment="1">
      <alignment horizontal="center" vertical="center"/>
    </xf>
    <xf numFmtId="0" fontId="2" fillId="4" borderId="52" xfId="0" applyFont="1" applyFill="1" applyBorder="1" applyAlignment="1">
      <alignment horizontal="center" vertical="center"/>
    </xf>
    <xf numFmtId="0" fontId="0" fillId="0" borderId="0" xfId="0" applyBorder="1"/>
    <xf numFmtId="0" fontId="0" fillId="0" borderId="0" xfId="0" applyBorder="1" applyProtection="1">
      <protection locked="0"/>
    </xf>
    <xf numFmtId="0" fontId="0" fillId="0" borderId="0" xfId="0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164" fontId="0" fillId="0" borderId="0" xfId="0" applyNumberFormat="1" applyBorder="1" applyAlignment="1" applyProtection="1">
      <alignment horizontal="center" vertical="center"/>
      <protection locked="0"/>
    </xf>
    <xf numFmtId="0" fontId="0" fillId="0" borderId="0" xfId="0" applyBorder="1" applyAlignment="1">
      <alignment horizontal="center"/>
    </xf>
    <xf numFmtId="0" fontId="0" fillId="0" borderId="0" xfId="0" applyAlignment="1" applyProtection="1">
      <alignment horizontal="left"/>
      <protection locked="0"/>
    </xf>
    <xf numFmtId="0" fontId="0" fillId="0" borderId="78" xfId="0" applyBorder="1" applyAlignment="1">
      <alignment horizontal="center" vertical="center"/>
    </xf>
    <xf numFmtId="164" fontId="0" fillId="0" borderId="78" xfId="0" applyNumberFormat="1" applyBorder="1" applyAlignment="1">
      <alignment horizontal="center" vertical="center"/>
    </xf>
    <xf numFmtId="164" fontId="0" fillId="0" borderId="78" xfId="0" applyNumberFormat="1" applyBorder="1" applyAlignment="1" applyProtection="1">
      <alignment horizontal="center" vertical="center"/>
      <protection locked="0"/>
    </xf>
    <xf numFmtId="0" fontId="11" fillId="0" borderId="118" xfId="0" applyFont="1" applyBorder="1" applyAlignment="1">
      <alignment horizontal="center" vertical="center" wrapText="1"/>
    </xf>
    <xf numFmtId="0" fontId="11" fillId="0" borderId="61" xfId="0" applyFont="1" applyBorder="1" applyAlignment="1">
      <alignment horizontal="center" vertical="center" wrapText="1"/>
    </xf>
    <xf numFmtId="0" fontId="11" fillId="0" borderId="119" xfId="0" applyFont="1" applyBorder="1" applyAlignment="1">
      <alignment horizontal="center" vertical="center" wrapText="1"/>
    </xf>
    <xf numFmtId="0" fontId="11" fillId="0" borderId="120" xfId="0" applyFont="1" applyBorder="1" applyAlignment="1">
      <alignment horizontal="center" vertical="center" wrapText="1"/>
    </xf>
    <xf numFmtId="0" fontId="11" fillId="0" borderId="64" xfId="0" applyFont="1" applyBorder="1" applyAlignment="1">
      <alignment horizontal="center" vertical="center" wrapText="1"/>
    </xf>
    <xf numFmtId="0" fontId="11" fillId="0" borderId="121" xfId="0" applyFont="1" applyBorder="1" applyAlignment="1">
      <alignment horizontal="center" vertical="center" wrapText="1"/>
    </xf>
  </cellXfs>
  <cellStyles count="1">
    <cellStyle name="Normal" xfId="0" builtinId="0"/>
  </cellStyles>
  <dxfs count="12"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des étudiants selon le nombre d'heures consacrés aux études au Cégep du Vieux-Montréal à l'automne 2020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Pourcentage des étudiants</c:v>
          </c:tx>
          <c:spPr>
            <a:solidFill>
              <a:schemeClr val="accent1"/>
            </a:solidFill>
            <a:ln w="19050">
              <a:solidFill>
                <a:schemeClr val="tx1"/>
              </a:solidFill>
            </a:ln>
            <a:effectLst/>
          </c:spPr>
          <c:invertIfNegative val="0"/>
          <c:cat>
            <c:strRef>
              <c:f>Heure!$D$6:$D$13</c:f>
              <c:strCache>
                <c:ptCount val="8"/>
                <c:pt idx="0">
                  <c:v>[30;34[</c:v>
                </c:pt>
                <c:pt idx="1">
                  <c:v>[34;38[</c:v>
                </c:pt>
                <c:pt idx="2">
                  <c:v>[38;42[</c:v>
                </c:pt>
                <c:pt idx="3">
                  <c:v>[42;46[</c:v>
                </c:pt>
                <c:pt idx="4">
                  <c:v>[46;50[</c:v>
                </c:pt>
                <c:pt idx="5">
                  <c:v>[50;54[</c:v>
                </c:pt>
                <c:pt idx="6">
                  <c:v>[54;58[</c:v>
                </c:pt>
                <c:pt idx="7">
                  <c:v>[58;62[</c:v>
                </c:pt>
              </c:strCache>
            </c:strRef>
          </c:cat>
          <c:val>
            <c:numRef>
              <c:f>Heure!$F$6:$F$13</c:f>
              <c:numCache>
                <c:formatCode>0.0</c:formatCode>
                <c:ptCount val="8"/>
                <c:pt idx="0">
                  <c:v>2.0979020979020979</c:v>
                </c:pt>
                <c:pt idx="1">
                  <c:v>10.48951048951049</c:v>
                </c:pt>
                <c:pt idx="2">
                  <c:v>35.664335664335667</c:v>
                </c:pt>
                <c:pt idx="3">
                  <c:v>28.671328671328673</c:v>
                </c:pt>
                <c:pt idx="4">
                  <c:v>16.783216783216783</c:v>
                </c:pt>
                <c:pt idx="5">
                  <c:v>4.1958041958041958</c:v>
                </c:pt>
                <c:pt idx="6">
                  <c:v>1.3986013986013985</c:v>
                </c:pt>
                <c:pt idx="7">
                  <c:v>0.69930069930069927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FF-4A6C-9564-16B410AAC9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808522159"/>
        <c:axId val="1808533807"/>
      </c:barChart>
      <c:catAx>
        <c:axId val="18085221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A"/>
                  <a:t>Nombre</a:t>
                </a:r>
                <a:r>
                  <a:rPr lang="fr-CA" baseline="0"/>
                  <a:t> d'heures d'étude</a:t>
                </a:r>
                <a:endParaRPr lang="fr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08533807"/>
        <c:crosses val="autoZero"/>
        <c:auto val="1"/>
        <c:lblAlgn val="ctr"/>
        <c:lblOffset val="100"/>
        <c:noMultiLvlLbl val="0"/>
      </c:catAx>
      <c:valAx>
        <c:axId val="1808533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A"/>
                  <a:t>Pourcentage</a:t>
                </a:r>
                <a:r>
                  <a:rPr lang="fr-CA" baseline="0"/>
                  <a:t> d'étudiants</a:t>
                </a:r>
                <a:endParaRPr lang="fr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,##0.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085221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A" sz="1800" b="0" i="0" baseline="0">
                <a:effectLst/>
              </a:rPr>
              <a:t>Répartition des étudiants selon leur degré d'appréciation des cours à distance au Cégep du Vieux Montréal (Automne 2020)</a:t>
            </a:r>
            <a:endParaRPr lang="fr-CA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7.4475061804386872E-2"/>
          <c:y val="0.15932438996256246"/>
          <c:w val="0.90976429776080447"/>
          <c:h val="0.6890788448425087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Appéciation!$F$52:$F$56</c:f>
              <c:strCache>
                <c:ptCount val="5"/>
                <c:pt idx="0">
                  <c:v>J'adore</c:v>
                </c:pt>
                <c:pt idx="1">
                  <c:v>J'apprécie</c:v>
                </c:pt>
                <c:pt idx="2">
                  <c:v>Je suis neutre</c:v>
                </c:pt>
                <c:pt idx="3">
                  <c:v>Je n'aime pas</c:v>
                </c:pt>
                <c:pt idx="4">
                  <c:v>Je déteste</c:v>
                </c:pt>
              </c:strCache>
            </c:strRef>
          </c:cat>
          <c:val>
            <c:numRef>
              <c:f>Appéciation!$H$52:$H$56</c:f>
              <c:numCache>
                <c:formatCode>0\.0</c:formatCode>
                <c:ptCount val="5"/>
                <c:pt idx="0">
                  <c:v>11.888111888111888</c:v>
                </c:pt>
                <c:pt idx="1">
                  <c:v>35.664335664335667</c:v>
                </c:pt>
                <c:pt idx="2">
                  <c:v>4.895104895104895</c:v>
                </c:pt>
                <c:pt idx="3">
                  <c:v>25.174825174825177</c:v>
                </c:pt>
                <c:pt idx="4">
                  <c:v>22.377622377622377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25-44A1-8148-A702F7AC0B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axId val="846211296"/>
        <c:axId val="846185920"/>
      </c:barChart>
      <c:catAx>
        <c:axId val="8462112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A" sz="1200" b="0" i="0" baseline="0">
                    <a:effectLst/>
                  </a:rPr>
                  <a:t>Degré d'appréciation</a:t>
                </a:r>
                <a:endParaRPr lang="fr-CA" sz="7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46185920"/>
        <c:crosses val="autoZero"/>
        <c:auto val="1"/>
        <c:lblAlgn val="ctr"/>
        <c:lblOffset val="100"/>
        <c:noMultiLvlLbl val="0"/>
      </c:catAx>
      <c:valAx>
        <c:axId val="8461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A">
                    <a:effectLst/>
                  </a:rPr>
                  <a:t>Pourcentage</a:t>
                </a:r>
                <a:r>
                  <a:rPr lang="fr-CA" baseline="0">
                    <a:effectLst/>
                  </a:rPr>
                  <a:t> des étudiants</a:t>
                </a:r>
                <a:endParaRPr lang="fr-CA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46211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517689</xdr:colOff>
      <xdr:row>2</xdr:row>
      <xdr:rowOff>170708</xdr:rowOff>
    </xdr:from>
    <xdr:to>
      <xdr:col>19</xdr:col>
      <xdr:colOff>575212</xdr:colOff>
      <xdr:row>26</xdr:row>
      <xdr:rowOff>14845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D75878E-7093-4DEE-C19E-46E4B98F9C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0.01331</cdr:x>
      <cdr:y>0.93541</cdr:y>
    </cdr:from>
    <cdr:to>
      <cdr:x>0.3623</cdr:x>
      <cdr:y>0.98163</cdr:y>
    </cdr:to>
    <cdr:sp macro="" textlink="">
      <cdr:nvSpPr>
        <cdr:cNvPr id="2" name="ZoneTexte 1">
          <a:extLst xmlns:a="http://schemas.openxmlformats.org/drawingml/2006/main">
            <a:ext uri="{FF2B5EF4-FFF2-40B4-BE49-F238E27FC236}">
              <a16:creationId xmlns:a16="http://schemas.microsoft.com/office/drawing/2014/main" id="{F5922DDC-BDBA-C47E-0B24-20C1D4D6C314}"/>
            </a:ext>
          </a:extLst>
        </cdr:cNvPr>
        <cdr:cNvSpPr txBox="1"/>
      </cdr:nvSpPr>
      <cdr:spPr>
        <a:xfrm xmlns:a="http://schemas.openxmlformats.org/drawingml/2006/main">
          <a:off x="122464" y="4156364"/>
          <a:ext cx="3211286" cy="20534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fr-CA" sz="1100"/>
        </a:p>
      </cdr:txBody>
    </cdr:sp>
  </cdr:relSizeAnchor>
  <cdr:relSizeAnchor xmlns:cdr="http://schemas.openxmlformats.org/drawingml/2006/chartDrawing">
    <cdr:from>
      <cdr:x>0</cdr:x>
      <cdr:y>0.94766</cdr:y>
    </cdr:from>
    <cdr:to>
      <cdr:x>0.46575</cdr:x>
      <cdr:y>1</cdr:y>
    </cdr:to>
    <cdr:sp macro="" textlink="">
      <cdr:nvSpPr>
        <cdr:cNvPr id="3" name="ZoneTexte 2">
          <a:extLst xmlns:a="http://schemas.openxmlformats.org/drawingml/2006/main">
            <a:ext uri="{FF2B5EF4-FFF2-40B4-BE49-F238E27FC236}">
              <a16:creationId xmlns:a16="http://schemas.microsoft.com/office/drawing/2014/main" id="{44D6AD1F-9748-30D3-3FF6-5E4FBA6C6C5A}"/>
            </a:ext>
          </a:extLst>
        </cdr:cNvPr>
        <cdr:cNvSpPr txBox="1"/>
      </cdr:nvSpPr>
      <cdr:spPr>
        <a:xfrm xmlns:a="http://schemas.openxmlformats.org/drawingml/2006/main">
          <a:off x="0" y="4210792"/>
          <a:ext cx="4285632" cy="2325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fr-CA" sz="1100"/>
            <a:t>Source: Les intervenants du Cégep du Vieux</a:t>
          </a:r>
          <a:r>
            <a:rPr lang="fr-CA" sz="1100" baseline="0"/>
            <a:t> </a:t>
          </a:r>
          <a:r>
            <a:rPr lang="fr-CA" sz="1100"/>
            <a:t>Montréal (Automne 2020)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22410</xdr:colOff>
      <xdr:row>59</xdr:row>
      <xdr:rowOff>1121</xdr:rowOff>
    </xdr:from>
    <xdr:to>
      <xdr:col>8</xdr:col>
      <xdr:colOff>1904998</xdr:colOff>
      <xdr:row>85</xdr:row>
      <xdr:rowOff>33618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9CF82028-C883-C2F6-5359-3E96E9C546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</cdr:x>
      <cdr:y>0.94284</cdr:y>
    </cdr:from>
    <cdr:to>
      <cdr:x>0.66372</cdr:x>
      <cdr:y>1</cdr:y>
    </cdr:to>
    <cdr:sp macro="" textlink="">
      <cdr:nvSpPr>
        <cdr:cNvPr id="2" name="ZoneTexte 1">
          <a:extLst xmlns:a="http://schemas.openxmlformats.org/drawingml/2006/main">
            <a:ext uri="{FF2B5EF4-FFF2-40B4-BE49-F238E27FC236}">
              <a16:creationId xmlns:a16="http://schemas.microsoft.com/office/drawing/2014/main" id="{4C5BC781-4D0D-A078-B785-10E4FB1971A3}"/>
            </a:ext>
          </a:extLst>
        </cdr:cNvPr>
        <cdr:cNvSpPr txBox="1"/>
      </cdr:nvSpPr>
      <cdr:spPr>
        <a:xfrm xmlns:a="http://schemas.openxmlformats.org/drawingml/2006/main">
          <a:off x="0" y="4806203"/>
          <a:ext cx="5883089" cy="29135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fr-CA" sz="1100">
              <a:effectLst/>
              <a:latin typeface="+mn-lt"/>
              <a:ea typeface="+mn-ea"/>
              <a:cs typeface="+mn-cs"/>
            </a:rPr>
            <a:t>Source:  les intervenants du Cégep du Vieux Montréal (Automne 2020) </a:t>
          </a:r>
          <a:endParaRPr lang="fr-CA">
            <a:effectLst/>
          </a:endParaRPr>
        </a:p>
        <a:p xmlns:a="http://schemas.openxmlformats.org/drawingml/2006/main">
          <a:endParaRPr lang="fr-CA" sz="1100"/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nesch Bettina-Sarah" refreshedDate="45224.487157175929" createdVersion="8" refreshedVersion="8" minRefreshableVersion="3" recordCount="143" xr:uid="{68EC4C08-85B1-41CF-86A3-E839F40631AE}">
  <cacheSource type="worksheet">
    <worksheetSource name="Données"/>
  </cacheSource>
  <cacheFields count="3">
    <cacheField name="Identification" numFmtId="1">
      <sharedItems containsSemiMixedTypes="0" containsString="0" containsNumber="1" containsInteger="1" minValue="69" maxValue="6968"/>
    </cacheField>
    <cacheField name="Heures" numFmtId="1">
      <sharedItems containsSemiMixedTypes="0" containsString="0" containsNumber="1" minValue="31.855324772885069" maxValue="60.817365005612373" count="143">
        <n v="45.895080797316041"/>
        <n v="48.618062459689099"/>
        <n v="46.830496098089498"/>
        <n v="45.408893351457664"/>
        <n v="42.111594206624432"/>
        <n v="46.814614046859788"/>
        <n v="47.970229383616243"/>
        <n v="37.25723444801406"/>
        <n v="42.605813627567841"/>
        <n v="42.452904830832267"/>
        <n v="45.43340991801233"/>
        <n v="47.250443907949375"/>
        <n v="42.74265847413335"/>
        <n v="40.750137481489219"/>
        <n v="38.393397966836346"/>
        <n v="47.093328698218102"/>
        <n v="42.730022182120592"/>
        <n v="41.413386492757127"/>
        <n v="48.913284439884592"/>
        <n v="44.94822860066779"/>
        <n v="42.815787532497779"/>
        <n v="40.370491655601654"/>
        <n v="46.673869741760427"/>
        <n v="42.471367573278258"/>
        <n v="42.86438865562377"/>
        <n v="43.645718500891235"/>
        <n v="44.704108854028163"/>
        <n v="42.925603333394974"/>
        <n v="42.419412688439479"/>
        <n v="37.508141298865667"/>
        <n v="41.721091287734453"/>
        <n v="39.207350250188028"/>
        <n v="40.201626911191852"/>
        <n v="45.197930371039547"/>
        <n v="44.395852677887888"/>
        <n v="39.439919414115138"/>
        <n v="45.411468358332058"/>
        <n v="40.030420217924984"/>
        <n v="39.698403492700891"/>
        <n v="43.752322648622794"/>
        <n v="35.73427420121152"/>
        <n v="45.25705889533856"/>
        <n v="48.140498160471907"/>
        <n v="43.898899088497274"/>
        <n v="48.473725650517736"/>
        <n v="37.564427652221639"/>
        <n v="48.766503363702213"/>
        <n v="44.480367473050137"/>
        <n v="39.378539890429238"/>
        <n v="35.735365594853647"/>
        <n v="31.855324772885069"/>
        <n v="41.641885667893803"/>
        <n v="40.906917315049213"/>
        <n v="39.431540694175055"/>
        <n v="42.889257651375374"/>
        <n v="46.507051360429614"/>
        <n v="55.557211448438466"/>
        <n v="38.936536834051367"/>
        <n v="38.344649050821317"/>
        <n v="46.992556685261661"/>
        <n v="41.349704810607363"/>
        <n v="39.065571394865401"/>
        <n v="52.099039743887261"/>
        <n v="41.60931438888656"/>
        <n v="42.73308604239719"/>
        <n v="46.472405296633951"/>
        <n v="41.567523107340094"/>
        <n v="39.989254213985987"/>
        <n v="38.031646449206164"/>
        <n v="43.997812321656966"/>
        <n v="36.517894836259075"/>
        <n v="51.91495801624842"/>
        <n v="38.926418705494143"/>
        <n v="34.755930750514381"/>
        <n v="46.585751073842403"/>
        <n v="40.771698190263123"/>
        <n v="35.92256234184606"/>
        <n v="47.65770426671952"/>
        <n v="42.736917288828408"/>
        <n v="36.300889400416054"/>
        <n v="46.707521045726025"/>
        <n v="39.961241777171381"/>
        <n v="40.671125129272696"/>
        <n v="43.353907125827391"/>
        <n v="42.668710870537325"/>
        <n v="54.601423466345295"/>
        <n v="41.516034338535974"/>
        <n v="41.421833424799843"/>
        <n v="39.850533534598071"/>
        <n v="36.230790096276905"/>
        <n v="40.650644445457147"/>
        <n v="46.445194352025283"/>
        <n v="50.176731742219999"/>
        <n v="38.475809555500746"/>
        <n v="39.771305177389877"/>
        <n v="40.908173554606037"/>
        <n v="44.620838929738966"/>
        <n v="47.708715550805209"/>
        <n v="35.030643625184894"/>
        <n v="42.241873638311517"/>
        <n v="60.817365005612373"/>
        <n v="45.429965206829365"/>
        <n v="37.454685747768963"/>
        <n v="50.570338311779778"/>
        <n v="40.244469795987243"/>
        <n v="38.245798345422372"/>
        <n v="43.089698914962355"/>
        <n v="41.647047050326364"/>
        <n v="46.525173042362439"/>
        <n v="45.355761807848467"/>
        <n v="40.44704837212339"/>
        <n v="39.727837014987017"/>
        <n v="38.872883573611034"/>
        <n v="39.545585645435494"/>
        <n v="40.571757148762117"/>
        <n v="43.338957306666998"/>
        <n v="46.869593001581961"/>
        <n v="51.981351129477844"/>
        <n v="47.512116902333219"/>
        <n v="40.842866150676855"/>
        <n v="39.971814653079491"/>
        <n v="46.581305918487487"/>
        <n v="44.507561364633148"/>
        <n v="40.618988345493563"/>
        <n v="39.742985786113422"/>
        <n v="43.064449068304384"/>
        <n v="45.427384515613085"/>
        <n v="45.758201844699215"/>
        <n v="50.287781045306474"/>
        <n v="38.156065324408701"/>
        <n v="38.684970599540975"/>
        <n v="46.110847046627896"/>
        <n v="32.912430464755744"/>
        <n v="40.152730202287785"/>
        <n v="40.005284058104735"/>
        <n v="37.81583472515922"/>
        <n v="42.824592578079319"/>
        <n v="44.487558165536029"/>
        <n v="34.060553838906344"/>
        <n v="33.264177540666424"/>
        <n v="39.402368651615689"/>
        <n v="36.967276168405078"/>
        <n v="41.091323050175561"/>
      </sharedItems>
      <fieldGroup base="1">
        <rangePr autoStart="0" autoEnd="0" startNum="30" endNum="62" groupInterval="4"/>
        <groupItems count="10">
          <s v="&lt;30"/>
          <s v="30-34"/>
          <s v="34-38"/>
          <s v="38-42"/>
          <s v="42-46"/>
          <s v="46-50"/>
          <s v="50-54"/>
          <s v="54-58"/>
          <s v="58-62"/>
          <s v="&gt;62"/>
        </groupItems>
      </fieldGroup>
    </cacheField>
    <cacheField name="Appréciation" numFmtId="1">
      <sharedItems containsSemiMixedTypes="0" containsString="0" containsNumber="1" containsInteger="1" minValue="1" maxValue="5" count="5">
        <n v="4"/>
        <n v="2"/>
        <n v="5"/>
        <n v="3"/>
        <n v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n v="5958"/>
    <x v="0"/>
    <x v="0"/>
  </r>
  <r>
    <n v="3650"/>
    <x v="1"/>
    <x v="1"/>
  </r>
  <r>
    <n v="4489"/>
    <x v="2"/>
    <x v="2"/>
  </r>
  <r>
    <n v="5039"/>
    <x v="3"/>
    <x v="0"/>
  </r>
  <r>
    <n v="3608"/>
    <x v="4"/>
    <x v="3"/>
  </r>
  <r>
    <n v="1842"/>
    <x v="5"/>
    <x v="4"/>
  </r>
  <r>
    <n v="1783"/>
    <x v="6"/>
    <x v="0"/>
  </r>
  <r>
    <n v="6654"/>
    <x v="7"/>
    <x v="0"/>
  </r>
  <r>
    <n v="1533"/>
    <x v="8"/>
    <x v="0"/>
  </r>
  <r>
    <n v="4711"/>
    <x v="9"/>
    <x v="2"/>
  </r>
  <r>
    <n v="4647"/>
    <x v="10"/>
    <x v="1"/>
  </r>
  <r>
    <n v="6408"/>
    <x v="11"/>
    <x v="1"/>
  </r>
  <r>
    <n v="2701"/>
    <x v="12"/>
    <x v="1"/>
  </r>
  <r>
    <n v="638"/>
    <x v="13"/>
    <x v="1"/>
  </r>
  <r>
    <n v="6954"/>
    <x v="14"/>
    <x v="2"/>
  </r>
  <r>
    <n v="1071"/>
    <x v="15"/>
    <x v="2"/>
  </r>
  <r>
    <n v="3371"/>
    <x v="16"/>
    <x v="3"/>
  </r>
  <r>
    <n v="3804"/>
    <x v="17"/>
    <x v="0"/>
  </r>
  <r>
    <n v="1104"/>
    <x v="18"/>
    <x v="0"/>
  </r>
  <r>
    <n v="4492"/>
    <x v="19"/>
    <x v="1"/>
  </r>
  <r>
    <n v="4825"/>
    <x v="20"/>
    <x v="0"/>
  </r>
  <r>
    <n v="5232"/>
    <x v="21"/>
    <x v="1"/>
  </r>
  <r>
    <n v="4579"/>
    <x v="22"/>
    <x v="0"/>
  </r>
  <r>
    <n v="2082"/>
    <x v="23"/>
    <x v="2"/>
  </r>
  <r>
    <n v="6058"/>
    <x v="24"/>
    <x v="3"/>
  </r>
  <r>
    <n v="4885"/>
    <x v="25"/>
    <x v="0"/>
  </r>
  <r>
    <n v="4575"/>
    <x v="26"/>
    <x v="2"/>
  </r>
  <r>
    <n v="2094"/>
    <x v="27"/>
    <x v="1"/>
  </r>
  <r>
    <n v="188"/>
    <x v="28"/>
    <x v="1"/>
  </r>
  <r>
    <n v="5178"/>
    <x v="29"/>
    <x v="4"/>
  </r>
  <r>
    <n v="2406"/>
    <x v="30"/>
    <x v="1"/>
  </r>
  <r>
    <n v="4174"/>
    <x v="31"/>
    <x v="2"/>
  </r>
  <r>
    <n v="3691"/>
    <x v="32"/>
    <x v="2"/>
  </r>
  <r>
    <n v="6245"/>
    <x v="33"/>
    <x v="1"/>
  </r>
  <r>
    <n v="584"/>
    <x v="34"/>
    <x v="0"/>
  </r>
  <r>
    <n v="1946"/>
    <x v="35"/>
    <x v="0"/>
  </r>
  <r>
    <n v="2250"/>
    <x v="36"/>
    <x v="1"/>
  </r>
  <r>
    <n v="680"/>
    <x v="37"/>
    <x v="2"/>
  </r>
  <r>
    <n v="5398"/>
    <x v="38"/>
    <x v="1"/>
  </r>
  <r>
    <n v="3595"/>
    <x v="39"/>
    <x v="1"/>
  </r>
  <r>
    <n v="4832"/>
    <x v="40"/>
    <x v="2"/>
  </r>
  <r>
    <n v="5811"/>
    <x v="41"/>
    <x v="0"/>
  </r>
  <r>
    <n v="2493"/>
    <x v="42"/>
    <x v="4"/>
  </r>
  <r>
    <n v="4282"/>
    <x v="43"/>
    <x v="0"/>
  </r>
  <r>
    <n v="419"/>
    <x v="44"/>
    <x v="0"/>
  </r>
  <r>
    <n v="6741"/>
    <x v="45"/>
    <x v="1"/>
  </r>
  <r>
    <n v="3056"/>
    <x v="46"/>
    <x v="3"/>
  </r>
  <r>
    <n v="1042"/>
    <x v="47"/>
    <x v="1"/>
  </r>
  <r>
    <n v="1584"/>
    <x v="48"/>
    <x v="1"/>
  </r>
  <r>
    <n v="192"/>
    <x v="49"/>
    <x v="1"/>
  </r>
  <r>
    <n v="5170"/>
    <x v="50"/>
    <x v="2"/>
  </r>
  <r>
    <n v="5557"/>
    <x v="51"/>
    <x v="0"/>
  </r>
  <r>
    <n v="2116"/>
    <x v="52"/>
    <x v="1"/>
  </r>
  <r>
    <n v="6698"/>
    <x v="53"/>
    <x v="2"/>
  </r>
  <r>
    <n v="1011"/>
    <x v="54"/>
    <x v="0"/>
  </r>
  <r>
    <n v="320"/>
    <x v="55"/>
    <x v="0"/>
  </r>
  <r>
    <n v="1219"/>
    <x v="56"/>
    <x v="2"/>
  </r>
  <r>
    <n v="6754"/>
    <x v="57"/>
    <x v="1"/>
  </r>
  <r>
    <n v="3033"/>
    <x v="58"/>
    <x v="3"/>
  </r>
  <r>
    <n v="3244"/>
    <x v="59"/>
    <x v="0"/>
  </r>
  <r>
    <n v="4056"/>
    <x v="60"/>
    <x v="1"/>
  </r>
  <r>
    <n v="521"/>
    <x v="61"/>
    <x v="1"/>
  </r>
  <r>
    <n v="1348"/>
    <x v="62"/>
    <x v="1"/>
  </r>
  <r>
    <n v="328"/>
    <x v="63"/>
    <x v="4"/>
  </r>
  <r>
    <n v="3270"/>
    <x v="64"/>
    <x v="1"/>
  </r>
  <r>
    <n v="2939"/>
    <x v="65"/>
    <x v="2"/>
  </r>
  <r>
    <n v="833"/>
    <x v="66"/>
    <x v="0"/>
  </r>
  <r>
    <n v="4326"/>
    <x v="67"/>
    <x v="1"/>
  </r>
  <r>
    <n v="6934"/>
    <x v="68"/>
    <x v="2"/>
  </r>
  <r>
    <n v="5891"/>
    <x v="69"/>
    <x v="1"/>
  </r>
  <r>
    <n v="2174"/>
    <x v="70"/>
    <x v="4"/>
  </r>
  <r>
    <n v="2263"/>
    <x v="71"/>
    <x v="1"/>
  </r>
  <r>
    <n v="2029"/>
    <x v="72"/>
    <x v="1"/>
  </r>
  <r>
    <n v="1018"/>
    <x v="73"/>
    <x v="1"/>
  </r>
  <r>
    <n v="2959"/>
    <x v="74"/>
    <x v="2"/>
  </r>
  <r>
    <n v="869"/>
    <x v="75"/>
    <x v="4"/>
  </r>
  <r>
    <n v="4541"/>
    <x v="76"/>
    <x v="4"/>
  </r>
  <r>
    <n v="5831"/>
    <x v="77"/>
    <x v="2"/>
  </r>
  <r>
    <n v="1101"/>
    <x v="78"/>
    <x v="2"/>
  </r>
  <r>
    <n v="4157"/>
    <x v="79"/>
    <x v="4"/>
  </r>
  <r>
    <n v="1504"/>
    <x v="80"/>
    <x v="2"/>
  </r>
  <r>
    <n v="6865"/>
    <x v="81"/>
    <x v="4"/>
  </r>
  <r>
    <n v="6674"/>
    <x v="82"/>
    <x v="0"/>
  </r>
  <r>
    <n v="1814"/>
    <x v="83"/>
    <x v="2"/>
  </r>
  <r>
    <n v="5640"/>
    <x v="84"/>
    <x v="2"/>
  </r>
  <r>
    <n v="3187"/>
    <x v="85"/>
    <x v="1"/>
  </r>
  <r>
    <n v="5413"/>
    <x v="86"/>
    <x v="1"/>
  </r>
  <r>
    <n v="6167"/>
    <x v="87"/>
    <x v="4"/>
  </r>
  <r>
    <n v="2385"/>
    <x v="88"/>
    <x v="2"/>
  </r>
  <r>
    <n v="131"/>
    <x v="89"/>
    <x v="0"/>
  </r>
  <r>
    <n v="6339"/>
    <x v="90"/>
    <x v="1"/>
  </r>
  <r>
    <n v="3049"/>
    <x v="91"/>
    <x v="4"/>
  </r>
  <r>
    <n v="6968"/>
    <x v="92"/>
    <x v="1"/>
  </r>
  <r>
    <n v="6197"/>
    <x v="93"/>
    <x v="0"/>
  </r>
  <r>
    <n v="69"/>
    <x v="94"/>
    <x v="1"/>
  </r>
  <r>
    <n v="1266"/>
    <x v="95"/>
    <x v="1"/>
  </r>
  <r>
    <n v="6039"/>
    <x v="96"/>
    <x v="2"/>
  </r>
  <r>
    <n v="619"/>
    <x v="97"/>
    <x v="4"/>
  </r>
  <r>
    <n v="787"/>
    <x v="98"/>
    <x v="0"/>
  </r>
  <r>
    <n v="2654"/>
    <x v="99"/>
    <x v="1"/>
  </r>
  <r>
    <n v="3302"/>
    <x v="100"/>
    <x v="4"/>
  </r>
  <r>
    <n v="4008"/>
    <x v="101"/>
    <x v="0"/>
  </r>
  <r>
    <n v="6762"/>
    <x v="102"/>
    <x v="1"/>
  </r>
  <r>
    <n v="5661"/>
    <x v="103"/>
    <x v="0"/>
  </r>
  <r>
    <n v="4115"/>
    <x v="104"/>
    <x v="2"/>
  </r>
  <r>
    <n v="6132"/>
    <x v="105"/>
    <x v="0"/>
  </r>
  <r>
    <n v="665"/>
    <x v="106"/>
    <x v="1"/>
  </r>
  <r>
    <n v="6552"/>
    <x v="107"/>
    <x v="0"/>
  </r>
  <r>
    <n v="6426"/>
    <x v="108"/>
    <x v="0"/>
  </r>
  <r>
    <n v="3901"/>
    <x v="109"/>
    <x v="2"/>
  </r>
  <r>
    <n v="4123"/>
    <x v="110"/>
    <x v="4"/>
  </r>
  <r>
    <n v="3854"/>
    <x v="111"/>
    <x v="3"/>
  </r>
  <r>
    <n v="5101"/>
    <x v="112"/>
    <x v="2"/>
  </r>
  <r>
    <n v="929"/>
    <x v="113"/>
    <x v="1"/>
  </r>
  <r>
    <n v="2841"/>
    <x v="114"/>
    <x v="0"/>
  </r>
  <r>
    <n v="952"/>
    <x v="115"/>
    <x v="1"/>
  </r>
  <r>
    <n v="2387"/>
    <x v="116"/>
    <x v="1"/>
  </r>
  <r>
    <n v="3797"/>
    <x v="117"/>
    <x v="2"/>
  </r>
  <r>
    <n v="3832"/>
    <x v="118"/>
    <x v="1"/>
  </r>
  <r>
    <n v="75"/>
    <x v="119"/>
    <x v="1"/>
  </r>
  <r>
    <n v="3596"/>
    <x v="120"/>
    <x v="1"/>
  </r>
  <r>
    <n v="3888"/>
    <x v="121"/>
    <x v="0"/>
  </r>
  <r>
    <n v="4296"/>
    <x v="122"/>
    <x v="2"/>
  </r>
  <r>
    <n v="5176"/>
    <x v="123"/>
    <x v="1"/>
  </r>
  <r>
    <n v="5387"/>
    <x v="124"/>
    <x v="4"/>
  </r>
  <r>
    <n v="404"/>
    <x v="125"/>
    <x v="0"/>
  </r>
  <r>
    <n v="437"/>
    <x v="126"/>
    <x v="0"/>
  </r>
  <r>
    <n v="3484"/>
    <x v="127"/>
    <x v="0"/>
  </r>
  <r>
    <n v="5283"/>
    <x v="128"/>
    <x v="1"/>
  </r>
  <r>
    <n v="596"/>
    <x v="129"/>
    <x v="1"/>
  </r>
  <r>
    <n v="6500"/>
    <x v="130"/>
    <x v="1"/>
  </r>
  <r>
    <n v="6330"/>
    <x v="131"/>
    <x v="2"/>
  </r>
  <r>
    <n v="5440"/>
    <x v="132"/>
    <x v="0"/>
  </r>
  <r>
    <n v="2326"/>
    <x v="133"/>
    <x v="3"/>
  </r>
  <r>
    <n v="435"/>
    <x v="134"/>
    <x v="4"/>
  </r>
  <r>
    <n v="6282"/>
    <x v="135"/>
    <x v="4"/>
  </r>
  <r>
    <n v="3913"/>
    <x v="136"/>
    <x v="2"/>
  </r>
  <r>
    <n v="984"/>
    <x v="137"/>
    <x v="0"/>
  </r>
  <r>
    <n v="4129"/>
    <x v="138"/>
    <x v="2"/>
  </r>
  <r>
    <n v="6739"/>
    <x v="139"/>
    <x v="1"/>
  </r>
  <r>
    <n v="6729"/>
    <x v="140"/>
    <x v="1"/>
  </r>
  <r>
    <n v="6437"/>
    <x v="141"/>
    <x v="2"/>
  </r>
  <r>
    <n v="1059"/>
    <x v="142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98B6C5-E98E-49DA-9093-87C107C380CF}" name="Tableau croisé dynamique5" cacheId="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F50:G59" firstHeaderRow="1" firstDataRow="1" firstDataCol="1"/>
  <pivotFields count="3">
    <pivotField numFmtId="1" showAll="0"/>
    <pivotField axis="axisRow" dataField="1" numFmtId="1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umFmtId="1" showAll="0"/>
  </pivotFields>
  <rowFields count="1">
    <field x="1"/>
  </rowFields>
  <rowItems count="9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Nombre de Heures" fld="1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DFFA3D-B3B6-4126-A6C5-F608FAC0B3EC}" name="Tableau croisé dynamique1" cacheId="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F41:G47" firstHeaderRow="1" firstDataRow="1" firstDataCol="1"/>
  <pivotFields count="3">
    <pivotField numFmtId="1" showAll="0"/>
    <pivotField numFmtId="1" showAll="0"/>
    <pivotField axis="axisRow" dataField="1" numFmtId="1" showAll="0">
      <items count="6">
        <item x="4"/>
        <item x="1"/>
        <item x="3"/>
        <item x="0"/>
        <item x="2"/>
        <item t="default"/>
      </items>
    </pivotField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Nombre de Appréciation" fld="2" subtotal="count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74339D-7177-49A3-8303-4A63DC3932E4}" name="Tableau1" displayName="Tableau1" ref="D5:G15" totalsRowShown="0" headerRowDxfId="11">
  <autoFilter ref="D5:G15" xr:uid="{1274339D-7177-49A3-8303-4A63DC3932E4}"/>
  <tableColumns count="4">
    <tableColumn id="1" xr3:uid="{EC41A1B2-68A8-4AD7-B06D-E3E144BF3F38}" name="Nombre d'heures" dataDxfId="10"/>
    <tableColumn id="2" xr3:uid="{F40BA39A-F115-4218-BF11-C31A4F2F22F9}" name="Nombre d'étudiants" dataDxfId="9"/>
    <tableColumn id="3" xr3:uid="{3B90314F-B544-43A3-9D06-5B8BE4C8BEB7}" name="Pourcentage d'étudiants (%)" dataDxfId="8">
      <calculatedColumnFormula>E6/$E$14*100</calculatedColumnFormula>
    </tableColumn>
    <tableColumn id="4" xr3:uid="{555D194A-1F0D-4AB0-AE2B-E0E493ADC3B5}" name="Pourcentage cumulé d'étudiants (%)" dataDxfId="7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CEEB584-D560-47AD-AA34-A5A7A17A1276}" name="Tableau3" displayName="Tableau3" ref="F51:I57" totalsRowShown="0" headerRowDxfId="0" headerRowBorderDxfId="1" tableBorderDxfId="6">
  <autoFilter ref="F51:I57" xr:uid="{0CEEB584-D560-47AD-AA34-A5A7A17A1276}">
    <filterColumn colId="0" hiddenButton="1"/>
    <filterColumn colId="1" hiddenButton="1"/>
    <filterColumn colId="2" hiddenButton="1"/>
    <filterColumn colId="3" hiddenButton="1"/>
  </autoFilter>
  <tableColumns count="4">
    <tableColumn id="1" xr3:uid="{D0DC9EB2-CE01-4541-B51C-69CCD31B131A}" name="Degré d'appréciation" dataDxfId="5"/>
    <tableColumn id="2" xr3:uid="{8947A2CD-1FC9-4ADB-A53E-645460DA66F1}" name="Nombre d'étudiants" dataDxfId="4"/>
    <tableColumn id="3" xr3:uid="{0F266AE9-B2DB-4CC1-81DE-B0C1C1B91F26}" name="Pourcentage d'étudiants (%)" dataDxfId="3">
      <calculatedColumnFormula>G52/$G$57*100</calculatedColumnFormula>
    </tableColumn>
    <tableColumn id="4" xr3:uid="{C7E7D88B-9871-47E4-8113-E43E44CEBACD}" name="Pourcentage cumulé d'étudiants (%)" dataDxfId="2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1E742-BF16-432E-AAE6-98F2745E0E7E}">
  <dimension ref="A1:P7001"/>
  <sheetViews>
    <sheetView zoomScale="55" zoomScaleNormal="55" workbookViewId="0">
      <selection activeCell="K1" sqref="K1"/>
    </sheetView>
  </sheetViews>
  <sheetFormatPr baseColWidth="10" defaultColWidth="11.42578125" defaultRowHeight="15" x14ac:dyDescent="0.25"/>
  <cols>
    <col min="1" max="1" width="13" style="86" bestFit="1" customWidth="1"/>
    <col min="2" max="2" width="11.42578125" style="14"/>
    <col min="3" max="3" width="12.42578125" style="2" bestFit="1" customWidth="1"/>
    <col min="4" max="4" width="13" style="2" bestFit="1" customWidth="1"/>
    <col min="5" max="5" width="13" style="2" customWidth="1"/>
    <col min="6" max="6" width="25.85546875" style="2" customWidth="1"/>
    <col min="7" max="8" width="11.42578125" style="2"/>
    <col min="9" max="9" width="13" style="86" bestFit="1" customWidth="1"/>
    <col min="10" max="10" width="7.28515625" style="86" bestFit="1" customWidth="1"/>
    <col min="11" max="11" width="12.42578125" style="86" bestFit="1" customWidth="1"/>
    <col min="12" max="12" width="12.42578125" style="86" customWidth="1"/>
    <col min="13" max="13" width="11.42578125" style="2"/>
    <col min="14" max="14" width="15" style="2" customWidth="1"/>
    <col min="15" max="15" width="17.140625" style="2" customWidth="1"/>
    <col min="16" max="16" width="12.140625" style="2" customWidth="1"/>
    <col min="17" max="16384" width="11.42578125" style="2"/>
  </cols>
  <sheetData>
    <row r="1" spans="1:16" x14ac:dyDescent="0.25">
      <c r="A1" s="85" t="s">
        <v>0</v>
      </c>
      <c r="B1" s="85" t="s">
        <v>1</v>
      </c>
      <c r="C1" s="85" t="s">
        <v>2</v>
      </c>
      <c r="D1" s="85" t="s">
        <v>11</v>
      </c>
      <c r="E1" s="85"/>
      <c r="G1" s="187" t="s">
        <v>3</v>
      </c>
      <c r="H1" s="91" t="s">
        <v>4</v>
      </c>
      <c r="I1" s="92" t="s">
        <v>0</v>
      </c>
      <c r="J1" s="92" t="s">
        <v>1</v>
      </c>
      <c r="K1" s="92" t="s">
        <v>2</v>
      </c>
      <c r="L1" s="92"/>
    </row>
    <row r="2" spans="1:16" x14ac:dyDescent="0.25">
      <c r="A2" s="86">
        <v>1</v>
      </c>
      <c r="B2" s="87">
        <v>38.559835497260792</v>
      </c>
      <c r="C2" s="14">
        <v>4</v>
      </c>
      <c r="D2" s="86">
        <v>0.14979461177995845</v>
      </c>
      <c r="E2" s="86"/>
      <c r="G2" s="187"/>
      <c r="H2" s="88">
        <v>1</v>
      </c>
      <c r="I2" s="89" cm="1">
        <f t="array" ref="I2">INDEX(A$2:A7001,RANK($D2,$D$2:$D$7001),1)</f>
        <v>5958</v>
      </c>
      <c r="J2" s="89" cm="1">
        <f t="array" ref="J2">INDEX(B$2:B7001,RANK($D2,$D$2:$D$7001),1)</f>
        <v>45.895080797316041</v>
      </c>
      <c r="K2" s="89" cm="1">
        <f t="array" ref="K2">INDEX(C$2:C7001,RANK($D2,$D$2:$D$7001),1)</f>
        <v>4</v>
      </c>
      <c r="L2" s="89"/>
    </row>
    <row r="3" spans="1:16" x14ac:dyDescent="0.25">
      <c r="A3" s="86">
        <v>2</v>
      </c>
      <c r="B3" s="87">
        <v>40.647228155983598</v>
      </c>
      <c r="C3" s="14">
        <v>2</v>
      </c>
      <c r="D3" s="86">
        <v>0.48036940470099798</v>
      </c>
      <c r="E3" s="86"/>
      <c r="G3" s="187"/>
      <c r="H3" s="88">
        <v>2</v>
      </c>
      <c r="I3" s="89" cm="1">
        <f t="array" ref="I3">INDEX(A$2:A7002,RANK($D3,$D$2:$D$7001),1)</f>
        <v>3650</v>
      </c>
      <c r="J3" s="89" cm="1">
        <f t="array" ref="J3">INDEX(B$2:B7002,RANK($D3,$D$2:$D$7001),1)</f>
        <v>48.618062459689099</v>
      </c>
      <c r="K3" s="89" cm="1">
        <f t="array" ref="K3">INDEX(C$2:C7002,RANK($D3,$D$2:$D$7001),1)</f>
        <v>2</v>
      </c>
      <c r="L3" s="89"/>
    </row>
    <row r="4" spans="1:16" x14ac:dyDescent="0.25">
      <c r="A4" s="86">
        <v>3</v>
      </c>
      <c r="B4" s="87">
        <v>33.287005857680924</v>
      </c>
      <c r="C4" s="14">
        <v>4</v>
      </c>
      <c r="D4" s="86">
        <v>0.35266945848940379</v>
      </c>
      <c r="E4" s="86"/>
      <c r="F4" s="14"/>
      <c r="G4" s="187"/>
      <c r="H4" s="155">
        <v>3</v>
      </c>
      <c r="I4" s="89" cm="1">
        <f t="array" ref="I4">INDEX(A$2:A7003,RANK($D4,$D$2:$D$7001),1)</f>
        <v>4489</v>
      </c>
      <c r="J4" s="89" cm="1">
        <f t="array" ref="J4">INDEX(B$2:B7003,RANK($D4,$D$2:$D$7001),1)</f>
        <v>46.830496098089498</v>
      </c>
      <c r="K4" s="89" cm="1">
        <f t="array" ref="K4">INDEX(C$2:C7003,RANK($D4,$D$2:$D$7001),1)</f>
        <v>5</v>
      </c>
      <c r="L4" s="89"/>
    </row>
    <row r="5" spans="1:16" x14ac:dyDescent="0.25">
      <c r="A5" s="86">
        <v>4</v>
      </c>
      <c r="B5" s="87">
        <v>49.315553946478758</v>
      </c>
      <c r="C5" s="14">
        <v>2</v>
      </c>
      <c r="D5" s="86">
        <v>0.27510096374992055</v>
      </c>
      <c r="E5" s="86"/>
      <c r="F5" s="14"/>
      <c r="G5" s="187"/>
      <c r="H5" s="155">
        <v>4</v>
      </c>
      <c r="I5" s="89" cm="1">
        <f t="array" ref="I5">INDEX(A$2:A7004,RANK($D5,$D$2:$D$7001),1)</f>
        <v>5039</v>
      </c>
      <c r="J5" s="89" cm="1">
        <f t="array" ref="J5">INDEX(B$2:B7004,RANK($D5,$D$2:$D$7001),1)</f>
        <v>45.408893351457664</v>
      </c>
      <c r="K5" s="89" cm="1">
        <f t="array" ref="K5">INDEX(C$2:C7004,RANK($D5,$D$2:$D$7001),1)</f>
        <v>4</v>
      </c>
      <c r="L5" s="89"/>
    </row>
    <row r="6" spans="1:16" x14ac:dyDescent="0.25">
      <c r="A6" s="86">
        <v>5</v>
      </c>
      <c r="B6" s="87">
        <v>49.8328745328472</v>
      </c>
      <c r="C6" s="14">
        <v>2</v>
      </c>
      <c r="D6" s="86">
        <v>0.4865189358459886</v>
      </c>
      <c r="E6" s="182" t="s">
        <v>5</v>
      </c>
      <c r="F6" s="182"/>
      <c r="G6" s="187"/>
      <c r="H6" s="155">
        <v>5</v>
      </c>
      <c r="I6" s="89" cm="1">
        <f t="array" ref="I6">INDEX(A$2:A7005,RANK($D6,$D$2:$D$7001),1)</f>
        <v>3608</v>
      </c>
      <c r="J6" s="89" cm="1">
        <f t="array" ref="J6">INDEX(B$2:B7005,RANK($D6,$D$2:$D$7001),1)</f>
        <v>42.111594206624432</v>
      </c>
      <c r="K6" s="89" cm="1">
        <f t="array" ref="K6">INDEX(C$2:C7005,RANK($D6,$D$2:$D$7001),1)</f>
        <v>3</v>
      </c>
      <c r="L6" s="89"/>
    </row>
    <row r="7" spans="1:16" x14ac:dyDescent="0.25">
      <c r="A7" s="86">
        <v>6</v>
      </c>
      <c r="B7" s="87">
        <v>45.043498170678504</v>
      </c>
      <c r="C7" s="14">
        <v>2</v>
      </c>
      <c r="D7" s="86">
        <v>0.73828768175172355</v>
      </c>
      <c r="E7" s="90" t="s">
        <v>6</v>
      </c>
      <c r="F7" s="14" t="s">
        <v>99</v>
      </c>
      <c r="H7" s="155">
        <v>6</v>
      </c>
      <c r="I7" s="89" cm="1">
        <f t="array" ref="I7">INDEX(A$2:A7006,RANK($D7,$D$2:$D$7001),1)</f>
        <v>1842</v>
      </c>
      <c r="J7" s="89" cm="1">
        <f t="array" ref="J7">INDEX(B$2:B7006,RANK($D7,$D$2:$D$7001),1)</f>
        <v>46.814614046859788</v>
      </c>
      <c r="K7" s="89" cm="1">
        <f t="array" ref="K7">INDEX(C$2:C7006,RANK($D7,$D$2:$D$7001),1)</f>
        <v>1</v>
      </c>
      <c r="L7" s="89"/>
    </row>
    <row r="8" spans="1:16" ht="15" customHeight="1" x14ac:dyDescent="0.25">
      <c r="A8" s="86">
        <v>7</v>
      </c>
      <c r="B8" s="87">
        <v>42.74802449287381</v>
      </c>
      <c r="C8" s="14">
        <v>2</v>
      </c>
      <c r="D8" s="86">
        <v>0.74798273496968137</v>
      </c>
      <c r="E8" s="90" t="s">
        <v>7</v>
      </c>
      <c r="F8" s="14" t="s">
        <v>100</v>
      </c>
      <c r="H8" s="155">
        <v>7</v>
      </c>
      <c r="I8" s="89" cm="1">
        <f t="array" ref="I8">INDEX(A$2:A7007,RANK($D8,$D$2:$D$7001),1)</f>
        <v>1783</v>
      </c>
      <c r="J8" s="89" cm="1">
        <f t="array" ref="J8">INDEX(B$2:B7007,RANK($D8,$D$2:$D$7001),1)</f>
        <v>47.970229383616243</v>
      </c>
      <c r="K8" s="89" cm="1">
        <f t="array" ref="K8">INDEX(C$2:C7007,RANK($D8,$D$2:$D$7001),1)</f>
        <v>4</v>
      </c>
      <c r="L8" s="89"/>
    </row>
    <row r="9" spans="1:16" ht="15" customHeight="1" x14ac:dyDescent="0.25">
      <c r="A9" s="86">
        <v>8</v>
      </c>
      <c r="B9" s="87">
        <v>32.421121426858008</v>
      </c>
      <c r="C9" s="14">
        <v>2</v>
      </c>
      <c r="D9" s="86">
        <v>5.0000264461922961E-2</v>
      </c>
      <c r="E9" s="86"/>
      <c r="F9" s="14"/>
      <c r="H9" s="155">
        <v>8</v>
      </c>
      <c r="I9" s="89" cm="1">
        <f t="array" ref="I9">INDEX(A$2:A7008,RANK($D9,$D$2:$D$7001),1)</f>
        <v>6654</v>
      </c>
      <c r="J9" s="89" cm="1">
        <f t="array" ref="J9">INDEX(B$2:B7008,RANK($D9,$D$2:$D$7001),1)</f>
        <v>37.25723444801406</v>
      </c>
      <c r="K9" s="89" cm="1">
        <f t="array" ref="K9">INDEX(C$2:C7008,RANK($D9,$D$2:$D$7001),1)</f>
        <v>4</v>
      </c>
      <c r="L9" s="89"/>
    </row>
    <row r="10" spans="1:16" ht="30" x14ac:dyDescent="0.25">
      <c r="A10" s="86">
        <v>9</v>
      </c>
      <c r="B10" s="87">
        <v>41.801558831473812</v>
      </c>
      <c r="C10" s="14">
        <v>2</v>
      </c>
      <c r="D10" s="86">
        <v>0.78124287062590247</v>
      </c>
      <c r="E10" s="86"/>
      <c r="F10" s="14"/>
      <c r="H10" s="155">
        <v>9</v>
      </c>
      <c r="I10" s="89" cm="1">
        <f t="array" ref="I10">INDEX(A$2:A7009,RANK($D10,$D$2:$D$7001),1)</f>
        <v>1533</v>
      </c>
      <c r="J10" s="89" cm="1">
        <f t="array" ref="J10">INDEX(B$2:B7009,RANK($D10,$D$2:$D$7001),1)</f>
        <v>42.605813627567841</v>
      </c>
      <c r="K10" s="89" cm="1">
        <f t="array" ref="K10">INDEX(C$2:C7009,RANK($D10,$D$2:$D$7001),1)</f>
        <v>4</v>
      </c>
      <c r="L10" s="89"/>
      <c r="M10" s="93" t="s">
        <v>8</v>
      </c>
      <c r="N10" s="94" t="s">
        <v>9</v>
      </c>
      <c r="O10" s="95" t="s">
        <v>10</v>
      </c>
    </row>
    <row r="11" spans="1:16" x14ac:dyDescent="0.25">
      <c r="A11" s="86">
        <v>10</v>
      </c>
      <c r="B11" s="87">
        <v>46.075649601669284</v>
      </c>
      <c r="C11" s="14">
        <v>5</v>
      </c>
      <c r="D11" s="86">
        <v>0.31898671998704242</v>
      </c>
      <c r="E11" s="86"/>
      <c r="F11" s="14"/>
      <c r="H11" s="155">
        <v>10</v>
      </c>
      <c r="I11" s="89" cm="1">
        <f t="array" ref="I11">INDEX(A$2:A7010,RANK($D11,$D$2:$D$7001),1)</f>
        <v>4711</v>
      </c>
      <c r="J11" s="89" cm="1">
        <f t="array" ref="J11">INDEX(B$2:B7010,RANK($D11,$D$2:$D$7001),1)</f>
        <v>42.452904830832267</v>
      </c>
      <c r="K11" s="89" cm="1">
        <f t="array" ref="K11">INDEX(C$2:C7010,RANK($D11,$D$2:$D$7001),1)</f>
        <v>5</v>
      </c>
      <c r="L11" s="89"/>
      <c r="M11" s="96">
        <f>O20+Taille!C24+Heure!C90+Appéciation!C68+Avis!C24</f>
        <v>0</v>
      </c>
      <c r="N11" s="96">
        <f>P20+Taille!D24+Heure!D90+Appéciation!D68+Avis!D24</f>
        <v>135</v>
      </c>
      <c r="O11" s="97">
        <f>(M11/N11)*100</f>
        <v>0</v>
      </c>
    </row>
    <row r="12" spans="1:16" x14ac:dyDescent="0.25">
      <c r="A12" s="86">
        <v>11</v>
      </c>
      <c r="B12" s="87">
        <v>40.603555357272853</v>
      </c>
      <c r="C12" s="14">
        <v>5</v>
      </c>
      <c r="D12" s="86">
        <v>0.32938307571089387</v>
      </c>
      <c r="E12" s="86"/>
      <c r="F12" s="14"/>
      <c r="H12" s="155">
        <v>11</v>
      </c>
      <c r="I12" s="89" cm="1">
        <f t="array" ref="I12">INDEX(A$2:A7011,RANK($D12,$D$2:$D$7001),1)</f>
        <v>4647</v>
      </c>
      <c r="J12" s="89" cm="1">
        <f t="array" ref="J12">INDEX(B$2:B7011,RANK($D12,$D$2:$D$7001),1)</f>
        <v>45.43340991801233</v>
      </c>
      <c r="K12" s="89" cm="1">
        <f t="array" ref="K12">INDEX(C$2:C7011,RANK($D12,$D$2:$D$7001),1)</f>
        <v>2</v>
      </c>
      <c r="L12" s="89"/>
    </row>
    <row r="13" spans="1:16" x14ac:dyDescent="0.25">
      <c r="A13" s="86">
        <v>12</v>
      </c>
      <c r="B13" s="87">
        <v>40.141924268362345</v>
      </c>
      <c r="C13" s="14">
        <v>5</v>
      </c>
      <c r="D13" s="86">
        <v>8.3020689393480396E-2</v>
      </c>
      <c r="E13" s="86"/>
      <c r="F13" s="14"/>
      <c r="H13" s="155">
        <v>12</v>
      </c>
      <c r="I13" s="89" cm="1">
        <f t="array" ref="I13">INDEX(A$2:A7012,RANK($D13,$D$2:$D$7001),1)</f>
        <v>6408</v>
      </c>
      <c r="J13" s="89" cm="1">
        <f t="array" ref="J13">INDEX(B$2:B7012,RANK($D13,$D$2:$D$7001),1)</f>
        <v>47.250443907949375</v>
      </c>
      <c r="K13" s="89" cm="1">
        <f t="array" ref="K13">INDEX(C$2:C7012,RANK($D13,$D$2:$D$7001),1)</f>
        <v>2</v>
      </c>
      <c r="L13" s="89"/>
    </row>
    <row r="14" spans="1:16" ht="14.45" customHeight="1" x14ac:dyDescent="0.25">
      <c r="A14" s="86">
        <v>13</v>
      </c>
      <c r="B14" s="87">
        <v>42.839900510778534</v>
      </c>
      <c r="C14" s="14">
        <v>5</v>
      </c>
      <c r="D14" s="86">
        <v>0.61317016009914538</v>
      </c>
      <c r="E14" s="86"/>
      <c r="F14" s="14"/>
      <c r="H14" s="155">
        <v>13</v>
      </c>
      <c r="I14" s="89" cm="1">
        <f t="array" ref="I14">INDEX(A$2:A7013,RANK($D14,$D$2:$D$7001),1)</f>
        <v>2701</v>
      </c>
      <c r="J14" s="89" cm="1">
        <f t="array" ref="J14">INDEX(B$2:B7013,RANK($D14,$D$2:$D$7001),1)</f>
        <v>42.74265847413335</v>
      </c>
      <c r="K14" s="89" cm="1">
        <f t="array" ref="K14">INDEX(C$2:C7013,RANK($D14,$D$2:$D$7001),1)</f>
        <v>2</v>
      </c>
      <c r="L14" s="89"/>
      <c r="M14"/>
      <c r="N14"/>
      <c r="O14" s="183" t="s">
        <v>8</v>
      </c>
      <c r="P14" s="185" t="s">
        <v>9</v>
      </c>
    </row>
    <row r="15" spans="1:16" ht="14.45" customHeight="1" x14ac:dyDescent="0.25">
      <c r="A15" s="86">
        <v>14</v>
      </c>
      <c r="B15" s="87">
        <v>39.216524777992163</v>
      </c>
      <c r="C15" s="14">
        <v>1</v>
      </c>
      <c r="D15" s="86">
        <v>0.91319479527497582</v>
      </c>
      <c r="E15" s="86"/>
      <c r="F15" s="14"/>
      <c r="H15" s="155">
        <v>14</v>
      </c>
      <c r="I15" s="89" cm="1">
        <f t="array" ref="I15">INDEX(A$2:A7014,RANK($D15,$D$2:$D$7001),1)</f>
        <v>638</v>
      </c>
      <c r="J15" s="89" cm="1">
        <f t="array" ref="J15">INDEX(B$2:B7014,RANK($D15,$D$2:$D$7001),1)</f>
        <v>40.750137481489219</v>
      </c>
      <c r="K15" s="89" cm="1">
        <f t="array" ref="K15">INDEX(C$2:C7014,RANK($D15,$D$2:$D$7001),1)</f>
        <v>2</v>
      </c>
      <c r="L15" s="89"/>
      <c r="M15"/>
      <c r="N15"/>
      <c r="O15" s="184"/>
      <c r="P15" s="186"/>
    </row>
    <row r="16" spans="1:16" ht="14.45" customHeight="1" x14ac:dyDescent="0.25">
      <c r="A16" s="86">
        <v>15</v>
      </c>
      <c r="B16" s="87">
        <v>42.509816461795708</v>
      </c>
      <c r="C16" s="14">
        <v>5</v>
      </c>
      <c r="D16" s="86">
        <v>5.281871012935091E-3</v>
      </c>
      <c r="E16" s="86"/>
      <c r="F16" s="14"/>
      <c r="H16" s="155">
        <v>15</v>
      </c>
      <c r="I16" s="89" cm="1">
        <f t="array" ref="I16">INDEX(A$2:A7015,RANK($D16,$D$2:$D$7001),1)</f>
        <v>6954</v>
      </c>
      <c r="J16" s="89" cm="1">
        <f t="array" ref="J16">INDEX(B$2:B7015,RANK($D16,$D$2:$D$7001),1)</f>
        <v>38.393397966836346</v>
      </c>
      <c r="K16" s="89" cm="1">
        <f t="array" ref="K16">INDEX(C$2:C7015,RANK($D16,$D$2:$D$7001),1)</f>
        <v>5</v>
      </c>
      <c r="L16" s="89"/>
      <c r="M16" s="180" t="s">
        <v>3</v>
      </c>
      <c r="N16" s="98" t="s">
        <v>11</v>
      </c>
      <c r="O16" s="98"/>
      <c r="P16" s="99">
        <v>3</v>
      </c>
    </row>
    <row r="17" spans="1:16" ht="30" x14ac:dyDescent="0.25">
      <c r="A17" s="86">
        <v>16</v>
      </c>
      <c r="B17" s="87">
        <v>42.136844053282402</v>
      </c>
      <c r="C17" s="14">
        <v>2</v>
      </c>
      <c r="D17" s="86">
        <v>0.85082624868658119</v>
      </c>
      <c r="E17" s="86"/>
      <c r="F17" s="14"/>
      <c r="H17" s="155">
        <v>16</v>
      </c>
      <c r="I17" s="89" cm="1">
        <f t="array" ref="I17">INDEX(A$2:A7016,RANK($D17,$D$2:$D$7001),1)</f>
        <v>1071</v>
      </c>
      <c r="J17" s="89" cm="1">
        <f t="array" ref="J17">INDEX(B$2:B7016,RANK($D17,$D$2:$D$7001),1)</f>
        <v>47.093328698218102</v>
      </c>
      <c r="K17" s="89" cm="1">
        <f t="array" ref="K17">INDEX(C$2:C7016,RANK($D17,$D$2:$D$7001),1)</f>
        <v>5</v>
      </c>
      <c r="L17" s="89"/>
      <c r="M17" s="181"/>
      <c r="N17" s="106" t="s">
        <v>12</v>
      </c>
      <c r="O17" s="106"/>
      <c r="P17" s="107">
        <v>3</v>
      </c>
    </row>
    <row r="18" spans="1:16" ht="14.45" customHeight="1" x14ac:dyDescent="0.25">
      <c r="A18" s="86">
        <v>17</v>
      </c>
      <c r="B18" s="87">
        <v>49.601840141229331</v>
      </c>
      <c r="C18" s="14">
        <v>4</v>
      </c>
      <c r="D18" s="86">
        <v>0.52073461361673445</v>
      </c>
      <c r="E18" s="86"/>
      <c r="F18" s="14"/>
      <c r="H18" s="155">
        <v>17</v>
      </c>
      <c r="I18" s="89" cm="1">
        <f t="array" ref="I18">INDEX(A$2:A7017,RANK($D18,$D$2:$D$7001),1)</f>
        <v>3371</v>
      </c>
      <c r="J18" s="89" cm="1">
        <f t="array" ref="J18">INDEX(B$2:B7017,RANK($D18,$D$2:$D$7001),1)</f>
        <v>42.730022182120592</v>
      </c>
      <c r="K18" s="89" cm="1">
        <f t="array" ref="K18">INDEX(C$2:C7017,RANK($D18,$D$2:$D$7001),1)</f>
        <v>3</v>
      </c>
      <c r="L18" s="89"/>
      <c r="M18" s="180" t="s">
        <v>13</v>
      </c>
      <c r="N18" s="100" t="s">
        <v>14</v>
      </c>
      <c r="O18" s="100"/>
      <c r="P18" s="101">
        <v>1</v>
      </c>
    </row>
    <row r="19" spans="1:16" ht="30" x14ac:dyDescent="0.25">
      <c r="A19" s="86">
        <v>18</v>
      </c>
      <c r="B19" s="87">
        <v>43.566728886042256</v>
      </c>
      <c r="C19" s="14">
        <v>2</v>
      </c>
      <c r="D19" s="86">
        <v>0.45827883535137937</v>
      </c>
      <c r="E19" s="86"/>
      <c r="F19" s="14"/>
      <c r="H19" s="155">
        <v>18</v>
      </c>
      <c r="I19" s="89" cm="1">
        <f t="array" ref="I19">INDEX(A$2:A7018,RANK($D19,$D$2:$D$7001),1)</f>
        <v>3804</v>
      </c>
      <c r="J19" s="89" cm="1">
        <f t="array" ref="J19">INDEX(B$2:B7018,RANK($D19,$D$2:$D$7001),1)</f>
        <v>41.413386492757127</v>
      </c>
      <c r="K19" s="89" cm="1">
        <f t="array" ref="K19">INDEX(C$2:C7018,RANK($D19,$D$2:$D$7001),1)</f>
        <v>4</v>
      </c>
      <c r="L19" s="89"/>
      <c r="M19" s="188"/>
      <c r="N19" s="102" t="s">
        <v>15</v>
      </c>
      <c r="O19" s="102"/>
      <c r="P19" s="103">
        <v>2</v>
      </c>
    </row>
    <row r="20" spans="1:16" x14ac:dyDescent="0.25">
      <c r="A20" s="86">
        <v>19</v>
      </c>
      <c r="B20" s="87">
        <v>39.863579099226627</v>
      </c>
      <c r="C20" s="14">
        <v>1</v>
      </c>
      <c r="D20" s="86">
        <v>0.84645954759378506</v>
      </c>
      <c r="E20" s="86"/>
      <c r="F20" s="14"/>
      <c r="H20" s="155">
        <v>19</v>
      </c>
      <c r="I20" s="89" cm="1">
        <f t="array" ref="I20">INDEX(A$2:A7019,RANK($D20,$D$2:$D$7001),1)</f>
        <v>1104</v>
      </c>
      <c r="J20" s="89" cm="1">
        <f t="array" ref="J20">INDEX(B$2:B7019,RANK($D20,$D$2:$D$7001),1)</f>
        <v>48.913284439884592</v>
      </c>
      <c r="K20" s="89" cm="1">
        <f t="array" ref="K20">INDEX(C$2:C7019,RANK($D20,$D$2:$D$7001),1)</f>
        <v>4</v>
      </c>
      <c r="L20" s="89"/>
      <c r="M20" s="178" t="s">
        <v>16</v>
      </c>
      <c r="N20" s="179"/>
      <c r="O20" s="104">
        <f>SUM(O16:O19)</f>
        <v>0</v>
      </c>
      <c r="P20" s="105">
        <f>SUM(P16:P19)</f>
        <v>9</v>
      </c>
    </row>
    <row r="21" spans="1:16" x14ac:dyDescent="0.25">
      <c r="A21" s="86">
        <v>20</v>
      </c>
      <c r="B21" s="87">
        <v>39.058272699883673</v>
      </c>
      <c r="C21" s="14">
        <v>3</v>
      </c>
      <c r="D21" s="86">
        <v>0.35229069225808907</v>
      </c>
      <c r="E21" s="86"/>
      <c r="F21" s="14"/>
      <c r="H21" s="155">
        <v>20</v>
      </c>
      <c r="I21" s="89" cm="1">
        <f t="array" ref="I21">INDEX(A$2:A7020,RANK($D21,$D$2:$D$7001),1)</f>
        <v>4492</v>
      </c>
      <c r="J21" s="89" cm="1">
        <f t="array" ref="J21">INDEX(B$2:B7020,RANK($D21,$D$2:$D$7001),1)</f>
        <v>44.94822860066779</v>
      </c>
      <c r="K21" s="89" cm="1">
        <f t="array" ref="K21">INDEX(C$2:C7020,RANK($D21,$D$2:$D$7001),1)</f>
        <v>2</v>
      </c>
      <c r="L21" s="89"/>
    </row>
    <row r="22" spans="1:16" x14ac:dyDescent="0.25">
      <c r="A22" s="86">
        <v>21</v>
      </c>
      <c r="B22" s="87">
        <v>42.78554683366383</v>
      </c>
      <c r="C22" s="14">
        <v>2</v>
      </c>
      <c r="D22" s="86">
        <v>0.3013756289139301</v>
      </c>
      <c r="E22" s="86"/>
      <c r="F22" s="14"/>
      <c r="H22" s="155">
        <v>21</v>
      </c>
      <c r="I22" s="89" cm="1">
        <f t="array" ref="I22">INDEX(A$2:A7021,RANK($D22,$D$2:$D$7001),1)</f>
        <v>4825</v>
      </c>
      <c r="J22" s="89" cm="1">
        <f t="array" ref="J22">INDEX(B$2:B7021,RANK($D22,$D$2:$D$7001),1)</f>
        <v>42.815787532497779</v>
      </c>
      <c r="K22" s="89" cm="1">
        <f t="array" ref="K22">INDEX(C$2:C7021,RANK($D22,$D$2:$D$7001),1)</f>
        <v>4</v>
      </c>
      <c r="L22" s="89"/>
    </row>
    <row r="23" spans="1:16" x14ac:dyDescent="0.25">
      <c r="A23" s="86">
        <v>22</v>
      </c>
      <c r="B23" s="87">
        <v>42.757210389361717</v>
      </c>
      <c r="C23" s="14">
        <v>4</v>
      </c>
      <c r="D23" s="86">
        <v>0.24932469190877671</v>
      </c>
      <c r="E23" s="86"/>
      <c r="F23" s="14"/>
      <c r="H23" s="155">
        <v>22</v>
      </c>
      <c r="I23" s="89" cm="1">
        <f t="array" ref="I23">INDEX(A$2:A7022,RANK($D23,$D$2:$D$7001),1)</f>
        <v>5232</v>
      </c>
      <c r="J23" s="89" cm="1">
        <f t="array" ref="J23">INDEX(B$2:B7022,RANK($D23,$D$2:$D$7001),1)</f>
        <v>40.370491655601654</v>
      </c>
      <c r="K23" s="89" cm="1">
        <f t="array" ref="K23">INDEX(C$2:C7022,RANK($D23,$D$2:$D$7001),1)</f>
        <v>2</v>
      </c>
      <c r="L23" s="89"/>
    </row>
    <row r="24" spans="1:16" x14ac:dyDescent="0.25">
      <c r="A24" s="86">
        <v>23</v>
      </c>
      <c r="B24" s="87">
        <v>37.223071553278714</v>
      </c>
      <c r="C24" s="14">
        <v>2</v>
      </c>
      <c r="D24" s="86">
        <v>0.33996216413299851</v>
      </c>
      <c r="E24" s="86"/>
      <c r="F24" s="14"/>
      <c r="H24" s="155">
        <v>23</v>
      </c>
      <c r="I24" s="89" cm="1">
        <f t="array" ref="I24">INDEX(A$2:A7023,RANK($D24,$D$2:$D$7001),1)</f>
        <v>4579</v>
      </c>
      <c r="J24" s="89" cm="1">
        <f t="array" ref="J24">INDEX(B$2:B7023,RANK($D24,$D$2:$D$7001),1)</f>
        <v>46.673869741760427</v>
      </c>
      <c r="K24" s="89" cm="1">
        <f t="array" ref="K24">INDEX(C$2:C7023,RANK($D24,$D$2:$D$7001),1)</f>
        <v>4</v>
      </c>
      <c r="L24" s="89"/>
    </row>
    <row r="25" spans="1:16" x14ac:dyDescent="0.25">
      <c r="A25" s="86">
        <v>24</v>
      </c>
      <c r="B25" s="87">
        <v>45.18108766603109</v>
      </c>
      <c r="C25" s="14">
        <v>5</v>
      </c>
      <c r="D25" s="86">
        <v>0.70319970697933032</v>
      </c>
      <c r="E25" s="86"/>
      <c r="F25" s="14"/>
      <c r="H25" s="155">
        <v>24</v>
      </c>
      <c r="I25" s="89" cm="1">
        <f t="array" ref="I25">INDEX(A$2:A7024,RANK($D25,$D$2:$D$7001),1)</f>
        <v>2082</v>
      </c>
      <c r="J25" s="89" cm="1">
        <f t="array" ref="J25">INDEX(B$2:B7024,RANK($D25,$D$2:$D$7001),1)</f>
        <v>42.471367573278258</v>
      </c>
      <c r="K25" s="89" cm="1">
        <f t="array" ref="K25">INDEX(C$2:C7024,RANK($D25,$D$2:$D$7001),1)</f>
        <v>5</v>
      </c>
      <c r="L25" s="89"/>
    </row>
    <row r="26" spans="1:16" x14ac:dyDescent="0.25">
      <c r="A26" s="86">
        <v>25</v>
      </c>
      <c r="B26" s="87">
        <v>51.634924597572535</v>
      </c>
      <c r="C26" s="14">
        <v>2</v>
      </c>
      <c r="D26" s="86">
        <v>0.13443434137703747</v>
      </c>
      <c r="E26" s="86"/>
      <c r="F26" s="14"/>
      <c r="H26" s="155">
        <v>25</v>
      </c>
      <c r="I26" s="89" cm="1">
        <f t="array" ref="I26">INDEX(A$2:A7025,RANK($D26,$D$2:$D$7001),1)</f>
        <v>6058</v>
      </c>
      <c r="J26" s="89" cm="1">
        <f t="array" ref="J26">INDEX(B$2:B7025,RANK($D26,$D$2:$D$7001),1)</f>
        <v>42.86438865562377</v>
      </c>
      <c r="K26" s="89" cm="1">
        <f t="array" ref="K26">INDEX(C$2:C7025,RANK($D26,$D$2:$D$7001),1)</f>
        <v>3</v>
      </c>
      <c r="L26" s="89"/>
    </row>
    <row r="27" spans="1:16" x14ac:dyDescent="0.25">
      <c r="A27" s="86">
        <v>26</v>
      </c>
      <c r="B27" s="87">
        <v>46.838704287772998</v>
      </c>
      <c r="C27" s="14">
        <v>2</v>
      </c>
      <c r="D27" s="86">
        <v>0.2940113735876092</v>
      </c>
      <c r="E27" s="86"/>
      <c r="F27" s="14"/>
      <c r="H27" s="155">
        <v>26</v>
      </c>
      <c r="I27" s="89" cm="1">
        <f t="array" ref="I27">INDEX(A$2:A7026,RANK($D27,$D$2:$D$7001),1)</f>
        <v>4885</v>
      </c>
      <c r="J27" s="89" cm="1">
        <f t="array" ref="J27">INDEX(B$2:B7026,RANK($D27,$D$2:$D$7001),1)</f>
        <v>43.645718500891235</v>
      </c>
      <c r="K27" s="89" cm="1">
        <f t="array" ref="K27">INDEX(C$2:C7026,RANK($D27,$D$2:$D$7001),1)</f>
        <v>4</v>
      </c>
      <c r="L27" s="89"/>
    </row>
    <row r="28" spans="1:16" x14ac:dyDescent="0.25">
      <c r="A28" s="86">
        <v>27</v>
      </c>
      <c r="B28" s="87">
        <v>41.408964074769756</v>
      </c>
      <c r="C28" s="14">
        <v>5</v>
      </c>
      <c r="D28" s="86">
        <v>0.34084753007552959</v>
      </c>
      <c r="E28" s="86"/>
      <c r="F28" s="14"/>
      <c r="H28" s="155">
        <v>27</v>
      </c>
      <c r="I28" s="89" cm="1">
        <f t="array" ref="I28">INDEX(A$2:A7027,RANK($D28,$D$2:$D$7001),1)</f>
        <v>4575</v>
      </c>
      <c r="J28" s="89" cm="1">
        <f t="array" ref="J28">INDEX(B$2:B7027,RANK($D28,$D$2:$D$7001),1)</f>
        <v>44.704108854028163</v>
      </c>
      <c r="K28" s="89" cm="1">
        <f t="array" ref="K28">INDEX(C$2:C7027,RANK($D28,$D$2:$D$7001),1)</f>
        <v>5</v>
      </c>
      <c r="L28" s="89"/>
    </row>
    <row r="29" spans="1:16" x14ac:dyDescent="0.25">
      <c r="A29" s="86">
        <v>28</v>
      </c>
      <c r="B29" s="87">
        <v>43.449074377684155</v>
      </c>
      <c r="C29" s="14">
        <v>2</v>
      </c>
      <c r="D29" s="86">
        <v>0.70151484870581282</v>
      </c>
      <c r="E29" s="86"/>
      <c r="F29" s="14"/>
      <c r="H29" s="155">
        <v>28</v>
      </c>
      <c r="I29" s="89" cm="1">
        <f t="array" ref="I29">INDEX(A$2:A7028,RANK($D29,$D$2:$D$7001),1)</f>
        <v>2094</v>
      </c>
      <c r="J29" s="89" cm="1">
        <f t="array" ref="J29">INDEX(B$2:B7028,RANK($D29,$D$2:$D$7001),1)</f>
        <v>42.925603333394974</v>
      </c>
      <c r="K29" s="89" cm="1">
        <f t="array" ref="K29">INDEX(C$2:C7028,RANK($D29,$D$2:$D$7001),1)</f>
        <v>2</v>
      </c>
      <c r="L29" s="89"/>
    </row>
    <row r="30" spans="1:16" x14ac:dyDescent="0.25">
      <c r="A30" s="86">
        <v>29</v>
      </c>
      <c r="B30" s="87">
        <v>40.720891542485333</v>
      </c>
      <c r="C30" s="14">
        <v>5</v>
      </c>
      <c r="D30" s="86">
        <v>0.97734421704553498</v>
      </c>
      <c r="E30" s="86"/>
      <c r="F30" s="14"/>
      <c r="H30" s="155">
        <v>29</v>
      </c>
      <c r="I30" s="89" cm="1">
        <f t="array" ref="I30">INDEX(A$2:A7029,RANK($D30,$D$2:$D$7001),1)</f>
        <v>188</v>
      </c>
      <c r="J30" s="89" cm="1">
        <f t="array" ref="J30">INDEX(B$2:B7029,RANK($D30,$D$2:$D$7001),1)</f>
        <v>42.419412688439479</v>
      </c>
      <c r="K30" s="89" cm="1">
        <f t="array" ref="K30">INDEX(C$2:C7029,RANK($D30,$D$2:$D$7001),1)</f>
        <v>2</v>
      </c>
      <c r="L30" s="89"/>
    </row>
    <row r="31" spans="1:16" x14ac:dyDescent="0.25">
      <c r="A31" s="86">
        <v>30</v>
      </c>
      <c r="B31" s="87">
        <v>40.176541910448577</v>
      </c>
      <c r="C31" s="14">
        <v>2</v>
      </c>
      <c r="D31" s="86">
        <v>0.25611332673735299</v>
      </c>
      <c r="E31" s="86"/>
      <c r="F31" s="14"/>
      <c r="H31" s="155">
        <v>30</v>
      </c>
      <c r="I31" s="89" cm="1">
        <f t="array" ref="I31">INDEX(A$2:A7030,RANK($D31,$D$2:$D$7001),1)</f>
        <v>5178</v>
      </c>
      <c r="J31" s="89" cm="1">
        <f t="array" ref="J31">INDEX(B$2:B7030,RANK($D31,$D$2:$D$7001),1)</f>
        <v>37.508141298865667</v>
      </c>
      <c r="K31" s="89" cm="1">
        <f t="array" ref="K31">INDEX(C$2:C7030,RANK($D31,$D$2:$D$7001),1)</f>
        <v>1</v>
      </c>
      <c r="L31" s="89"/>
    </row>
    <row r="32" spans="1:16" x14ac:dyDescent="0.25">
      <c r="A32" s="86">
        <v>31</v>
      </c>
      <c r="B32" s="87">
        <v>43.049152504288941</v>
      </c>
      <c r="C32" s="14">
        <v>5</v>
      </c>
      <c r="D32" s="86">
        <v>0.65463732869824054</v>
      </c>
      <c r="E32" s="86"/>
      <c r="F32" s="14"/>
      <c r="H32" s="155">
        <v>31</v>
      </c>
      <c r="I32" s="89" cm="1">
        <f t="array" ref="I32">INDEX(A$2:A7031,RANK($D32,$D$2:$D$7001),1)</f>
        <v>2406</v>
      </c>
      <c r="J32" s="89" cm="1">
        <f t="array" ref="J32">INDEX(B$2:B7031,RANK($D32,$D$2:$D$7001),1)</f>
        <v>41.721091287734453</v>
      </c>
      <c r="K32" s="89" cm="1">
        <f t="array" ref="K32">INDEX(C$2:C7031,RANK($D32,$D$2:$D$7001),1)</f>
        <v>2</v>
      </c>
      <c r="L32" s="89"/>
    </row>
    <row r="33" spans="1:12" x14ac:dyDescent="0.25">
      <c r="A33" s="86">
        <v>32</v>
      </c>
      <c r="B33" s="87">
        <v>46.926618319383124</v>
      </c>
      <c r="C33" s="14">
        <v>5</v>
      </c>
      <c r="D33" s="86">
        <v>0.40215376834417194</v>
      </c>
      <c r="E33" s="86"/>
      <c r="F33" s="14"/>
      <c r="H33" s="155">
        <v>32</v>
      </c>
      <c r="I33" s="89" cm="1">
        <f t="array" ref="I33">INDEX(A$2:A7032,RANK($D33,$D$2:$D$7001),1)</f>
        <v>4174</v>
      </c>
      <c r="J33" s="89" cm="1">
        <f t="array" ref="J33">INDEX(B$2:B7032,RANK($D33,$D$2:$D$7001),1)</f>
        <v>39.207350250188028</v>
      </c>
      <c r="K33" s="89" cm="1">
        <f t="array" ref="K33">INDEX(C$2:C7032,RANK($D33,$D$2:$D$7001),1)</f>
        <v>5</v>
      </c>
      <c r="L33" s="89"/>
    </row>
    <row r="34" spans="1:12" x14ac:dyDescent="0.25">
      <c r="A34" s="86">
        <v>33</v>
      </c>
      <c r="B34" s="87">
        <v>49.80573748468305</v>
      </c>
      <c r="C34" s="14">
        <v>4</v>
      </c>
      <c r="D34" s="86">
        <v>0.47429527584206477</v>
      </c>
      <c r="E34" s="86"/>
      <c r="F34" s="14"/>
      <c r="H34" s="155">
        <v>33</v>
      </c>
      <c r="I34" s="89" cm="1">
        <f t="array" ref="I34">INDEX(A$2:A7033,RANK($D34,$D$2:$D$7001),1)</f>
        <v>3691</v>
      </c>
      <c r="J34" s="89" cm="1">
        <f t="array" ref="J34">INDEX(B$2:B7033,RANK($D34,$D$2:$D$7001),1)</f>
        <v>40.201626911191852</v>
      </c>
      <c r="K34" s="89" cm="1">
        <f t="array" ref="K34">INDEX(C$2:C7033,RANK($D34,$D$2:$D$7001),1)</f>
        <v>5</v>
      </c>
      <c r="L34" s="89"/>
    </row>
    <row r="35" spans="1:12" x14ac:dyDescent="0.25">
      <c r="A35" s="86">
        <v>34</v>
      </c>
      <c r="B35" s="87">
        <v>47.397202246764209</v>
      </c>
      <c r="C35" s="14">
        <v>5</v>
      </c>
      <c r="D35" s="86">
        <v>0.11109411665074298</v>
      </c>
      <c r="E35" s="86"/>
      <c r="F35" s="14"/>
      <c r="H35" s="155">
        <v>34</v>
      </c>
      <c r="I35" s="89" cm="1">
        <f t="array" ref="I35">INDEX(A$2:A7034,RANK($D35,$D$2:$D$7001),1)</f>
        <v>6245</v>
      </c>
      <c r="J35" s="89" cm="1">
        <f t="array" ref="J35">INDEX(B$2:B7034,RANK($D35,$D$2:$D$7001),1)</f>
        <v>45.197930371039547</v>
      </c>
      <c r="K35" s="89" cm="1">
        <f t="array" ref="K35">INDEX(C$2:C7034,RANK($D35,$D$2:$D$7001),1)</f>
        <v>2</v>
      </c>
      <c r="L35" s="89"/>
    </row>
    <row r="36" spans="1:12" x14ac:dyDescent="0.25">
      <c r="A36" s="86">
        <v>35</v>
      </c>
      <c r="B36" s="87">
        <v>38.506243521958822</v>
      </c>
      <c r="C36" s="14">
        <v>5</v>
      </c>
      <c r="D36" s="86">
        <v>0.92075453654239736</v>
      </c>
      <c r="E36" s="86"/>
      <c r="F36" s="14"/>
      <c r="H36" s="155">
        <v>35</v>
      </c>
      <c r="I36" s="89" cm="1">
        <f t="array" ref="I36">INDEX(A$2:A7035,RANK($D36,$D$2:$D$7001),1)</f>
        <v>584</v>
      </c>
      <c r="J36" s="89" cm="1">
        <f t="array" ref="J36">INDEX(B$2:B7035,RANK($D36,$D$2:$D$7001),1)</f>
        <v>44.395852677887888</v>
      </c>
      <c r="K36" s="89" cm="1">
        <f t="array" ref="K36">INDEX(C$2:C7035,RANK($D36,$D$2:$D$7001),1)</f>
        <v>4</v>
      </c>
      <c r="L36" s="89"/>
    </row>
    <row r="37" spans="1:12" x14ac:dyDescent="0.25">
      <c r="A37" s="86">
        <v>36</v>
      </c>
      <c r="B37" s="87">
        <v>44.289970441575861</v>
      </c>
      <c r="C37" s="14">
        <v>5</v>
      </c>
      <c r="D37" s="86">
        <v>0.72531897307628945</v>
      </c>
      <c r="E37" s="86"/>
      <c r="F37" s="14"/>
      <c r="H37" s="155">
        <v>36</v>
      </c>
      <c r="I37" s="89" cm="1">
        <f t="array" ref="I37">INDEX(A$2:A7036,RANK($D37,$D$2:$D$7001),1)</f>
        <v>1946</v>
      </c>
      <c r="J37" s="89" cm="1">
        <f t="array" ref="J37">INDEX(B$2:B7036,RANK($D37,$D$2:$D$7001),1)</f>
        <v>39.439919414115138</v>
      </c>
      <c r="K37" s="89" cm="1">
        <f t="array" ref="K37">INDEX(C$2:C7036,RANK($D37,$D$2:$D$7001),1)</f>
        <v>4</v>
      </c>
      <c r="L37" s="89"/>
    </row>
    <row r="38" spans="1:12" x14ac:dyDescent="0.25">
      <c r="A38" s="86">
        <v>37</v>
      </c>
      <c r="B38" s="87">
        <v>33.106653058319353</v>
      </c>
      <c r="C38" s="14">
        <v>2</v>
      </c>
      <c r="D38" s="86">
        <v>0.67702520603718952</v>
      </c>
      <c r="E38" s="86"/>
      <c r="F38" s="14"/>
      <c r="H38" s="155">
        <v>37</v>
      </c>
      <c r="I38" s="89" cm="1">
        <f t="array" ref="I38">INDEX(A$2:A7037,RANK($D38,$D$2:$D$7001),1)</f>
        <v>2250</v>
      </c>
      <c r="J38" s="89" cm="1">
        <f t="array" ref="J38">INDEX(B$2:B7037,RANK($D38,$D$2:$D$7001),1)</f>
        <v>45.411468358332058</v>
      </c>
      <c r="K38" s="89" cm="1">
        <f t="array" ref="K38">INDEX(C$2:C7037,RANK($D38,$D$2:$D$7001),1)</f>
        <v>2</v>
      </c>
      <c r="L38" s="89"/>
    </row>
    <row r="39" spans="1:12" x14ac:dyDescent="0.25">
      <c r="A39" s="86">
        <v>38</v>
      </c>
      <c r="B39" s="87">
        <v>41.168857473501703</v>
      </c>
      <c r="C39" s="14">
        <v>2</v>
      </c>
      <c r="D39" s="86">
        <v>0.90619082831893971</v>
      </c>
      <c r="E39" s="86"/>
      <c r="F39" s="14"/>
      <c r="H39" s="155">
        <v>38</v>
      </c>
      <c r="I39" s="89" cm="1">
        <f t="array" ref="I39">INDEX(A$2:A7038,RANK($D39,$D$2:$D$7001),1)</f>
        <v>680</v>
      </c>
      <c r="J39" s="89" cm="1">
        <f t="array" ref="J39">INDEX(B$2:B7038,RANK($D39,$D$2:$D$7001),1)</f>
        <v>40.030420217924984</v>
      </c>
      <c r="K39" s="89" cm="1">
        <f t="array" ref="K39">INDEX(C$2:C7038,RANK($D39,$D$2:$D$7001),1)</f>
        <v>5</v>
      </c>
      <c r="L39" s="89"/>
    </row>
    <row r="40" spans="1:12" x14ac:dyDescent="0.25">
      <c r="A40" s="86">
        <v>39</v>
      </c>
      <c r="B40" s="87">
        <v>38.632003901846474</v>
      </c>
      <c r="C40" s="14">
        <v>5</v>
      </c>
      <c r="D40" s="86">
        <v>0.22600863052204467</v>
      </c>
      <c r="E40" s="86"/>
      <c r="F40" s="14"/>
      <c r="H40" s="155">
        <v>39</v>
      </c>
      <c r="I40" s="89" cm="1">
        <f t="array" ref="I40">INDEX(A$2:A7039,RANK($D40,$D$2:$D$7001),1)</f>
        <v>5398</v>
      </c>
      <c r="J40" s="89" cm="1">
        <f t="array" ref="J40">INDEX(B$2:B7039,RANK($D40,$D$2:$D$7001),1)</f>
        <v>39.698403492700891</v>
      </c>
      <c r="K40" s="89" cm="1">
        <f t="array" ref="K40">INDEX(C$2:C7039,RANK($D40,$D$2:$D$7001),1)</f>
        <v>2</v>
      </c>
      <c r="L40" s="89"/>
    </row>
    <row r="41" spans="1:12" x14ac:dyDescent="0.25">
      <c r="A41" s="86">
        <v>40</v>
      </c>
      <c r="B41" s="87">
        <v>47.056551006215159</v>
      </c>
      <c r="C41" s="14">
        <v>2</v>
      </c>
      <c r="D41" s="86">
        <v>0.48828968259219252</v>
      </c>
      <c r="E41" s="86"/>
      <c r="F41" s="14"/>
      <c r="H41" s="155">
        <v>40</v>
      </c>
      <c r="I41" s="89" cm="1">
        <f t="array" ref="I41">INDEX(A$2:A7040,RANK($D41,$D$2:$D$7001),1)</f>
        <v>3595</v>
      </c>
      <c r="J41" s="89" cm="1">
        <f t="array" ref="J41">INDEX(B$2:B7040,RANK($D41,$D$2:$D$7001),1)</f>
        <v>43.752322648622794</v>
      </c>
      <c r="K41" s="89" cm="1">
        <f t="array" ref="K41">INDEX(C$2:C7040,RANK($D41,$D$2:$D$7001),1)</f>
        <v>2</v>
      </c>
      <c r="L41" s="89"/>
    </row>
    <row r="42" spans="1:12" x14ac:dyDescent="0.25">
      <c r="A42" s="86">
        <v>41</v>
      </c>
      <c r="B42" s="87">
        <v>41.399709966179216</v>
      </c>
      <c r="C42" s="14">
        <v>2</v>
      </c>
      <c r="D42" s="86">
        <v>0.30063886348935454</v>
      </c>
      <c r="E42" s="86"/>
      <c r="F42" s="14"/>
      <c r="H42" s="155">
        <v>41</v>
      </c>
      <c r="I42" s="89" cm="1">
        <f t="array" ref="I42">INDEX(A$2:A7041,RANK($D42,$D$2:$D$7001),1)</f>
        <v>4832</v>
      </c>
      <c r="J42" s="89" cm="1">
        <f t="array" ref="J42">INDEX(B$2:B7041,RANK($D42,$D$2:$D$7001),1)</f>
        <v>35.73427420121152</v>
      </c>
      <c r="K42" s="89" cm="1">
        <f t="array" ref="K42">INDEX(C$2:C7041,RANK($D42,$D$2:$D$7001),1)</f>
        <v>5</v>
      </c>
      <c r="L42" s="89"/>
    </row>
    <row r="43" spans="1:12" x14ac:dyDescent="0.25">
      <c r="A43" s="86">
        <v>42</v>
      </c>
      <c r="B43" s="87">
        <v>49.445941380661679</v>
      </c>
      <c r="C43" s="14">
        <v>2</v>
      </c>
      <c r="D43" s="86">
        <v>0.1721416395391856</v>
      </c>
      <c r="E43" s="86"/>
      <c r="F43" s="14"/>
      <c r="H43" s="155">
        <v>42</v>
      </c>
      <c r="I43" s="89" cm="1">
        <f t="array" ref="I43">INDEX(A$2:A7042,RANK($D43,$D$2:$D$7001),1)</f>
        <v>5811</v>
      </c>
      <c r="J43" s="89" cm="1">
        <f t="array" ref="J43">INDEX(B$2:B7042,RANK($D43,$D$2:$D$7001),1)</f>
        <v>45.25705889533856</v>
      </c>
      <c r="K43" s="89" cm="1">
        <f t="array" ref="K43">INDEX(C$2:C7042,RANK($D43,$D$2:$D$7001),1)</f>
        <v>4</v>
      </c>
      <c r="L43" s="89"/>
    </row>
    <row r="44" spans="1:12" x14ac:dyDescent="0.25">
      <c r="A44" s="86">
        <v>43</v>
      </c>
      <c r="B44" s="87">
        <v>45.778710950224195</v>
      </c>
      <c r="C44" s="14">
        <v>4</v>
      </c>
      <c r="D44" s="86">
        <v>0.6436099734249312</v>
      </c>
      <c r="E44" s="86"/>
      <c r="F44" s="14"/>
      <c r="H44" s="155">
        <v>43</v>
      </c>
      <c r="I44" s="89" cm="1">
        <f t="array" ref="I44">INDEX(A$2:A7043,RANK($D44,$D$2:$D$7001),1)</f>
        <v>2493</v>
      </c>
      <c r="J44" s="89" cm="1">
        <f t="array" ref="J44">INDEX(B$2:B7043,RANK($D44,$D$2:$D$7001),1)</f>
        <v>48.140498160471907</v>
      </c>
      <c r="K44" s="89" cm="1">
        <f t="array" ref="K44">INDEX(C$2:C7043,RANK($D44,$D$2:$D$7001),1)</f>
        <v>1</v>
      </c>
      <c r="L44" s="89"/>
    </row>
    <row r="45" spans="1:12" x14ac:dyDescent="0.25">
      <c r="A45" s="86">
        <v>44</v>
      </c>
      <c r="B45" s="87">
        <v>51.607867130194791</v>
      </c>
      <c r="C45" s="14">
        <v>1</v>
      </c>
      <c r="D45" s="86">
        <v>0.3831341881393806</v>
      </c>
      <c r="E45" s="86"/>
      <c r="F45" s="14"/>
      <c r="H45" s="155">
        <v>44</v>
      </c>
      <c r="I45" s="89" cm="1">
        <f t="array" ref="I45">INDEX(A$2:A7044,RANK($D45,$D$2:$D$7001),1)</f>
        <v>4282</v>
      </c>
      <c r="J45" s="89" cm="1">
        <f t="array" ref="J45">INDEX(B$2:B7044,RANK($D45,$D$2:$D$7001),1)</f>
        <v>43.898899088497274</v>
      </c>
      <c r="K45" s="89" cm="1">
        <f t="array" ref="K45">INDEX(C$2:C7044,RANK($D45,$D$2:$D$7001),1)</f>
        <v>4</v>
      </c>
      <c r="L45" s="89"/>
    </row>
    <row r="46" spans="1:12" x14ac:dyDescent="0.25">
      <c r="A46" s="86">
        <v>45</v>
      </c>
      <c r="B46" s="87">
        <v>37.959694049612153</v>
      </c>
      <c r="C46" s="14">
        <v>5</v>
      </c>
      <c r="D46" s="86">
        <v>0.94230136174954116</v>
      </c>
      <c r="E46" s="86"/>
      <c r="F46" s="14"/>
      <c r="H46" s="155">
        <v>45</v>
      </c>
      <c r="I46" s="89" cm="1">
        <f t="array" ref="I46">INDEX(A$2:A7045,RANK($D46,$D$2:$D$7001),1)</f>
        <v>419</v>
      </c>
      <c r="J46" s="89" cm="1">
        <f t="array" ref="J46">INDEX(B$2:B7045,RANK($D46,$D$2:$D$7001),1)</f>
        <v>48.473725650517736</v>
      </c>
      <c r="K46" s="89" cm="1">
        <f t="array" ref="K46">INDEX(C$2:C7045,RANK($D46,$D$2:$D$7001),1)</f>
        <v>4</v>
      </c>
      <c r="L46" s="89"/>
    </row>
    <row r="47" spans="1:12" x14ac:dyDescent="0.25">
      <c r="A47" s="86">
        <v>46</v>
      </c>
      <c r="B47" s="87">
        <v>41.047644567122916</v>
      </c>
      <c r="C47" s="14">
        <v>3</v>
      </c>
      <c r="D47" s="86">
        <v>3.7616791102866975E-2</v>
      </c>
      <c r="E47" s="86"/>
      <c r="F47" s="14"/>
      <c r="H47" s="155">
        <v>46</v>
      </c>
      <c r="I47" s="89" cm="1">
        <f t="array" ref="I47">INDEX(A$2:A7046,RANK($D47,$D$2:$D$7001),1)</f>
        <v>6741</v>
      </c>
      <c r="J47" s="89" cm="1">
        <f t="array" ref="J47">INDEX(B$2:B7046,RANK($D47,$D$2:$D$7001),1)</f>
        <v>37.564427652221639</v>
      </c>
      <c r="K47" s="89" cm="1">
        <f t="array" ref="K47">INDEX(C$2:C7046,RANK($D47,$D$2:$D$7001),1)</f>
        <v>2</v>
      </c>
      <c r="L47" s="89"/>
    </row>
    <row r="48" spans="1:12" x14ac:dyDescent="0.25">
      <c r="A48" s="86">
        <v>47</v>
      </c>
      <c r="B48" s="87">
        <v>36.143683241214603</v>
      </c>
      <c r="C48" s="14">
        <v>3</v>
      </c>
      <c r="D48" s="86">
        <v>0.5621794046213543</v>
      </c>
      <c r="E48" s="86"/>
      <c r="F48" s="14"/>
      <c r="H48" s="155">
        <v>47</v>
      </c>
      <c r="I48" s="89" cm="1">
        <f t="array" ref="I48">INDEX(A$2:A7047,RANK($D48,$D$2:$D$7001),1)</f>
        <v>3056</v>
      </c>
      <c r="J48" s="89" cm="1">
        <f t="array" ref="J48">INDEX(B$2:B7047,RANK($D48,$D$2:$D$7001),1)</f>
        <v>48.766503363702213</v>
      </c>
      <c r="K48" s="89" cm="1">
        <f t="array" ref="K48">INDEX(C$2:C7047,RANK($D48,$D$2:$D$7001),1)</f>
        <v>3</v>
      </c>
      <c r="L48" s="89"/>
    </row>
    <row r="49" spans="1:12" x14ac:dyDescent="0.25">
      <c r="A49" s="86">
        <v>48</v>
      </c>
      <c r="B49" s="87">
        <v>41.769646936125355</v>
      </c>
      <c r="C49" s="14">
        <v>4</v>
      </c>
      <c r="D49" s="86">
        <v>0.85572205383033806</v>
      </c>
      <c r="E49" s="86"/>
      <c r="F49" s="14"/>
      <c r="H49" s="155">
        <v>48</v>
      </c>
      <c r="I49" s="89" cm="1">
        <f t="array" ref="I49">INDEX(A$2:A7048,RANK($D49,$D$2:$D$7001),1)</f>
        <v>1042</v>
      </c>
      <c r="J49" s="89" cm="1">
        <f t="array" ref="J49">INDEX(B$2:B7048,RANK($D49,$D$2:$D$7001),1)</f>
        <v>44.480367473050137</v>
      </c>
      <c r="K49" s="89" cm="1">
        <f t="array" ref="K49">INDEX(C$2:C7048,RANK($D49,$D$2:$D$7001),1)</f>
        <v>2</v>
      </c>
      <c r="L49" s="89"/>
    </row>
    <row r="50" spans="1:12" x14ac:dyDescent="0.25">
      <c r="A50" s="86">
        <v>49</v>
      </c>
      <c r="B50" s="87">
        <v>52.904215403366834</v>
      </c>
      <c r="C50" s="14">
        <v>4</v>
      </c>
      <c r="D50" s="86">
        <v>0.77369019166920994</v>
      </c>
      <c r="E50" s="86"/>
      <c r="F50" s="14"/>
      <c r="H50" s="155">
        <v>49</v>
      </c>
      <c r="I50" s="89" cm="1">
        <f t="array" ref="I50">INDEX(A$2:A7049,RANK($D50,$D$2:$D$7001),1)</f>
        <v>1584</v>
      </c>
      <c r="J50" s="89" cm="1">
        <f t="array" ref="J50">INDEX(B$2:B7049,RANK($D50,$D$2:$D$7001),1)</f>
        <v>39.378539890429238</v>
      </c>
      <c r="K50" s="89" cm="1">
        <f t="array" ref="K50">INDEX(C$2:C7049,RANK($D50,$D$2:$D$7001),1)</f>
        <v>2</v>
      </c>
      <c r="L50" s="89"/>
    </row>
    <row r="51" spans="1:12" x14ac:dyDescent="0.25">
      <c r="A51" s="86">
        <v>50</v>
      </c>
      <c r="B51" s="87">
        <v>47.948958576278528</v>
      </c>
      <c r="C51" s="14">
        <v>2</v>
      </c>
      <c r="D51" s="86">
        <v>0.97653666685878326</v>
      </c>
      <c r="E51" s="86"/>
      <c r="F51" s="14"/>
      <c r="H51" s="155">
        <v>50</v>
      </c>
      <c r="I51" s="89" cm="1">
        <f t="array" ref="I51">INDEX(A$2:A7050,RANK($D51,$D$2:$D$7001),1)</f>
        <v>192</v>
      </c>
      <c r="J51" s="89" cm="1">
        <f t="array" ref="J51">INDEX(B$2:B7050,RANK($D51,$D$2:$D$7001),1)</f>
        <v>35.735365594853647</v>
      </c>
      <c r="K51" s="89" cm="1">
        <f t="array" ref="K51">INDEX(C$2:C7050,RANK($D51,$D$2:$D$7001),1)</f>
        <v>2</v>
      </c>
      <c r="L51" s="89"/>
    </row>
    <row r="52" spans="1:12" x14ac:dyDescent="0.25">
      <c r="A52" s="86">
        <v>51</v>
      </c>
      <c r="B52" s="87">
        <v>43.222109974856721</v>
      </c>
      <c r="C52" s="14">
        <v>2</v>
      </c>
      <c r="D52" s="86">
        <v>0.25750929794820754</v>
      </c>
      <c r="E52" s="86"/>
      <c r="F52" s="14"/>
      <c r="H52" s="155">
        <v>51</v>
      </c>
      <c r="I52" s="89" cm="1">
        <f t="array" ref="I52">INDEX(A$2:A7051,RANK($D52,$D$2:$D$7001),1)</f>
        <v>5170</v>
      </c>
      <c r="J52" s="89" cm="1">
        <f t="array" ref="J52">INDEX(B$2:B7051,RANK($D52,$D$2:$D$7001),1)</f>
        <v>31.855324772885069</v>
      </c>
      <c r="K52" s="89" cm="1">
        <f t="array" ref="K52">INDEX(C$2:C7051,RANK($D52,$D$2:$D$7001),1)</f>
        <v>5</v>
      </c>
      <c r="L52" s="89"/>
    </row>
    <row r="53" spans="1:12" x14ac:dyDescent="0.25">
      <c r="A53" s="86">
        <v>52</v>
      </c>
      <c r="B53" s="87">
        <v>37.48712060257094</v>
      </c>
      <c r="C53" s="14">
        <v>3</v>
      </c>
      <c r="D53" s="86">
        <v>0.2055868247089252</v>
      </c>
      <c r="E53" s="86"/>
      <c r="F53" s="14"/>
      <c r="H53" s="155">
        <v>52</v>
      </c>
      <c r="I53" s="89" cm="1">
        <f t="array" ref="I53">INDEX(A$2:A7052,RANK($D53,$D$2:$D$7001),1)</f>
        <v>5557</v>
      </c>
      <c r="J53" s="89" cm="1">
        <f t="array" ref="J53">INDEX(B$2:B7052,RANK($D53,$D$2:$D$7001),1)</f>
        <v>41.641885667893803</v>
      </c>
      <c r="K53" s="89" cm="1">
        <f t="array" ref="K53">INDEX(C$2:C7052,RANK($D53,$D$2:$D$7001),1)</f>
        <v>4</v>
      </c>
      <c r="L53" s="89"/>
    </row>
    <row r="54" spans="1:12" x14ac:dyDescent="0.25">
      <c r="A54" s="86">
        <v>53</v>
      </c>
      <c r="B54" s="87">
        <v>42.462522737303516</v>
      </c>
      <c r="C54" s="14">
        <v>2</v>
      </c>
      <c r="D54" s="86">
        <v>0.69731795661623874</v>
      </c>
      <c r="E54" s="86"/>
      <c r="F54" s="14"/>
      <c r="H54" s="155">
        <v>53</v>
      </c>
      <c r="I54" s="89" cm="1">
        <f t="array" ref="I54">INDEX(A$2:A7053,RANK($D54,$D$2:$D$7001),1)</f>
        <v>2116</v>
      </c>
      <c r="J54" s="89" cm="1">
        <f t="array" ref="J54">INDEX(B$2:B7053,RANK($D54,$D$2:$D$7001),1)</f>
        <v>40.906917315049213</v>
      </c>
      <c r="K54" s="89" cm="1">
        <f t="array" ref="K54">INDEX(C$2:C7053,RANK($D54,$D$2:$D$7001),1)</f>
        <v>2</v>
      </c>
      <c r="L54" s="89"/>
    </row>
    <row r="55" spans="1:12" x14ac:dyDescent="0.25">
      <c r="A55" s="86">
        <v>54</v>
      </c>
      <c r="B55" s="87">
        <v>35.19908204395324</v>
      </c>
      <c r="C55" s="14">
        <v>1</v>
      </c>
      <c r="D55" s="86">
        <v>4.4626240362819591E-2</v>
      </c>
      <c r="E55" s="86"/>
      <c r="F55" s="14"/>
      <c r="H55" s="155">
        <v>54</v>
      </c>
      <c r="I55" s="89" cm="1">
        <f t="array" ref="I55">INDEX(A$2:A7054,RANK($D55,$D$2:$D$7001),1)</f>
        <v>6698</v>
      </c>
      <c r="J55" s="89" cm="1">
        <f t="array" ref="J55">INDEX(B$2:B7054,RANK($D55,$D$2:$D$7001),1)</f>
        <v>39.431540694175055</v>
      </c>
      <c r="K55" s="89" cm="1">
        <f t="array" ref="K55">INDEX(C$2:C7054,RANK($D55,$D$2:$D$7001),1)</f>
        <v>5</v>
      </c>
      <c r="L55" s="89"/>
    </row>
    <row r="56" spans="1:12" x14ac:dyDescent="0.25">
      <c r="A56" s="86">
        <v>55</v>
      </c>
      <c r="B56" s="87">
        <v>46.753496002900647</v>
      </c>
      <c r="C56" s="14">
        <v>5</v>
      </c>
      <c r="D56" s="86">
        <v>0.85928785356137383</v>
      </c>
      <c r="E56" s="86"/>
      <c r="F56" s="14"/>
      <c r="H56" s="155">
        <v>55</v>
      </c>
      <c r="I56" s="89" cm="1">
        <f t="array" ref="I56">INDEX(A$2:A7055,RANK($D56,$D$2:$D$7001),1)</f>
        <v>1011</v>
      </c>
      <c r="J56" s="89" cm="1">
        <f t="array" ref="J56">INDEX(B$2:B7055,RANK($D56,$D$2:$D$7001),1)</f>
        <v>42.889257651375374</v>
      </c>
      <c r="K56" s="89" cm="1">
        <f t="array" ref="K56">INDEX(C$2:C7055,RANK($D56,$D$2:$D$7001),1)</f>
        <v>4</v>
      </c>
      <c r="L56" s="89"/>
    </row>
    <row r="57" spans="1:12" x14ac:dyDescent="0.25">
      <c r="A57" s="86">
        <v>56</v>
      </c>
      <c r="B57" s="87">
        <v>49.145137376734056</v>
      </c>
      <c r="C57" s="14">
        <v>2</v>
      </c>
      <c r="D57" s="86">
        <v>0.95916053900187193</v>
      </c>
      <c r="E57" s="86"/>
      <c r="F57" s="14"/>
      <c r="H57" s="155">
        <v>56</v>
      </c>
      <c r="I57" s="89" cm="1">
        <f t="array" ref="I57">INDEX(A$2:A7056,RANK($D57,$D$2:$D$7001),1)</f>
        <v>320</v>
      </c>
      <c r="J57" s="89" cm="1">
        <f t="array" ref="J57">INDEX(B$2:B7056,RANK($D57,$D$2:$D$7001),1)</f>
        <v>46.507051360429614</v>
      </c>
      <c r="K57" s="89" cm="1">
        <f t="array" ref="K57">INDEX(C$2:C7056,RANK($D57,$D$2:$D$7001),1)</f>
        <v>4</v>
      </c>
      <c r="L57" s="89"/>
    </row>
    <row r="58" spans="1:12" x14ac:dyDescent="0.25">
      <c r="A58" s="86">
        <v>57</v>
      </c>
      <c r="B58" s="87">
        <v>47.138416898058495</v>
      </c>
      <c r="C58" s="14">
        <v>1</v>
      </c>
      <c r="D58" s="86">
        <v>0.82840974780773347</v>
      </c>
      <c r="E58" s="86"/>
      <c r="F58" s="14"/>
      <c r="H58" s="155">
        <v>57</v>
      </c>
      <c r="I58" s="89" cm="1">
        <f t="array" ref="I58">INDEX(A$2:A7057,RANK($D58,$D$2:$D$7001),1)</f>
        <v>1219</v>
      </c>
      <c r="J58" s="89" cm="1">
        <f t="array" ref="J58">INDEX(B$2:B7057,RANK($D58,$D$2:$D$7001),1)</f>
        <v>55.557211448438466</v>
      </c>
      <c r="K58" s="89" cm="1">
        <f t="array" ref="K58">INDEX(C$2:C7057,RANK($D58,$D$2:$D$7001),1)</f>
        <v>5</v>
      </c>
      <c r="L58" s="89"/>
    </row>
    <row r="59" spans="1:12" x14ac:dyDescent="0.25">
      <c r="A59" s="86">
        <v>58</v>
      </c>
      <c r="B59" s="87">
        <v>45.715989921853179</v>
      </c>
      <c r="C59" s="14">
        <v>5</v>
      </c>
      <c r="D59" s="86">
        <v>3.5328349630750711E-2</v>
      </c>
      <c r="E59" s="86"/>
      <c r="F59" s="14"/>
      <c r="H59" s="155">
        <v>58</v>
      </c>
      <c r="I59" s="89" cm="1">
        <f t="array" ref="I59">INDEX(A$2:A7058,RANK($D59,$D$2:$D$7001),1)</f>
        <v>6754</v>
      </c>
      <c r="J59" s="89" cm="1">
        <f t="array" ref="J59">INDEX(B$2:B7058,RANK($D59,$D$2:$D$7001),1)</f>
        <v>38.936536834051367</v>
      </c>
      <c r="K59" s="89" cm="1">
        <f t="array" ref="K59">INDEX(C$2:C7058,RANK($D59,$D$2:$D$7001),1)</f>
        <v>2</v>
      </c>
      <c r="L59" s="89"/>
    </row>
    <row r="60" spans="1:12" x14ac:dyDescent="0.25">
      <c r="A60" s="86">
        <v>59</v>
      </c>
      <c r="B60" s="87">
        <v>41.804310052946676</v>
      </c>
      <c r="C60" s="14">
        <v>5</v>
      </c>
      <c r="D60" s="86">
        <v>0.56498603476933029</v>
      </c>
      <c r="E60" s="86"/>
      <c r="F60" s="14"/>
      <c r="H60" s="155">
        <v>59</v>
      </c>
      <c r="I60" s="89" cm="1">
        <f t="array" ref="I60">INDEX(A$2:A7059,RANK($D60,$D$2:$D$7001),1)</f>
        <v>3033</v>
      </c>
      <c r="J60" s="89" cm="1">
        <f t="array" ref="J60">INDEX(B$2:B7059,RANK($D60,$D$2:$D$7001),1)</f>
        <v>38.344649050821317</v>
      </c>
      <c r="K60" s="89" cm="1">
        <f t="array" ref="K60">INDEX(C$2:C7059,RANK($D60,$D$2:$D$7001),1)</f>
        <v>3</v>
      </c>
      <c r="L60" s="89"/>
    </row>
    <row r="61" spans="1:12" x14ac:dyDescent="0.25">
      <c r="A61" s="86">
        <v>60</v>
      </c>
      <c r="B61" s="87">
        <v>44.029439999911119</v>
      </c>
      <c r="C61" s="14">
        <v>2</v>
      </c>
      <c r="D61" s="86">
        <v>0.53757771685254263</v>
      </c>
      <c r="E61" s="86"/>
      <c r="F61" s="14"/>
      <c r="H61" s="155">
        <v>60</v>
      </c>
      <c r="I61" s="89" cm="1">
        <f t="array" ref="I61">INDEX(A$2:A7060,RANK($D61,$D$2:$D$7001),1)</f>
        <v>3244</v>
      </c>
      <c r="J61" s="89" cm="1">
        <f t="array" ref="J61">INDEX(B$2:B7060,RANK($D61,$D$2:$D$7001),1)</f>
        <v>46.992556685261661</v>
      </c>
      <c r="K61" s="89" cm="1">
        <f t="array" ref="K61">INDEX(C$2:C7060,RANK($D61,$D$2:$D$7001),1)</f>
        <v>4</v>
      </c>
      <c r="L61" s="89"/>
    </row>
    <row r="62" spans="1:12" x14ac:dyDescent="0.25">
      <c r="A62" s="86">
        <v>61</v>
      </c>
      <c r="B62" s="87">
        <v>34.376944308285601</v>
      </c>
      <c r="C62" s="14">
        <v>4</v>
      </c>
      <c r="D62" s="86">
        <v>0.42137369789039103</v>
      </c>
      <c r="E62" s="86"/>
      <c r="F62" s="14"/>
      <c r="H62" s="155">
        <v>61</v>
      </c>
      <c r="I62" s="89" cm="1">
        <f t="array" ref="I62">INDEX(A$2:A7061,RANK($D62,$D$2:$D$7001),1)</f>
        <v>4056</v>
      </c>
      <c r="J62" s="89" cm="1">
        <f t="array" ref="J62">INDEX(B$2:B7061,RANK($D62,$D$2:$D$7001),1)</f>
        <v>41.349704810607363</v>
      </c>
      <c r="K62" s="89" cm="1">
        <f t="array" ref="K62">INDEX(C$2:C7061,RANK($D62,$D$2:$D$7001),1)</f>
        <v>2</v>
      </c>
      <c r="L62" s="89"/>
    </row>
    <row r="63" spans="1:12" x14ac:dyDescent="0.25">
      <c r="A63" s="86">
        <v>62</v>
      </c>
      <c r="B63" s="87">
        <v>46.674870185932377</v>
      </c>
      <c r="C63" s="14">
        <v>2</v>
      </c>
      <c r="D63" s="86">
        <v>0.928818975005273</v>
      </c>
      <c r="E63" s="86"/>
      <c r="F63" s="14"/>
      <c r="H63" s="155">
        <v>62</v>
      </c>
      <c r="I63" s="89" cm="1">
        <f t="array" ref="I63">INDEX(A$2:A7062,RANK($D63,$D$2:$D$7001),1)</f>
        <v>521</v>
      </c>
      <c r="J63" s="89" cm="1">
        <f t="array" ref="J63">INDEX(B$2:B7062,RANK($D63,$D$2:$D$7001),1)</f>
        <v>39.065571394865401</v>
      </c>
      <c r="K63" s="89" cm="1">
        <f t="array" ref="K63">INDEX(C$2:C7062,RANK($D63,$D$2:$D$7001),1)</f>
        <v>2</v>
      </c>
      <c r="L63" s="89"/>
    </row>
    <row r="64" spans="1:12" x14ac:dyDescent="0.25">
      <c r="A64" s="86">
        <v>63</v>
      </c>
      <c r="B64" s="87">
        <v>43.452143922302639</v>
      </c>
      <c r="C64" s="14">
        <v>4</v>
      </c>
      <c r="D64" s="86">
        <v>0.81032820387283544</v>
      </c>
      <c r="E64" s="86"/>
      <c r="F64" s="14"/>
      <c r="H64" s="155">
        <v>63</v>
      </c>
      <c r="I64" s="89" cm="1">
        <f t="array" ref="I64">INDEX(A$2:A7063,RANK($D64,$D$2:$D$7001),1)</f>
        <v>1348</v>
      </c>
      <c r="J64" s="89" cm="1">
        <f t="array" ref="J64">INDEX(B$2:B7063,RANK($D64,$D$2:$D$7001),1)</f>
        <v>52.099039743887261</v>
      </c>
      <c r="K64" s="89" cm="1">
        <f t="array" ref="K64">INDEX(C$2:C7063,RANK($D64,$D$2:$D$7001),1)</f>
        <v>2</v>
      </c>
      <c r="L64" s="89"/>
    </row>
    <row r="65" spans="1:12" x14ac:dyDescent="0.25">
      <c r="A65" s="86">
        <v>64</v>
      </c>
      <c r="B65" s="87">
        <v>35.822199601505417</v>
      </c>
      <c r="C65" s="14">
        <v>3</v>
      </c>
      <c r="D65" s="86">
        <v>0.95804063427550989</v>
      </c>
      <c r="E65" s="86"/>
      <c r="F65" s="14"/>
      <c r="H65" s="155">
        <v>64</v>
      </c>
      <c r="I65" s="89" cm="1">
        <f t="array" ref="I65">INDEX(A$2:A7064,RANK($D65,$D$2:$D$7001),1)</f>
        <v>328</v>
      </c>
      <c r="J65" s="89" cm="1">
        <f t="array" ref="J65">INDEX(B$2:B7064,RANK($D65,$D$2:$D$7001),1)</f>
        <v>41.60931438888656</v>
      </c>
      <c r="K65" s="89" cm="1">
        <f t="array" ref="K65">INDEX(C$2:C7064,RANK($D65,$D$2:$D$7001),1)</f>
        <v>1</v>
      </c>
      <c r="L65" s="89"/>
    </row>
    <row r="66" spans="1:12" x14ac:dyDescent="0.25">
      <c r="A66" s="86">
        <v>65</v>
      </c>
      <c r="B66" s="87">
        <v>41.602157802451984</v>
      </c>
      <c r="C66" s="14">
        <v>1</v>
      </c>
      <c r="D66" s="86">
        <v>0.53479239173146642</v>
      </c>
      <c r="E66" s="86"/>
      <c r="F66" s="14"/>
      <c r="H66" s="155">
        <v>65</v>
      </c>
      <c r="I66" s="89" cm="1">
        <f t="array" ref="I66">INDEX(A$2:A7065,RANK($D66,$D$2:$D$7001),1)</f>
        <v>3270</v>
      </c>
      <c r="J66" s="89" cm="1">
        <f t="array" ref="J66">INDEX(B$2:B7065,RANK($D66,$D$2:$D$7001),1)</f>
        <v>42.73308604239719</v>
      </c>
      <c r="K66" s="89" cm="1">
        <f t="array" ref="K66">INDEX(C$2:C7065,RANK($D66,$D$2:$D$7001),1)</f>
        <v>2</v>
      </c>
      <c r="L66" s="89"/>
    </row>
    <row r="67" spans="1:12" x14ac:dyDescent="0.25">
      <c r="A67" s="86">
        <v>66</v>
      </c>
      <c r="B67" s="87">
        <v>46.832553829852259</v>
      </c>
      <c r="C67" s="14">
        <v>5</v>
      </c>
      <c r="D67" s="86">
        <v>0.57929206625321628</v>
      </c>
      <c r="E67" s="86"/>
      <c r="F67" s="14"/>
      <c r="H67" s="155">
        <v>66</v>
      </c>
      <c r="I67" s="89" cm="1">
        <f t="array" ref="I67">INDEX(A$2:A7066,RANK($D67,$D$2:$D$7001),1)</f>
        <v>2939</v>
      </c>
      <c r="J67" s="89" cm="1">
        <f t="array" ref="J67">INDEX(B$2:B7066,RANK($D67,$D$2:$D$7001),1)</f>
        <v>46.472405296633951</v>
      </c>
      <c r="K67" s="89" cm="1">
        <f t="array" ref="K67">INDEX(C$2:C7066,RANK($D67,$D$2:$D$7001),1)</f>
        <v>5</v>
      </c>
      <c r="L67" s="89"/>
    </row>
    <row r="68" spans="1:12" x14ac:dyDescent="0.25">
      <c r="A68" s="86">
        <v>67</v>
      </c>
      <c r="B68" s="87">
        <v>46.031402684428031</v>
      </c>
      <c r="C68" s="14">
        <v>2</v>
      </c>
      <c r="D68" s="86">
        <v>0.88322027180957186</v>
      </c>
      <c r="E68" s="86"/>
      <c r="F68" s="14"/>
      <c r="H68" s="155">
        <v>67</v>
      </c>
      <c r="I68" s="89" cm="1">
        <f t="array" ref="I68">INDEX(A$2:A7067,RANK($D68,$D$2:$D$7001),1)</f>
        <v>833</v>
      </c>
      <c r="J68" s="89" cm="1">
        <f t="array" ref="J68">INDEX(B$2:B7067,RANK($D68,$D$2:$D$7001),1)</f>
        <v>41.567523107340094</v>
      </c>
      <c r="K68" s="89" cm="1">
        <f t="array" ref="K68">INDEX(C$2:C7067,RANK($D68,$D$2:$D$7001),1)</f>
        <v>4</v>
      </c>
      <c r="L68" s="89"/>
    </row>
    <row r="69" spans="1:12" x14ac:dyDescent="0.25">
      <c r="A69" s="86">
        <v>68</v>
      </c>
      <c r="B69" s="87">
        <v>45.743962568274583</v>
      </c>
      <c r="C69" s="14">
        <v>4</v>
      </c>
      <c r="D69" s="86">
        <v>0.37645615841805347</v>
      </c>
      <c r="E69" s="86"/>
      <c r="F69" s="14"/>
      <c r="H69" s="155">
        <v>68</v>
      </c>
      <c r="I69" s="89" cm="1">
        <f t="array" ref="I69">INDEX(A$2:A7068,RANK($D69,$D$2:$D$7001),1)</f>
        <v>4326</v>
      </c>
      <c r="J69" s="89" cm="1">
        <f t="array" ref="J69">INDEX(B$2:B7068,RANK($D69,$D$2:$D$7001),1)</f>
        <v>39.989254213985987</v>
      </c>
      <c r="K69" s="89" cm="1">
        <f t="array" ref="K69">INDEX(C$2:C7068,RANK($D69,$D$2:$D$7001),1)</f>
        <v>2</v>
      </c>
      <c r="L69" s="89"/>
    </row>
    <row r="70" spans="1:12" x14ac:dyDescent="0.25">
      <c r="A70" s="86">
        <v>69</v>
      </c>
      <c r="B70" s="87">
        <v>39.771305177389877</v>
      </c>
      <c r="C70" s="14">
        <v>2</v>
      </c>
      <c r="D70" s="86">
        <v>8.8792789781725334E-3</v>
      </c>
      <c r="E70" s="86"/>
      <c r="F70" s="14"/>
      <c r="H70" s="155">
        <v>69</v>
      </c>
      <c r="I70" s="89" cm="1">
        <f t="array" ref="I70">INDEX(A$2:A7069,RANK($D70,$D$2:$D$7001),1)</f>
        <v>6934</v>
      </c>
      <c r="J70" s="89" cm="1">
        <f t="array" ref="J70">INDEX(B$2:B7069,RANK($D70,$D$2:$D$7001),1)</f>
        <v>38.031646449206164</v>
      </c>
      <c r="K70" s="89" cm="1">
        <f t="array" ref="K70">INDEX(C$2:C7069,RANK($D70,$D$2:$D$7001),1)</f>
        <v>5</v>
      </c>
      <c r="L70" s="89"/>
    </row>
    <row r="71" spans="1:12" x14ac:dyDescent="0.25">
      <c r="A71" s="86">
        <v>70</v>
      </c>
      <c r="B71" s="87">
        <v>45.464457793394104</v>
      </c>
      <c r="C71" s="14">
        <v>2</v>
      </c>
      <c r="D71" s="86">
        <v>0.16023211466719856</v>
      </c>
      <c r="E71" s="86"/>
      <c r="F71" s="14"/>
      <c r="H71" s="155">
        <v>70</v>
      </c>
      <c r="I71" s="89" cm="1">
        <f t="array" ref="I71">INDEX(A$2:A7070,RANK($D71,$D$2:$D$7001),1)</f>
        <v>5891</v>
      </c>
      <c r="J71" s="89" cm="1">
        <f t="array" ref="J71">INDEX(B$2:B7070,RANK($D71,$D$2:$D$7001),1)</f>
        <v>43.997812321656966</v>
      </c>
      <c r="K71" s="89" cm="1">
        <f t="array" ref="K71">INDEX(C$2:C7070,RANK($D71,$D$2:$D$7001),1)</f>
        <v>2</v>
      </c>
      <c r="L71" s="89"/>
    </row>
    <row r="72" spans="1:12" x14ac:dyDescent="0.25">
      <c r="A72" s="86">
        <v>71</v>
      </c>
      <c r="B72" s="87">
        <v>52.638370102038607</v>
      </c>
      <c r="C72" s="14">
        <v>4</v>
      </c>
      <c r="D72" s="86">
        <v>0.68892505669837467</v>
      </c>
      <c r="E72" s="86"/>
      <c r="F72" s="14"/>
      <c r="H72" s="155">
        <v>71</v>
      </c>
      <c r="I72" s="89" cm="1">
        <f t="array" ref="I72">INDEX(A$2:A7071,RANK($D72,$D$2:$D$7001),1)</f>
        <v>2174</v>
      </c>
      <c r="J72" s="89" cm="1">
        <f t="array" ref="J72">INDEX(B$2:B7071,RANK($D72,$D$2:$D$7001),1)</f>
        <v>36.517894836259075</v>
      </c>
      <c r="K72" s="89" cm="1">
        <f t="array" ref="K72">INDEX(C$2:C7071,RANK($D72,$D$2:$D$7001),1)</f>
        <v>1</v>
      </c>
      <c r="L72" s="89"/>
    </row>
    <row r="73" spans="1:12" x14ac:dyDescent="0.25">
      <c r="A73" s="86">
        <v>72</v>
      </c>
      <c r="B73" s="87">
        <v>42.265855876728892</v>
      </c>
      <c r="C73" s="14">
        <v>4</v>
      </c>
      <c r="D73" s="86">
        <v>0.67459162769949155</v>
      </c>
      <c r="E73" s="86"/>
      <c r="F73" s="14"/>
      <c r="H73" s="155">
        <v>72</v>
      </c>
      <c r="I73" s="89" cm="1">
        <f t="array" ref="I73">INDEX(A$2:A7072,RANK($D73,$D$2:$D$7001),1)</f>
        <v>2263</v>
      </c>
      <c r="J73" s="89" cm="1">
        <f t="array" ref="J73">INDEX(B$2:B7072,RANK($D73,$D$2:$D$7001),1)</f>
        <v>51.91495801624842</v>
      </c>
      <c r="K73" s="89" cm="1">
        <f t="array" ref="K73">INDEX(C$2:C7072,RANK($D73,$D$2:$D$7001),1)</f>
        <v>2</v>
      </c>
      <c r="L73" s="89"/>
    </row>
    <row r="74" spans="1:12" x14ac:dyDescent="0.25">
      <c r="A74" s="86">
        <v>73</v>
      </c>
      <c r="B74" s="87">
        <v>42.393992311524926</v>
      </c>
      <c r="C74" s="14">
        <v>2</v>
      </c>
      <c r="D74" s="86">
        <v>0.7122793643981189</v>
      </c>
      <c r="E74" s="86"/>
      <c r="F74" s="14"/>
      <c r="H74" s="155">
        <v>73</v>
      </c>
      <c r="I74" s="89" cm="1">
        <f t="array" ref="I74">INDEX(A$2:A7073,RANK($D74,$D$2:$D$7001),1)</f>
        <v>2029</v>
      </c>
      <c r="J74" s="89" cm="1">
        <f t="array" ref="J74">INDEX(B$2:B7073,RANK($D74,$D$2:$D$7001),1)</f>
        <v>38.926418705494143</v>
      </c>
      <c r="K74" s="89" cm="1">
        <f t="array" ref="K74">INDEX(C$2:C7073,RANK($D74,$D$2:$D$7001),1)</f>
        <v>2</v>
      </c>
      <c r="L74" s="89"/>
    </row>
    <row r="75" spans="1:12" x14ac:dyDescent="0.25">
      <c r="A75" s="86">
        <v>74</v>
      </c>
      <c r="B75" s="87">
        <v>43.481725237477804</v>
      </c>
      <c r="C75" s="14">
        <v>1</v>
      </c>
      <c r="D75" s="86">
        <v>0.8585286741244148</v>
      </c>
      <c r="E75" s="86"/>
      <c r="F75" s="14"/>
      <c r="H75" s="155">
        <v>74</v>
      </c>
      <c r="I75" s="89" cm="1">
        <f t="array" ref="I75">INDEX(A$2:A7074,RANK($D75,$D$2:$D$7001),1)</f>
        <v>1018</v>
      </c>
      <c r="J75" s="89" cm="1">
        <f t="array" ref="J75">INDEX(B$2:B7074,RANK($D75,$D$2:$D$7001),1)</f>
        <v>34.755930750514381</v>
      </c>
      <c r="K75" s="89" cm="1">
        <f t="array" ref="K75">INDEX(C$2:C7074,RANK($D75,$D$2:$D$7001),1)</f>
        <v>2</v>
      </c>
      <c r="L75" s="89"/>
    </row>
    <row r="76" spans="1:12" x14ac:dyDescent="0.25">
      <c r="A76" s="86">
        <v>75</v>
      </c>
      <c r="B76" s="87">
        <v>40.842866150676855</v>
      </c>
      <c r="C76" s="14">
        <v>2</v>
      </c>
      <c r="D76" s="86">
        <v>0.57561045696744528</v>
      </c>
      <c r="E76" s="86"/>
      <c r="F76" s="14"/>
      <c r="H76" s="155">
        <v>75</v>
      </c>
      <c r="I76" s="89" cm="1">
        <f t="array" ref="I76">INDEX(A$2:A7075,RANK($D76,$D$2:$D$7001),1)</f>
        <v>2959</v>
      </c>
      <c r="J76" s="89" cm="1">
        <f t="array" ref="J76">INDEX(B$2:B7075,RANK($D76,$D$2:$D$7001),1)</f>
        <v>46.585751073842403</v>
      </c>
      <c r="K76" s="89" cm="1">
        <f t="array" ref="K76">INDEX(C$2:C7075,RANK($D76,$D$2:$D$7001),1)</f>
        <v>5</v>
      </c>
      <c r="L76" s="89"/>
    </row>
    <row r="77" spans="1:12" x14ac:dyDescent="0.25">
      <c r="A77" s="86">
        <v>76</v>
      </c>
      <c r="B77" s="87">
        <v>35.546713656338397</v>
      </c>
      <c r="C77" s="14">
        <v>2</v>
      </c>
      <c r="D77" s="86">
        <v>0.87755352811673315</v>
      </c>
      <c r="E77" s="86"/>
      <c r="F77" s="14"/>
      <c r="H77" s="155">
        <v>76</v>
      </c>
      <c r="I77" s="89" cm="1">
        <f t="array" ref="I77">INDEX(A$2:A7076,RANK($D77,$D$2:$D$7001),1)</f>
        <v>869</v>
      </c>
      <c r="J77" s="89" cm="1">
        <f t="array" ref="J77">INDEX(B$2:B7076,RANK($D77,$D$2:$D$7001),1)</f>
        <v>40.771698190263123</v>
      </c>
      <c r="K77" s="89" cm="1">
        <f t="array" ref="K77">INDEX(C$2:C7076,RANK($D77,$D$2:$D$7001),1)</f>
        <v>1</v>
      </c>
      <c r="L77" s="89"/>
    </row>
    <row r="78" spans="1:12" x14ac:dyDescent="0.25">
      <c r="A78" s="86">
        <v>77</v>
      </c>
      <c r="B78" s="87">
        <v>37.982522366626654</v>
      </c>
      <c r="C78" s="14">
        <v>2</v>
      </c>
      <c r="D78" s="86">
        <v>0.34500961070499803</v>
      </c>
      <c r="E78" s="86"/>
      <c r="F78" s="14"/>
      <c r="H78" s="155">
        <v>77</v>
      </c>
      <c r="I78" s="89" cm="1">
        <f t="array" ref="I78">INDEX(A$2:A7077,RANK($D78,$D$2:$D$7001),1)</f>
        <v>4541</v>
      </c>
      <c r="J78" s="89" cm="1">
        <f t="array" ref="J78">INDEX(B$2:B7077,RANK($D78,$D$2:$D$7001),1)</f>
        <v>35.92256234184606</v>
      </c>
      <c r="K78" s="89" cm="1">
        <f t="array" ref="K78">INDEX(C$2:C7077,RANK($D78,$D$2:$D$7001),1)</f>
        <v>1</v>
      </c>
      <c r="L78" s="89"/>
    </row>
    <row r="79" spans="1:12" x14ac:dyDescent="0.25">
      <c r="A79" s="86">
        <v>78</v>
      </c>
      <c r="B79" s="87">
        <v>43.617183104623109</v>
      </c>
      <c r="C79" s="14">
        <v>3</v>
      </c>
      <c r="D79" s="86">
        <v>0.16965860255711174</v>
      </c>
      <c r="E79" s="86"/>
      <c r="F79" s="14"/>
      <c r="H79" s="155">
        <v>78</v>
      </c>
      <c r="I79" s="89" cm="1">
        <f t="array" ref="I79">INDEX(A$2:A7078,RANK($D79,$D$2:$D$7001),1)</f>
        <v>5831</v>
      </c>
      <c r="J79" s="89" cm="1">
        <f t="array" ref="J79">INDEX(B$2:B7078,RANK($D79,$D$2:$D$7001),1)</f>
        <v>47.65770426671952</v>
      </c>
      <c r="K79" s="89" cm="1">
        <f t="array" ref="K79">INDEX(C$2:C7078,RANK($D79,$D$2:$D$7001),1)</f>
        <v>5</v>
      </c>
      <c r="L79" s="89"/>
    </row>
    <row r="80" spans="1:12" x14ac:dyDescent="0.25">
      <c r="A80" s="86">
        <v>79</v>
      </c>
      <c r="B80" s="87">
        <v>39.784015365847154</v>
      </c>
      <c r="C80" s="14">
        <v>2</v>
      </c>
      <c r="D80" s="86">
        <v>0.84695217362019393</v>
      </c>
      <c r="E80" s="86"/>
      <c r="F80" s="14"/>
      <c r="H80" s="155">
        <v>79</v>
      </c>
      <c r="I80" s="89" cm="1">
        <f t="array" ref="I80">INDEX(A$2:A7079,RANK($D80,$D$2:$D$7001),1)</f>
        <v>1101</v>
      </c>
      <c r="J80" s="89" cm="1">
        <f t="array" ref="J80">INDEX(B$2:B7079,RANK($D80,$D$2:$D$7001),1)</f>
        <v>42.736917288828408</v>
      </c>
      <c r="K80" s="89" cm="1">
        <f t="array" ref="K80">INDEX(C$2:C7079,RANK($D80,$D$2:$D$7001),1)</f>
        <v>5</v>
      </c>
      <c r="L80" s="89"/>
    </row>
    <row r="81" spans="1:12" x14ac:dyDescent="0.25">
      <c r="A81" s="86">
        <v>80</v>
      </c>
      <c r="B81" s="87">
        <v>41.375130871863803</v>
      </c>
      <c r="C81" s="14">
        <v>5</v>
      </c>
      <c r="D81" s="86">
        <v>0.40524146577046827</v>
      </c>
      <c r="E81" s="86"/>
      <c r="F81" s="14"/>
      <c r="H81" s="155">
        <v>80</v>
      </c>
      <c r="I81" s="89" cm="1">
        <f t="array" ref="I81">INDEX(A$2:A7080,RANK($D81,$D$2:$D$7001),1)</f>
        <v>4157</v>
      </c>
      <c r="J81" s="89" cm="1">
        <f t="array" ref="J81">INDEX(B$2:B7080,RANK($D81,$D$2:$D$7001),1)</f>
        <v>36.300889400416054</v>
      </c>
      <c r="K81" s="89" cm="1">
        <f t="array" ref="K81">INDEX(C$2:C7080,RANK($D81,$D$2:$D$7001),1)</f>
        <v>1</v>
      </c>
      <c r="L81" s="89"/>
    </row>
    <row r="82" spans="1:12" x14ac:dyDescent="0.25">
      <c r="A82" s="86">
        <v>81</v>
      </c>
      <c r="B82" s="87">
        <v>36.570702372380765</v>
      </c>
      <c r="C82" s="14">
        <v>1</v>
      </c>
      <c r="D82" s="86">
        <v>0.7847326789078376</v>
      </c>
      <c r="E82" s="86"/>
      <c r="F82" s="14"/>
      <c r="H82" s="155">
        <v>81</v>
      </c>
      <c r="I82" s="89" cm="1">
        <f t="array" ref="I82">INDEX(A$2:A7081,RANK($D82,$D$2:$D$7001),1)</f>
        <v>1504</v>
      </c>
      <c r="J82" s="89" cm="1">
        <f t="array" ref="J82">INDEX(B$2:B7081,RANK($D82,$D$2:$D$7001),1)</f>
        <v>46.707521045726025</v>
      </c>
      <c r="K82" s="89" cm="1">
        <f t="array" ref="K82">INDEX(C$2:C7081,RANK($D82,$D$2:$D$7001),1)</f>
        <v>5</v>
      </c>
      <c r="L82" s="89"/>
    </row>
    <row r="83" spans="1:12" x14ac:dyDescent="0.25">
      <c r="A83" s="86">
        <v>82</v>
      </c>
      <c r="B83" s="87">
        <v>47.681965037889313</v>
      </c>
      <c r="C83" s="14">
        <v>2</v>
      </c>
      <c r="D83" s="86">
        <v>1.7658843449171346E-2</v>
      </c>
      <c r="E83" s="86"/>
      <c r="F83" s="14"/>
      <c r="H83" s="155">
        <v>82</v>
      </c>
      <c r="I83" s="89" cm="1">
        <f t="array" ref="I83">INDEX(A$2:A7082,RANK($D83,$D$2:$D$7001),1)</f>
        <v>6865</v>
      </c>
      <c r="J83" s="89" cm="1">
        <f t="array" ref="J83">INDEX(B$2:B7082,RANK($D83,$D$2:$D$7001),1)</f>
        <v>39.961241777171381</v>
      </c>
      <c r="K83" s="89" cm="1">
        <f t="array" ref="K83">INDEX(C$2:C7082,RANK($D83,$D$2:$D$7001),1)</f>
        <v>1</v>
      </c>
      <c r="L83" s="89"/>
    </row>
    <row r="84" spans="1:12" x14ac:dyDescent="0.25">
      <c r="A84" s="86">
        <v>83</v>
      </c>
      <c r="B84" s="87">
        <v>37.389122548454907</v>
      </c>
      <c r="C84" s="14">
        <v>1</v>
      </c>
      <c r="D84" s="86">
        <v>4.8118252333018141E-2</v>
      </c>
      <c r="E84" s="86"/>
      <c r="F84" s="14"/>
      <c r="H84" s="155">
        <v>83</v>
      </c>
      <c r="I84" s="89" cm="1">
        <f t="array" ref="I84">INDEX(A$2:A7083,RANK($D84,$D$2:$D$7001),1)</f>
        <v>6674</v>
      </c>
      <c r="J84" s="89" cm="1">
        <f t="array" ref="J84">INDEX(B$2:B7083,RANK($D84,$D$2:$D$7001),1)</f>
        <v>40.671125129272696</v>
      </c>
      <c r="K84" s="89" cm="1">
        <f t="array" ref="K84">INDEX(C$2:C7083,RANK($D84,$D$2:$D$7001),1)</f>
        <v>4</v>
      </c>
      <c r="L84" s="89"/>
    </row>
    <row r="85" spans="1:12" x14ac:dyDescent="0.25">
      <c r="A85" s="86">
        <v>84</v>
      </c>
      <c r="B85" s="87">
        <v>44.9858362065861</v>
      </c>
      <c r="C85" s="14">
        <v>5</v>
      </c>
      <c r="D85" s="86">
        <v>0.74268617057808184</v>
      </c>
      <c r="E85" s="86"/>
      <c r="F85" s="14"/>
      <c r="H85" s="155">
        <v>84</v>
      </c>
      <c r="I85" s="89" cm="1">
        <f t="array" ref="I85">INDEX(A$2:A7084,RANK($D85,$D$2:$D$7001),1)</f>
        <v>1814</v>
      </c>
      <c r="J85" s="89" cm="1">
        <f t="array" ref="J85">INDEX(B$2:B7084,RANK($D85,$D$2:$D$7001),1)</f>
        <v>43.353907125827391</v>
      </c>
      <c r="K85" s="89" cm="1">
        <f t="array" ref="K85">INDEX(C$2:C7084,RANK($D85,$D$2:$D$7001),1)</f>
        <v>5</v>
      </c>
      <c r="L85" s="89"/>
    </row>
    <row r="86" spans="1:12" x14ac:dyDescent="0.25">
      <c r="A86" s="86">
        <v>85</v>
      </c>
      <c r="B86" s="87">
        <v>44.11633084998175</v>
      </c>
      <c r="C86" s="14">
        <v>5</v>
      </c>
      <c r="D86" s="86">
        <v>0.19415584501730143</v>
      </c>
      <c r="E86" s="86"/>
      <c r="F86" s="14"/>
      <c r="H86" s="155">
        <v>85</v>
      </c>
      <c r="I86" s="89" cm="1">
        <f t="array" ref="I86">INDEX(A$2:A7085,RANK($D86,$D$2:$D$7001),1)</f>
        <v>5640</v>
      </c>
      <c r="J86" s="89" cm="1">
        <f t="array" ref="J86">INDEX(B$2:B7085,RANK($D86,$D$2:$D$7001),1)</f>
        <v>42.668710870537325</v>
      </c>
      <c r="K86" s="89" cm="1">
        <f t="array" ref="K86">INDEX(C$2:C7085,RANK($D86,$D$2:$D$7001),1)</f>
        <v>5</v>
      </c>
      <c r="L86" s="89"/>
    </row>
    <row r="87" spans="1:12" x14ac:dyDescent="0.25">
      <c r="A87" s="86">
        <v>86</v>
      </c>
      <c r="B87" s="87">
        <v>40.411691765591968</v>
      </c>
      <c r="C87" s="14">
        <v>5</v>
      </c>
      <c r="D87" s="86">
        <v>0.54509111859527137</v>
      </c>
      <c r="E87" s="86"/>
      <c r="F87" s="14"/>
      <c r="H87" s="155">
        <v>86</v>
      </c>
      <c r="I87" s="89" cm="1">
        <f t="array" ref="I87">INDEX(A$2:A7086,RANK($D87,$D$2:$D$7001),1)</f>
        <v>3187</v>
      </c>
      <c r="J87" s="89" cm="1">
        <f t="array" ref="J87">INDEX(B$2:B7086,RANK($D87,$D$2:$D$7001),1)</f>
        <v>54.601423466345295</v>
      </c>
      <c r="K87" s="89" cm="1">
        <f t="array" ref="K87">INDEX(C$2:C7086,RANK($D87,$D$2:$D$7001),1)</f>
        <v>2</v>
      </c>
      <c r="L87" s="89"/>
    </row>
    <row r="88" spans="1:12" x14ac:dyDescent="0.25">
      <c r="A88" s="86">
        <v>87</v>
      </c>
      <c r="B88" s="87">
        <v>33.297101248870604</v>
      </c>
      <c r="C88" s="14">
        <v>4</v>
      </c>
      <c r="D88" s="86">
        <v>0.22384737506406782</v>
      </c>
      <c r="E88" s="86"/>
      <c r="F88" s="14"/>
      <c r="H88" s="155">
        <v>87</v>
      </c>
      <c r="I88" s="89" cm="1">
        <f t="array" ref="I88">INDEX(A$2:A7087,RANK($D88,$D$2:$D$7001),1)</f>
        <v>5413</v>
      </c>
      <c r="J88" s="89" cm="1">
        <f t="array" ref="J88">INDEX(B$2:B7087,RANK($D88,$D$2:$D$7001),1)</f>
        <v>41.516034338535974</v>
      </c>
      <c r="K88" s="89" cm="1">
        <f t="array" ref="K88">INDEX(C$2:C7087,RANK($D88,$D$2:$D$7001),1)</f>
        <v>2</v>
      </c>
      <c r="L88" s="89"/>
    </row>
    <row r="89" spans="1:12" x14ac:dyDescent="0.25">
      <c r="A89" s="86">
        <v>88</v>
      </c>
      <c r="B89" s="87">
        <v>43.204113348445389</v>
      </c>
      <c r="C89" s="14">
        <v>2</v>
      </c>
      <c r="D89" s="86">
        <v>0.12265154863604322</v>
      </c>
      <c r="E89" s="86"/>
      <c r="F89" s="14"/>
      <c r="H89" s="155">
        <v>88</v>
      </c>
      <c r="I89" s="89" cm="1">
        <f t="array" ref="I89">INDEX(A$2:A7088,RANK($D89,$D$2:$D$7001),1)</f>
        <v>6167</v>
      </c>
      <c r="J89" s="89" cm="1">
        <f t="array" ref="J89">INDEX(B$2:B7088,RANK($D89,$D$2:$D$7001),1)</f>
        <v>41.421833424799843</v>
      </c>
      <c r="K89" s="89" cm="1">
        <f t="array" ref="K89">INDEX(C$2:C7088,RANK($D89,$D$2:$D$7001),1)</f>
        <v>1</v>
      </c>
      <c r="L89" s="89"/>
    </row>
    <row r="90" spans="1:12" x14ac:dyDescent="0.25">
      <c r="A90" s="86">
        <v>89</v>
      </c>
      <c r="B90" s="87">
        <v>46.920888502761954</v>
      </c>
      <c r="C90" s="14">
        <v>5</v>
      </c>
      <c r="D90" s="86">
        <v>0.65735828079962055</v>
      </c>
      <c r="E90" s="86"/>
      <c r="F90" s="14"/>
      <c r="H90" s="155">
        <v>89</v>
      </c>
      <c r="I90" s="89" cm="1">
        <f t="array" ref="I90">INDEX(A$2:A7089,RANK($D90,$D$2:$D$7001),1)</f>
        <v>2385</v>
      </c>
      <c r="J90" s="89" cm="1">
        <f t="array" ref="J90">INDEX(B$2:B7089,RANK($D90,$D$2:$D$7001),1)</f>
        <v>39.850533534598071</v>
      </c>
      <c r="K90" s="89" cm="1">
        <f t="array" ref="K90">INDEX(C$2:C7089,RANK($D90,$D$2:$D$7001),1)</f>
        <v>5</v>
      </c>
      <c r="L90" s="89"/>
    </row>
    <row r="91" spans="1:12" x14ac:dyDescent="0.25">
      <c r="A91" s="86">
        <v>90</v>
      </c>
      <c r="B91" s="87">
        <v>36.660594554967247</v>
      </c>
      <c r="C91" s="14">
        <v>5</v>
      </c>
      <c r="D91" s="86">
        <v>0.98456272472526363</v>
      </c>
      <c r="E91" s="86"/>
      <c r="F91" s="14"/>
      <c r="H91" s="155">
        <v>90</v>
      </c>
      <c r="I91" s="89" cm="1">
        <f t="array" ref="I91">INDEX(A$2:A7090,RANK($D91,$D$2:$D$7001),1)</f>
        <v>131</v>
      </c>
      <c r="J91" s="89" cm="1">
        <f t="array" ref="J91">INDEX(B$2:B7090,RANK($D91,$D$2:$D$7001),1)</f>
        <v>36.230790096276905</v>
      </c>
      <c r="K91" s="89" cm="1">
        <f t="array" ref="K91">INDEX(C$2:C7090,RANK($D91,$D$2:$D$7001),1)</f>
        <v>4</v>
      </c>
      <c r="L91" s="89"/>
    </row>
    <row r="92" spans="1:12" x14ac:dyDescent="0.25">
      <c r="A92" s="86">
        <v>91</v>
      </c>
      <c r="B92" s="87">
        <v>40.136524143570568</v>
      </c>
      <c r="C92" s="14">
        <v>2</v>
      </c>
      <c r="D92" s="86">
        <v>9.5401271316153613E-2</v>
      </c>
      <c r="E92" s="86"/>
      <c r="F92" s="14"/>
      <c r="H92" s="155">
        <v>91</v>
      </c>
      <c r="I92" s="89" cm="1">
        <f t="array" ref="I92">INDEX(A$2:A7091,RANK($D92,$D$2:$D$7001),1)</f>
        <v>6339</v>
      </c>
      <c r="J92" s="89" cm="1">
        <f t="array" ref="J92">INDEX(B$2:B7091,RANK($D92,$D$2:$D$7001),1)</f>
        <v>40.650644445457147</v>
      </c>
      <c r="K92" s="89" cm="1">
        <f t="array" ref="K92">INDEX(C$2:C7091,RANK($D92,$D$2:$D$7001),1)</f>
        <v>2</v>
      </c>
      <c r="L92" s="89"/>
    </row>
    <row r="93" spans="1:12" x14ac:dyDescent="0.25">
      <c r="A93" s="86">
        <v>92</v>
      </c>
      <c r="B93" s="87">
        <v>40.781412730546435</v>
      </c>
      <c r="C93" s="14">
        <v>2</v>
      </c>
      <c r="D93" s="86">
        <v>0.56268753137065752</v>
      </c>
      <c r="E93" s="86"/>
      <c r="F93" s="14"/>
      <c r="H93" s="155">
        <v>92</v>
      </c>
      <c r="I93" s="89" cm="1">
        <f t="array" ref="I93">INDEX(A$2:A7092,RANK($D93,$D$2:$D$7001),1)</f>
        <v>3049</v>
      </c>
      <c r="J93" s="89" cm="1">
        <f t="array" ref="J93">INDEX(B$2:B7092,RANK($D93,$D$2:$D$7001),1)</f>
        <v>46.445194352025283</v>
      </c>
      <c r="K93" s="89" cm="1">
        <f t="array" ref="K93">INDEX(C$2:C7092,RANK($D93,$D$2:$D$7001),1)</f>
        <v>1</v>
      </c>
      <c r="L93" s="89"/>
    </row>
    <row r="94" spans="1:12" x14ac:dyDescent="0.25">
      <c r="A94" s="86">
        <v>93</v>
      </c>
      <c r="B94" s="87">
        <v>50.167091098381206</v>
      </c>
      <c r="C94" s="14">
        <v>4</v>
      </c>
      <c r="D94" s="86">
        <v>3.6319590951905401E-3</v>
      </c>
      <c r="E94" s="86"/>
      <c r="F94" s="14"/>
      <c r="H94" s="155">
        <v>93</v>
      </c>
      <c r="I94" s="89" cm="1">
        <f t="array" ref="I94">INDEX(A$2:A7093,RANK($D94,$D$2:$D$7001),1)</f>
        <v>6968</v>
      </c>
      <c r="J94" s="89" cm="1">
        <f t="array" ref="J94">INDEX(B$2:B7093,RANK($D94,$D$2:$D$7001),1)</f>
        <v>50.176731742219999</v>
      </c>
      <c r="K94" s="89" cm="1">
        <f t="array" ref="K94">INDEX(C$2:C7093,RANK($D94,$D$2:$D$7001),1)</f>
        <v>2</v>
      </c>
      <c r="L94" s="89"/>
    </row>
    <row r="95" spans="1:12" x14ac:dyDescent="0.25">
      <c r="A95" s="86">
        <v>94</v>
      </c>
      <c r="B95" s="87">
        <v>51.61459739098791</v>
      </c>
      <c r="C95" s="14">
        <v>4</v>
      </c>
      <c r="D95" s="86">
        <v>0.11658967627523076</v>
      </c>
      <c r="E95" s="86"/>
      <c r="F95" s="14"/>
      <c r="H95" s="155">
        <v>94</v>
      </c>
      <c r="I95" s="89" cm="1">
        <f t="array" ref="I95">INDEX(A$2:A7094,RANK($D95,$D$2:$D$7001),1)</f>
        <v>6197</v>
      </c>
      <c r="J95" s="89" cm="1">
        <f t="array" ref="J95">INDEX(B$2:B7094,RANK($D95,$D$2:$D$7001),1)</f>
        <v>38.475809555500746</v>
      </c>
      <c r="K95" s="89" cm="1">
        <f t="array" ref="K95">INDEX(C$2:C7094,RANK($D95,$D$2:$D$7001),1)</f>
        <v>4</v>
      </c>
      <c r="L95" s="89"/>
    </row>
    <row r="96" spans="1:12" x14ac:dyDescent="0.25">
      <c r="A96" s="86">
        <v>95</v>
      </c>
      <c r="B96" s="87">
        <v>48.360220711736474</v>
      </c>
      <c r="C96" s="14">
        <v>5</v>
      </c>
      <c r="D96" s="86">
        <v>0.99143080296844366</v>
      </c>
      <c r="E96" s="86"/>
      <c r="F96" s="14"/>
      <c r="H96" s="155">
        <v>95</v>
      </c>
      <c r="I96" s="89" cm="1">
        <f t="array" ref="I96">INDEX(A$2:A7095,RANK($D96,$D$2:$D$7001),1)</f>
        <v>69</v>
      </c>
      <c r="J96" s="89" cm="1">
        <f t="array" ref="J96">INDEX(B$2:B7095,RANK($D96,$D$2:$D$7001),1)</f>
        <v>39.771305177389877</v>
      </c>
      <c r="K96" s="89" cm="1">
        <f t="array" ref="K96">INDEX(C$2:C7095,RANK($D96,$D$2:$D$7001),1)</f>
        <v>2</v>
      </c>
      <c r="L96" s="89"/>
    </row>
    <row r="97" spans="1:12" x14ac:dyDescent="0.25">
      <c r="A97" s="86">
        <v>96</v>
      </c>
      <c r="B97" s="87">
        <v>39.974565874552354</v>
      </c>
      <c r="C97" s="14">
        <v>1</v>
      </c>
      <c r="D97" s="86">
        <v>0.82240940548650299</v>
      </c>
      <c r="E97" s="86"/>
      <c r="F97" s="14"/>
      <c r="H97" s="155">
        <v>96</v>
      </c>
      <c r="I97" s="89" cm="1">
        <f t="array" ref="I97">INDEX(A$2:A7096,RANK($D97,$D$2:$D$7001),1)</f>
        <v>1266</v>
      </c>
      <c r="J97" s="89" cm="1">
        <f t="array" ref="J97">INDEX(B$2:B7096,RANK($D97,$D$2:$D$7001),1)</f>
        <v>40.908173554606037</v>
      </c>
      <c r="K97" s="89" cm="1">
        <f t="array" ref="K97">INDEX(C$2:C7096,RANK($D97,$D$2:$D$7001),1)</f>
        <v>2</v>
      </c>
      <c r="L97" s="89"/>
    </row>
    <row r="98" spans="1:12" x14ac:dyDescent="0.25">
      <c r="A98" s="86">
        <v>97</v>
      </c>
      <c r="B98" s="87">
        <v>47.663615982281044</v>
      </c>
      <c r="C98" s="14">
        <v>4</v>
      </c>
      <c r="D98" s="86">
        <v>0.13737631741783884</v>
      </c>
      <c r="E98" s="86"/>
      <c r="F98" s="14"/>
      <c r="H98" s="155">
        <v>97</v>
      </c>
      <c r="I98" s="89" cm="1">
        <f t="array" ref="I98">INDEX(A$2:A7097,RANK($D98,$D$2:$D$7001),1)</f>
        <v>6039</v>
      </c>
      <c r="J98" s="89" cm="1">
        <f t="array" ref="J98">INDEX(B$2:B7097,RANK($D98,$D$2:$D$7001),1)</f>
        <v>44.620838929738966</v>
      </c>
      <c r="K98" s="89" cm="1">
        <f t="array" ref="K98">INDEX(C$2:C7097,RANK($D98,$D$2:$D$7001),1)</f>
        <v>5</v>
      </c>
      <c r="L98" s="89"/>
    </row>
    <row r="99" spans="1:12" x14ac:dyDescent="0.25">
      <c r="A99" s="86">
        <v>98</v>
      </c>
      <c r="B99" s="87">
        <v>48.200558916840237</v>
      </c>
      <c r="C99" s="14">
        <v>4</v>
      </c>
      <c r="D99" s="86">
        <v>0.91517507427147871</v>
      </c>
      <c r="E99" s="86"/>
      <c r="F99" s="14"/>
      <c r="H99" s="155">
        <v>98</v>
      </c>
      <c r="I99" s="89" cm="1">
        <f t="array" ref="I99">INDEX(A$2:A7098,RANK($D99,$D$2:$D$7001),1)</f>
        <v>619</v>
      </c>
      <c r="J99" s="89" cm="1">
        <f t="array" ref="J99">INDEX(B$2:B7098,RANK($D99,$D$2:$D$7001),1)</f>
        <v>47.708715550805209</v>
      </c>
      <c r="K99" s="89" cm="1">
        <f t="array" ref="K99">INDEX(C$2:C7098,RANK($D99,$D$2:$D$7001),1)</f>
        <v>1</v>
      </c>
      <c r="L99" s="89"/>
    </row>
    <row r="100" spans="1:12" x14ac:dyDescent="0.25">
      <c r="A100" s="86">
        <v>99</v>
      </c>
      <c r="B100" s="87">
        <v>32.903608366148546</v>
      </c>
      <c r="C100" s="14">
        <v>2</v>
      </c>
      <c r="D100" s="86">
        <v>0.88949925058884471</v>
      </c>
      <c r="E100" s="86"/>
      <c r="F100" s="14"/>
      <c r="H100" s="155">
        <v>99</v>
      </c>
      <c r="I100" s="89" cm="1">
        <f t="array" ref="I100">INDEX(A$2:A7099,RANK($D100,$D$2:$D$7001),1)</f>
        <v>787</v>
      </c>
      <c r="J100" s="89" cm="1">
        <f t="array" ref="J100">INDEX(B$2:B7099,RANK($D100,$D$2:$D$7001),1)</f>
        <v>35.030643625184894</v>
      </c>
      <c r="K100" s="89" cm="1">
        <f t="array" ref="K100">INDEX(C$2:C7099,RANK($D100,$D$2:$D$7001),1)</f>
        <v>4</v>
      </c>
      <c r="L100" s="89"/>
    </row>
    <row r="101" spans="1:12" x14ac:dyDescent="0.25">
      <c r="A101" s="86">
        <v>100</v>
      </c>
      <c r="B101" s="87">
        <v>41.342434537335066</v>
      </c>
      <c r="C101" s="14">
        <v>5</v>
      </c>
      <c r="D101" s="86">
        <v>0.61987628436185671</v>
      </c>
      <c r="E101" s="86"/>
      <c r="F101" s="14"/>
      <c r="H101" s="155">
        <v>100</v>
      </c>
      <c r="I101" s="89" cm="1">
        <f t="array" ref="I101">INDEX(A$2:A7100,RANK($D101,$D$2:$D$7001),1)</f>
        <v>2654</v>
      </c>
      <c r="J101" s="89" cm="1">
        <f t="array" ref="J101">INDEX(B$2:B7100,RANK($D101,$D$2:$D$7001),1)</f>
        <v>42.241873638311517</v>
      </c>
      <c r="K101" s="89" cm="1">
        <f t="array" ref="K101">INDEX(C$2:C7100,RANK($D101,$D$2:$D$7001),1)</f>
        <v>2</v>
      </c>
      <c r="L101" s="89"/>
    </row>
    <row r="102" spans="1:12" x14ac:dyDescent="0.25">
      <c r="A102" s="86">
        <v>101</v>
      </c>
      <c r="B102" s="87">
        <v>41.853451188551844</v>
      </c>
      <c r="C102" s="14">
        <v>2</v>
      </c>
      <c r="D102" s="86">
        <v>0.53109238029300632</v>
      </c>
      <c r="E102" s="86"/>
      <c r="F102" s="14"/>
      <c r="H102" s="155">
        <v>101</v>
      </c>
      <c r="I102" s="89" cm="1">
        <f t="array" ref="I102">INDEX(A$2:A7101,RANK($D102,$D$2:$D$7001),1)</f>
        <v>3302</v>
      </c>
      <c r="J102" s="89" cm="1">
        <f t="array" ref="J102">INDEX(B$2:B7101,RANK($D102,$D$2:$D$7001),1)</f>
        <v>60.817365005612373</v>
      </c>
      <c r="K102" s="89" cm="1">
        <f t="array" ref="K102">INDEX(C$2:C7101,RANK($D102,$D$2:$D$7001),1)</f>
        <v>1</v>
      </c>
      <c r="L102" s="89"/>
    </row>
    <row r="103" spans="1:12" x14ac:dyDescent="0.25">
      <c r="A103" s="86">
        <v>102</v>
      </c>
      <c r="B103" s="87">
        <v>43.454838300356641</v>
      </c>
      <c r="C103" s="14">
        <v>2</v>
      </c>
      <c r="D103" s="86">
        <v>0.42865487428701243</v>
      </c>
      <c r="E103" s="86"/>
      <c r="F103" s="14"/>
      <c r="H103" s="155">
        <v>102</v>
      </c>
      <c r="I103" s="89" cm="1">
        <f t="array" ref="I103">INDEX(A$2:A7102,RANK($D103,$D$2:$D$7001),1)</f>
        <v>4008</v>
      </c>
      <c r="J103" s="89" cm="1">
        <f t="array" ref="J103">INDEX(B$2:B7102,RANK($D103,$D$2:$D$7001),1)</f>
        <v>45.429965206829365</v>
      </c>
      <c r="K103" s="89" cm="1">
        <f t="array" ref="K103">INDEX(C$2:C7102,RANK($D103,$D$2:$D$7001),1)</f>
        <v>4</v>
      </c>
      <c r="L103" s="89"/>
    </row>
    <row r="104" spans="1:12" x14ac:dyDescent="0.25">
      <c r="A104" s="86">
        <v>103</v>
      </c>
      <c r="B104" s="87">
        <v>42.108877091202885</v>
      </c>
      <c r="C104" s="14">
        <v>4</v>
      </c>
      <c r="D104" s="86">
        <v>3.4049291907299439E-2</v>
      </c>
      <c r="E104" s="86"/>
      <c r="F104" s="14"/>
      <c r="H104" s="155">
        <v>103</v>
      </c>
      <c r="I104" s="89" cm="1">
        <f t="array" ref="I104">INDEX(A$2:A7103,RANK($D104,$D$2:$D$7001),1)</f>
        <v>6762</v>
      </c>
      <c r="J104" s="89" cm="1">
        <f t="array" ref="J104">INDEX(B$2:B7103,RANK($D104,$D$2:$D$7001),1)</f>
        <v>37.454685747768963</v>
      </c>
      <c r="K104" s="89" cm="1">
        <f t="array" ref="K104">INDEX(C$2:C7103,RANK($D104,$D$2:$D$7001),1)</f>
        <v>2</v>
      </c>
      <c r="L104" s="89"/>
    </row>
    <row r="105" spans="1:12" x14ac:dyDescent="0.25">
      <c r="A105" s="86">
        <v>104</v>
      </c>
      <c r="B105" s="87">
        <v>41.818867652516929</v>
      </c>
      <c r="C105" s="14">
        <v>2</v>
      </c>
      <c r="D105" s="86">
        <v>0.19206632894585185</v>
      </c>
      <c r="E105" s="86"/>
      <c r="F105" s="14"/>
      <c r="H105" s="155">
        <v>104</v>
      </c>
      <c r="I105" s="89" cm="1">
        <f t="array" ref="I105">INDEX(A$2:A7104,RANK($D105,$D$2:$D$7001),1)</f>
        <v>5661</v>
      </c>
      <c r="J105" s="89" cm="1">
        <f t="array" ref="J105">INDEX(B$2:B7104,RANK($D105,$D$2:$D$7001),1)</f>
        <v>50.570338311779778</v>
      </c>
      <c r="K105" s="89" cm="1">
        <f t="array" ref="K105">INDEX(C$2:C7104,RANK($D105,$D$2:$D$7001),1)</f>
        <v>4</v>
      </c>
      <c r="L105" s="89"/>
    </row>
    <row r="106" spans="1:12" x14ac:dyDescent="0.25">
      <c r="A106" s="86">
        <v>105</v>
      </c>
      <c r="B106" s="87">
        <v>43.895784069143701</v>
      </c>
      <c r="C106" s="14">
        <v>4</v>
      </c>
      <c r="D106" s="86">
        <v>0.41171898981422594</v>
      </c>
      <c r="E106" s="86"/>
      <c r="F106" s="14"/>
      <c r="H106" s="155">
        <v>105</v>
      </c>
      <c r="I106" s="89" cm="1">
        <f t="array" ref="I106">INDEX(A$2:A7105,RANK($D106,$D$2:$D$7001),1)</f>
        <v>4115</v>
      </c>
      <c r="J106" s="89" cm="1">
        <f t="array" ref="J106">INDEX(B$2:B7105,RANK($D106,$D$2:$D$7001),1)</f>
        <v>40.244469795987243</v>
      </c>
      <c r="K106" s="89" cm="1">
        <f t="array" ref="K106">INDEX(C$2:C7105,RANK($D106,$D$2:$D$7001),1)</f>
        <v>5</v>
      </c>
      <c r="L106" s="89"/>
    </row>
    <row r="107" spans="1:12" x14ac:dyDescent="0.25">
      <c r="A107" s="86">
        <v>106</v>
      </c>
      <c r="B107" s="87">
        <v>36.310257195844315</v>
      </c>
      <c r="C107" s="14">
        <v>2</v>
      </c>
      <c r="D107" s="86">
        <v>0.12680297558641807</v>
      </c>
      <c r="E107" s="86"/>
      <c r="F107" s="14"/>
      <c r="H107" s="155">
        <v>106</v>
      </c>
      <c r="I107" s="89" cm="1">
        <f t="array" ref="I107">INDEX(A$2:A7106,RANK($D107,$D$2:$D$7001),1)</f>
        <v>6132</v>
      </c>
      <c r="J107" s="89" cm="1">
        <f t="array" ref="J107">INDEX(B$2:B7106,RANK($D107,$D$2:$D$7001),1)</f>
        <v>38.245798345422372</v>
      </c>
      <c r="K107" s="89" cm="1">
        <f t="array" ref="K107">INDEX(C$2:C7106,RANK($D107,$D$2:$D$7001),1)</f>
        <v>4</v>
      </c>
      <c r="L107" s="89"/>
    </row>
    <row r="108" spans="1:12" x14ac:dyDescent="0.25">
      <c r="A108" s="86">
        <v>107</v>
      </c>
      <c r="B108" s="87">
        <v>36.212577464873902</v>
      </c>
      <c r="C108" s="14">
        <v>4</v>
      </c>
      <c r="D108" s="86">
        <v>0.90862676880985527</v>
      </c>
      <c r="E108" s="86"/>
      <c r="F108" s="14"/>
      <c r="H108" s="155">
        <v>107</v>
      </c>
      <c r="I108" s="89" cm="1">
        <f t="array" ref="I108">INDEX(A$2:A7107,RANK($D108,$D$2:$D$7001),1)</f>
        <v>665</v>
      </c>
      <c r="J108" s="89" cm="1">
        <f t="array" ref="J108">INDEX(B$2:B7107,RANK($D108,$D$2:$D$7001),1)</f>
        <v>43.089698914962355</v>
      </c>
      <c r="K108" s="89" cm="1">
        <f t="array" ref="K108">INDEX(C$2:C7107,RANK($D108,$D$2:$D$7001),1)</f>
        <v>2</v>
      </c>
      <c r="L108" s="89"/>
    </row>
    <row r="109" spans="1:12" x14ac:dyDescent="0.25">
      <c r="A109" s="86">
        <v>108</v>
      </c>
      <c r="B109" s="87">
        <v>37.861445884453133</v>
      </c>
      <c r="C109" s="14">
        <v>1</v>
      </c>
      <c r="D109" s="86">
        <v>6.391439031320667E-2</v>
      </c>
      <c r="E109" s="86"/>
      <c r="F109" s="14"/>
      <c r="H109" s="155">
        <v>108</v>
      </c>
      <c r="I109" s="89" cm="1">
        <f t="array" ref="I109">INDEX(A$2:A7108,RANK($D109,$D$2:$D$7001),1)</f>
        <v>6552</v>
      </c>
      <c r="J109" s="89" cm="1">
        <f t="array" ref="J109">INDEX(B$2:B7108,RANK($D109,$D$2:$D$7001),1)</f>
        <v>41.647047050326364</v>
      </c>
      <c r="K109" s="89" cm="1">
        <f t="array" ref="K109">INDEX(C$2:C7108,RANK($D109,$D$2:$D$7001),1)</f>
        <v>4</v>
      </c>
      <c r="L109" s="89"/>
    </row>
    <row r="110" spans="1:12" x14ac:dyDescent="0.25">
      <c r="A110" s="86">
        <v>109</v>
      </c>
      <c r="B110" s="87">
        <v>37.399161096225725</v>
      </c>
      <c r="C110" s="14">
        <v>2</v>
      </c>
      <c r="D110" s="86">
        <v>8.1271121366769505E-2</v>
      </c>
      <c r="E110" s="86"/>
      <c r="F110" s="14"/>
      <c r="H110" s="155">
        <v>109</v>
      </c>
      <c r="I110" s="89" cm="1">
        <f t="array" ref="I110">INDEX(A$2:A7109,RANK($D110,$D$2:$D$7001),1)</f>
        <v>6426</v>
      </c>
      <c r="J110" s="89" cm="1">
        <f t="array" ref="J110">INDEX(B$2:B7109,RANK($D110,$D$2:$D$7001),1)</f>
        <v>46.525173042362439</v>
      </c>
      <c r="K110" s="89" cm="1">
        <f t="array" ref="K110">INDEX(C$2:C7109,RANK($D110,$D$2:$D$7001),1)</f>
        <v>4</v>
      </c>
      <c r="L110" s="89"/>
    </row>
    <row r="111" spans="1:12" x14ac:dyDescent="0.25">
      <c r="A111" s="86">
        <v>110</v>
      </c>
      <c r="B111" s="87">
        <v>37.92459892280749</v>
      </c>
      <c r="C111" s="14">
        <v>2</v>
      </c>
      <c r="D111" s="86">
        <v>0.44487703766119835</v>
      </c>
      <c r="E111" s="86"/>
      <c r="F111" s="14"/>
      <c r="H111" s="155">
        <v>110</v>
      </c>
      <c r="I111" s="89" cm="1">
        <f t="array" ref="I111">INDEX(A$2:A7110,RANK($D111,$D$2:$D$7001),1)</f>
        <v>3901</v>
      </c>
      <c r="J111" s="89" cm="1">
        <f t="array" ref="J111">INDEX(B$2:B7110,RANK($D111,$D$2:$D$7001),1)</f>
        <v>45.355761807848467</v>
      </c>
      <c r="K111" s="89" cm="1">
        <f t="array" ref="K111">INDEX(C$2:C7110,RANK($D111,$D$2:$D$7001),1)</f>
        <v>5</v>
      </c>
      <c r="L111" s="89"/>
    </row>
    <row r="112" spans="1:12" x14ac:dyDescent="0.25">
      <c r="A112" s="86">
        <v>111</v>
      </c>
      <c r="B112" s="87">
        <v>39.68078203285404</v>
      </c>
      <c r="C112" s="14">
        <v>4</v>
      </c>
      <c r="D112" s="86">
        <v>0.4110395879071963</v>
      </c>
      <c r="E112" s="86"/>
      <c r="F112" s="14"/>
      <c r="H112" s="155">
        <v>111</v>
      </c>
      <c r="I112" s="89" cm="1">
        <f t="array" ref="I112">INDEX(A$2:A7111,RANK($D112,$D$2:$D$7001),1)</f>
        <v>4123</v>
      </c>
      <c r="J112" s="89" cm="1">
        <f t="array" ref="J112">INDEX(B$2:B7111,RANK($D112,$D$2:$D$7001),1)</f>
        <v>40.44704837212339</v>
      </c>
      <c r="K112" s="89" cm="1">
        <f t="array" ref="K112">INDEX(C$2:C7111,RANK($D112,$D$2:$D$7001),1)</f>
        <v>1</v>
      </c>
      <c r="L112" s="89"/>
    </row>
    <row r="113" spans="1:12" x14ac:dyDescent="0.25">
      <c r="A113" s="86">
        <v>112</v>
      </c>
      <c r="B113" s="87">
        <v>46.986247065768111</v>
      </c>
      <c r="C113" s="14">
        <v>4</v>
      </c>
      <c r="D113" s="86">
        <v>0.45137060783645677</v>
      </c>
      <c r="E113" s="86"/>
      <c r="F113" s="14"/>
      <c r="H113" s="155">
        <v>112</v>
      </c>
      <c r="I113" s="89" cm="1">
        <f t="array" ref="I113">INDEX(A$2:A7112,RANK($D113,$D$2:$D$7001),1)</f>
        <v>3854</v>
      </c>
      <c r="J113" s="89" cm="1">
        <f t="array" ref="J113">INDEX(B$2:B7112,RANK($D113,$D$2:$D$7001),1)</f>
        <v>39.727837014987017</v>
      </c>
      <c r="K113" s="89" cm="1">
        <f t="array" ref="K113">INDEX(C$2:C7112,RANK($D113,$D$2:$D$7001),1)</f>
        <v>3</v>
      </c>
      <c r="L113" s="89"/>
    </row>
    <row r="114" spans="1:12" x14ac:dyDescent="0.25">
      <c r="A114" s="86">
        <v>113</v>
      </c>
      <c r="B114" s="87">
        <v>38.541077169036726</v>
      </c>
      <c r="C114" s="14">
        <v>4</v>
      </c>
      <c r="D114" s="86">
        <v>0.26777541657643489</v>
      </c>
      <c r="E114" s="86"/>
      <c r="F114" s="14"/>
      <c r="H114" s="155">
        <v>113</v>
      </c>
      <c r="I114" s="89" cm="1">
        <f t="array" ref="I114">INDEX(A$2:A7113,RANK($D114,$D$2:$D$7001),1)</f>
        <v>5101</v>
      </c>
      <c r="J114" s="89" cm="1">
        <f t="array" ref="J114">INDEX(B$2:B7113,RANK($D114,$D$2:$D$7001),1)</f>
        <v>38.872883573611034</v>
      </c>
      <c r="K114" s="89" cm="1">
        <f t="array" ref="K114">INDEX(C$2:C7113,RANK($D114,$D$2:$D$7001),1)</f>
        <v>5</v>
      </c>
      <c r="L114" s="89"/>
    </row>
    <row r="115" spans="1:12" x14ac:dyDescent="0.25">
      <c r="A115" s="86">
        <v>114</v>
      </c>
      <c r="B115" s="87">
        <v>33.093056112527847</v>
      </c>
      <c r="C115" s="14">
        <v>4</v>
      </c>
      <c r="D115" s="86">
        <v>0.86917522509060752</v>
      </c>
      <c r="E115" s="86"/>
      <c r="F115" s="14"/>
      <c r="H115" s="155">
        <v>114</v>
      </c>
      <c r="I115" s="89" cm="1">
        <f t="array" ref="I115">INDEX(A$2:A7114,RANK($D115,$D$2:$D$7001),1)</f>
        <v>929</v>
      </c>
      <c r="J115" s="89" cm="1">
        <f t="array" ref="J115">INDEX(B$2:B7114,RANK($D115,$D$2:$D$7001),1)</f>
        <v>39.545585645435494</v>
      </c>
      <c r="K115" s="89" cm="1">
        <f t="array" ref="K115">INDEX(C$2:C7114,RANK($D115,$D$2:$D$7001),1)</f>
        <v>2</v>
      </c>
      <c r="L115" s="89"/>
    </row>
    <row r="116" spans="1:12" x14ac:dyDescent="0.25">
      <c r="A116" s="86">
        <v>115</v>
      </c>
      <c r="B116" s="87">
        <v>47.181129042990506</v>
      </c>
      <c r="C116" s="14">
        <v>2</v>
      </c>
      <c r="D116" s="86">
        <v>0.59249145363880296</v>
      </c>
      <c r="E116" s="86"/>
      <c r="F116" s="14"/>
      <c r="H116" s="155">
        <v>115</v>
      </c>
      <c r="I116" s="89" cm="1">
        <f t="array" ref="I116">INDEX(A$2:A7115,RANK($D116,$D$2:$D$7001),1)</f>
        <v>2841</v>
      </c>
      <c r="J116" s="89" cm="1">
        <f t="array" ref="J116">INDEX(B$2:B7115,RANK($D116,$D$2:$D$7001),1)</f>
        <v>40.571757148762117</v>
      </c>
      <c r="K116" s="89" cm="1">
        <f t="array" ref="K116">INDEX(C$2:C7115,RANK($D116,$D$2:$D$7001),1)</f>
        <v>4</v>
      </c>
      <c r="L116" s="89"/>
    </row>
    <row r="117" spans="1:12" x14ac:dyDescent="0.25">
      <c r="A117" s="86">
        <v>116</v>
      </c>
      <c r="B117" s="87">
        <v>50.870107765484136</v>
      </c>
      <c r="C117" s="14">
        <v>3</v>
      </c>
      <c r="D117" s="86">
        <v>0.8661577526756209</v>
      </c>
      <c r="E117" s="86"/>
      <c r="F117" s="14"/>
      <c r="H117" s="155">
        <v>116</v>
      </c>
      <c r="I117" s="89" cm="1">
        <f t="array" ref="I117">INDEX(A$2:A7116,RANK($D117,$D$2:$D$7001),1)</f>
        <v>952</v>
      </c>
      <c r="J117" s="89" cm="1">
        <f t="array" ref="J117">INDEX(B$2:B7116,RANK($D117,$D$2:$D$7001),1)</f>
        <v>43.338957306666998</v>
      </c>
      <c r="K117" s="89" cm="1">
        <f t="array" ref="K117">INDEX(C$2:C7116,RANK($D117,$D$2:$D$7001),1)</f>
        <v>2</v>
      </c>
      <c r="L117" s="89"/>
    </row>
    <row r="118" spans="1:12" x14ac:dyDescent="0.25">
      <c r="A118" s="86">
        <v>117</v>
      </c>
      <c r="B118" s="87">
        <v>44.510761649115011</v>
      </c>
      <c r="C118" s="14">
        <v>2</v>
      </c>
      <c r="D118" s="86">
        <v>0.65713991961436757</v>
      </c>
      <c r="E118" s="86"/>
      <c r="F118" s="14"/>
      <c r="H118" s="155">
        <v>117</v>
      </c>
      <c r="I118" s="89" cm="1">
        <f t="array" ref="I118">INDEX(A$2:A7117,RANK($D118,$D$2:$D$7001),1)</f>
        <v>2387</v>
      </c>
      <c r="J118" s="89" cm="1">
        <f t="array" ref="J118">INDEX(B$2:B7117,RANK($D118,$D$2:$D$7001),1)</f>
        <v>46.869593001581961</v>
      </c>
      <c r="K118" s="89" cm="1">
        <f t="array" ref="K118">INDEX(C$2:C7117,RANK($D118,$D$2:$D$7001),1)</f>
        <v>2</v>
      </c>
      <c r="L118" s="89"/>
    </row>
    <row r="119" spans="1:12" x14ac:dyDescent="0.25">
      <c r="A119" s="86">
        <v>118</v>
      </c>
      <c r="B119" s="87">
        <v>39.343149177846499</v>
      </c>
      <c r="C119" s="14">
        <v>5</v>
      </c>
      <c r="D119" s="86">
        <v>0.45899410412853914</v>
      </c>
      <c r="E119" s="86"/>
      <c r="F119" s="14"/>
      <c r="H119" s="155">
        <v>118</v>
      </c>
      <c r="I119" s="89" cm="1">
        <f t="array" ref="I119">INDEX(A$2:A7118,RANK($D119,$D$2:$D$7001),1)</f>
        <v>3797</v>
      </c>
      <c r="J119" s="89" cm="1">
        <f t="array" ref="J119">INDEX(B$2:B7118,RANK($D119,$D$2:$D$7001),1)</f>
        <v>51.981351129477844</v>
      </c>
      <c r="K119" s="89" cm="1">
        <f t="array" ref="K119">INDEX(C$2:C7118,RANK($D119,$D$2:$D$7001),1)</f>
        <v>5</v>
      </c>
      <c r="L119" s="89"/>
    </row>
    <row r="120" spans="1:12" x14ac:dyDescent="0.25">
      <c r="A120" s="86">
        <v>119</v>
      </c>
      <c r="B120" s="87">
        <v>35.372613633051515</v>
      </c>
      <c r="C120" s="14">
        <v>2</v>
      </c>
      <c r="D120" s="86">
        <v>0.45518064537974368</v>
      </c>
      <c r="E120" s="86"/>
      <c r="F120" s="14"/>
      <c r="H120" s="155">
        <v>119</v>
      </c>
      <c r="I120" s="89" cm="1">
        <f t="array" ref="I120">INDEX(A$2:A7119,RANK($D120,$D$2:$D$7001),1)</f>
        <v>3832</v>
      </c>
      <c r="J120" s="89" cm="1">
        <f t="array" ref="J120">INDEX(B$2:B7119,RANK($D120,$D$2:$D$7001),1)</f>
        <v>47.512116902333219</v>
      </c>
      <c r="K120" s="89" cm="1">
        <f t="array" ref="K120">INDEX(C$2:C7119,RANK($D120,$D$2:$D$7001),1)</f>
        <v>2</v>
      </c>
      <c r="L120" s="89"/>
    </row>
    <row r="121" spans="1:12" x14ac:dyDescent="0.25">
      <c r="A121" s="86">
        <v>120</v>
      </c>
      <c r="B121" s="87">
        <v>39.634869603440166</v>
      </c>
      <c r="C121" s="14">
        <v>2</v>
      </c>
      <c r="D121" s="86">
        <v>0.99050899234204304</v>
      </c>
      <c r="E121" s="86"/>
      <c r="F121" s="14"/>
      <c r="H121" s="155">
        <v>120</v>
      </c>
      <c r="I121" s="89" cm="1">
        <f t="array" ref="I121">INDEX(A$2:A7120,RANK($D121,$D$2:$D$7001),1)</f>
        <v>75</v>
      </c>
      <c r="J121" s="89" cm="1">
        <f t="array" ref="J121">INDEX(B$2:B7120,RANK($D121,$D$2:$D$7001),1)</f>
        <v>40.842866150676855</v>
      </c>
      <c r="K121" s="89" cm="1">
        <f t="array" ref="K121">INDEX(C$2:C7120,RANK($D121,$D$2:$D$7001),1)</f>
        <v>2</v>
      </c>
      <c r="L121" s="89"/>
    </row>
    <row r="122" spans="1:12" x14ac:dyDescent="0.25">
      <c r="A122" s="86">
        <v>121</v>
      </c>
      <c r="B122" s="87">
        <v>35.10735950327944</v>
      </c>
      <c r="C122" s="14">
        <v>5</v>
      </c>
      <c r="D122" s="86">
        <v>0.48816664869319859</v>
      </c>
      <c r="E122" s="86"/>
      <c r="F122" s="14"/>
      <c r="H122" s="155">
        <v>121</v>
      </c>
      <c r="I122" s="89" cm="1">
        <f t="array" ref="I122">INDEX(A$2:A7121,RANK($D122,$D$2:$D$7001),1)</f>
        <v>3596</v>
      </c>
      <c r="J122" s="89" cm="1">
        <f t="array" ref="J122">INDEX(B$2:B7121,RANK($D122,$D$2:$D$7001),1)</f>
        <v>39.971814653079491</v>
      </c>
      <c r="K122" s="89" cm="1">
        <f t="array" ref="K122">INDEX(C$2:C7121,RANK($D122,$D$2:$D$7001),1)</f>
        <v>2</v>
      </c>
      <c r="L122" s="89"/>
    </row>
    <row r="123" spans="1:12" x14ac:dyDescent="0.25">
      <c r="A123" s="86">
        <v>122</v>
      </c>
      <c r="B123" s="87">
        <v>47.308924417273374</v>
      </c>
      <c r="C123" s="14">
        <v>1</v>
      </c>
      <c r="D123" s="86">
        <v>0.44628681075325261</v>
      </c>
      <c r="E123" s="86"/>
      <c r="F123" s="14"/>
      <c r="H123" s="155">
        <v>122</v>
      </c>
      <c r="I123" s="89" cm="1">
        <f t="array" ref="I123">INDEX(A$2:A7122,RANK($D123,$D$2:$D$7001),1)</f>
        <v>3888</v>
      </c>
      <c r="J123" s="89" cm="1">
        <f t="array" ref="J123">INDEX(B$2:B7122,RANK($D123,$D$2:$D$7001),1)</f>
        <v>46.581305918487487</v>
      </c>
      <c r="K123" s="89" cm="1">
        <f t="array" ref="K123">INDEX(C$2:C7122,RANK($D123,$D$2:$D$7001),1)</f>
        <v>4</v>
      </c>
      <c r="L123" s="89"/>
    </row>
    <row r="124" spans="1:12" x14ac:dyDescent="0.25">
      <c r="A124" s="86">
        <v>123</v>
      </c>
      <c r="B124" s="87">
        <v>46.242371349188033</v>
      </c>
      <c r="C124" s="14">
        <v>4</v>
      </c>
      <c r="D124" s="86">
        <v>0.38064706263619241</v>
      </c>
      <c r="E124" s="86"/>
      <c r="F124" s="14"/>
      <c r="H124" s="155">
        <v>123</v>
      </c>
      <c r="I124" s="89" cm="1">
        <f t="array" ref="I124">INDEX(A$2:A7123,RANK($D124,$D$2:$D$7001),1)</f>
        <v>4296</v>
      </c>
      <c r="J124" s="89" cm="1">
        <f t="array" ref="J124">INDEX(B$2:B7123,RANK($D124,$D$2:$D$7001),1)</f>
        <v>44.507561364633148</v>
      </c>
      <c r="K124" s="89" cm="1">
        <f t="array" ref="K124">INDEX(C$2:C7123,RANK($D124,$D$2:$D$7001),1)</f>
        <v>5</v>
      </c>
      <c r="L124" s="89"/>
    </row>
    <row r="125" spans="1:12" x14ac:dyDescent="0.25">
      <c r="A125" s="86">
        <v>124</v>
      </c>
      <c r="B125" s="87">
        <v>47.750597781821853</v>
      </c>
      <c r="C125" s="14">
        <v>5</v>
      </c>
      <c r="D125" s="86">
        <v>0.25612476279326146</v>
      </c>
      <c r="E125" s="86"/>
      <c r="F125" s="14"/>
      <c r="H125" s="155">
        <v>124</v>
      </c>
      <c r="I125" s="89" cm="1">
        <f t="array" ref="I125">INDEX(A$2:A7124,RANK($D125,$D$2:$D$7001),1)</f>
        <v>5176</v>
      </c>
      <c r="J125" s="89" cm="1">
        <f t="array" ref="J125">INDEX(B$2:B7124,RANK($D125,$D$2:$D$7001),1)</f>
        <v>40.618988345493563</v>
      </c>
      <c r="K125" s="89" cm="1">
        <f t="array" ref="K125">INDEX(C$2:C7124,RANK($D125,$D$2:$D$7001),1)</f>
        <v>2</v>
      </c>
      <c r="L125" s="89"/>
    </row>
    <row r="126" spans="1:12" x14ac:dyDescent="0.25">
      <c r="A126" s="86">
        <v>125</v>
      </c>
      <c r="B126" s="87">
        <v>35.375069268746302</v>
      </c>
      <c r="C126" s="14">
        <v>2</v>
      </c>
      <c r="D126" s="86">
        <v>0.22763296205072248</v>
      </c>
      <c r="E126" s="86"/>
      <c r="F126" s="14"/>
      <c r="H126" s="155">
        <v>125</v>
      </c>
      <c r="I126" s="89" cm="1">
        <f t="array" ref="I126">INDEX(A$2:A7125,RANK($D126,$D$2:$D$7001),1)</f>
        <v>5387</v>
      </c>
      <c r="J126" s="89" cm="1">
        <f t="array" ref="J126">INDEX(B$2:B7125,RANK($D126,$D$2:$D$7001),1)</f>
        <v>39.742985786113422</v>
      </c>
      <c r="K126" s="89" cm="1">
        <f t="array" ref="K126">INDEX(C$2:C7125,RANK($D126,$D$2:$D$7001),1)</f>
        <v>1</v>
      </c>
      <c r="L126" s="89"/>
    </row>
    <row r="127" spans="1:12" x14ac:dyDescent="0.25">
      <c r="A127" s="86">
        <v>126</v>
      </c>
      <c r="B127" s="87">
        <v>47.582682322507026</v>
      </c>
      <c r="C127" s="14">
        <v>5</v>
      </c>
      <c r="D127" s="86">
        <v>0.94430021687521093</v>
      </c>
      <c r="E127" s="86"/>
      <c r="F127" s="14"/>
      <c r="H127" s="155">
        <v>126</v>
      </c>
      <c r="I127" s="89" cm="1">
        <f t="array" ref="I127">INDEX(A$2:A7126,RANK($D127,$D$2:$D$7001),1)</f>
        <v>404</v>
      </c>
      <c r="J127" s="89" cm="1">
        <f t="array" ref="J127">INDEX(B$2:B7126,RANK($D127,$D$2:$D$7001),1)</f>
        <v>43.064449068304384</v>
      </c>
      <c r="K127" s="89" cm="1">
        <f t="array" ref="K127">INDEX(C$2:C7126,RANK($D127,$D$2:$D$7001),1)</f>
        <v>4</v>
      </c>
      <c r="L127" s="89"/>
    </row>
    <row r="128" spans="1:12" x14ac:dyDescent="0.25">
      <c r="A128" s="86">
        <v>127</v>
      </c>
      <c r="B128" s="87">
        <v>47.505795914155897</v>
      </c>
      <c r="C128" s="14">
        <v>5</v>
      </c>
      <c r="D128" s="86">
        <v>0.93941084811545505</v>
      </c>
      <c r="E128" s="86"/>
      <c r="F128" s="14"/>
      <c r="H128" s="155">
        <v>127</v>
      </c>
      <c r="I128" s="89" cm="1">
        <f t="array" ref="I128">INDEX(A$2:A7127,RANK($D128,$D$2:$D$7001),1)</f>
        <v>437</v>
      </c>
      <c r="J128" s="89" cm="1">
        <f t="array" ref="J128">INDEX(B$2:B7127,RANK($D128,$D$2:$D$7001),1)</f>
        <v>45.427384515613085</v>
      </c>
      <c r="K128" s="89" cm="1">
        <f t="array" ref="K128">INDEX(C$2:C7127,RANK($D128,$D$2:$D$7001),1)</f>
        <v>4</v>
      </c>
      <c r="L128" s="89"/>
    </row>
    <row r="129" spans="1:12" x14ac:dyDescent="0.25">
      <c r="A129" s="86">
        <v>128</v>
      </c>
      <c r="B129" s="87">
        <v>44.099476776289521</v>
      </c>
      <c r="C129" s="14">
        <v>1</v>
      </c>
      <c r="D129" s="86">
        <v>0.50403972450040724</v>
      </c>
      <c r="E129" s="86"/>
      <c r="F129" s="14"/>
      <c r="H129" s="155">
        <v>128</v>
      </c>
      <c r="I129" s="89" cm="1">
        <f t="array" ref="I129">INDEX(A$2:A7128,RANK($D129,$D$2:$D$7001),1)</f>
        <v>3484</v>
      </c>
      <c r="J129" s="89" cm="1">
        <f t="array" ref="J129">INDEX(B$2:B7128,RANK($D129,$D$2:$D$7001),1)</f>
        <v>45.758201844699215</v>
      </c>
      <c r="K129" s="89" cm="1">
        <f t="array" ref="K129">INDEX(C$2:C7128,RANK($D129,$D$2:$D$7001),1)</f>
        <v>4</v>
      </c>
      <c r="L129" s="89"/>
    </row>
    <row r="130" spans="1:12" x14ac:dyDescent="0.25">
      <c r="A130" s="86">
        <v>129</v>
      </c>
      <c r="B130" s="87">
        <v>47.782532414537854</v>
      </c>
      <c r="C130" s="14">
        <v>3</v>
      </c>
      <c r="D130" s="86">
        <v>0.24205649781399641</v>
      </c>
      <c r="E130" s="86"/>
      <c r="F130" s="14"/>
      <c r="H130" s="155">
        <v>129</v>
      </c>
      <c r="I130" s="89" cm="1">
        <f t="array" ref="I130">INDEX(A$2:A7129,RANK($D130,$D$2:$D$7001),1)</f>
        <v>5283</v>
      </c>
      <c r="J130" s="89" cm="1">
        <f t="array" ref="J130">INDEX(B$2:B7129,RANK($D130,$D$2:$D$7001),1)</f>
        <v>50.287781045306474</v>
      </c>
      <c r="K130" s="89" cm="1">
        <f t="array" ref="K130">INDEX(C$2:C7129,RANK($D130,$D$2:$D$7001),1)</f>
        <v>2</v>
      </c>
      <c r="L130" s="89"/>
    </row>
    <row r="131" spans="1:12" x14ac:dyDescent="0.25">
      <c r="A131" s="86">
        <v>130</v>
      </c>
      <c r="B131" s="87">
        <v>42.212843704299303</v>
      </c>
      <c r="C131" s="14">
        <v>4</v>
      </c>
      <c r="D131" s="86">
        <v>0.91785080714551193</v>
      </c>
      <c r="E131" s="86"/>
      <c r="F131" s="14"/>
      <c r="H131" s="155">
        <v>130</v>
      </c>
      <c r="I131" s="89" cm="1">
        <f t="array" ref="I131">INDEX(A$2:A7130,RANK($D131,$D$2:$D$7001),1)</f>
        <v>596</v>
      </c>
      <c r="J131" s="89" cm="1">
        <f t="array" ref="J131">INDEX(B$2:B7130,RANK($D131,$D$2:$D$7001),1)</f>
        <v>38.156065324408701</v>
      </c>
      <c r="K131" s="89" cm="1">
        <f t="array" ref="K131">INDEX(C$2:C7130,RANK($D131,$D$2:$D$7001),1)</f>
        <v>2</v>
      </c>
      <c r="L131" s="89"/>
    </row>
    <row r="132" spans="1:12" x14ac:dyDescent="0.25">
      <c r="A132" s="86">
        <v>131</v>
      </c>
      <c r="B132" s="87">
        <v>36.230790096276905</v>
      </c>
      <c r="C132" s="14">
        <v>4</v>
      </c>
      <c r="D132" s="86">
        <v>7.087698313417734E-2</v>
      </c>
      <c r="E132" s="86"/>
      <c r="F132" s="14"/>
      <c r="H132" s="155">
        <v>131</v>
      </c>
      <c r="I132" s="89" cm="1">
        <f t="array" ref="I132">INDEX(A$2:A7131,RANK($D132,$D$2:$D$7001),1)</f>
        <v>6500</v>
      </c>
      <c r="J132" s="89" cm="1">
        <f t="array" ref="J132">INDEX(B$2:B7131,RANK($D132,$D$2:$D$7001),1)</f>
        <v>38.684970599540975</v>
      </c>
      <c r="K132" s="89" cm="1">
        <f t="array" ref="K132">INDEX(C$2:C7131,RANK($D132,$D$2:$D$7001),1)</f>
        <v>2</v>
      </c>
      <c r="L132" s="89"/>
    </row>
    <row r="133" spans="1:12" x14ac:dyDescent="0.25">
      <c r="A133" s="86">
        <v>132</v>
      </c>
      <c r="B133" s="87">
        <v>46.723141617228976</v>
      </c>
      <c r="C133" s="14">
        <v>3</v>
      </c>
      <c r="D133" s="86">
        <v>9.6786377513190747E-2</v>
      </c>
      <c r="E133" s="86"/>
      <c r="F133" s="14"/>
      <c r="H133" s="155">
        <v>132</v>
      </c>
      <c r="I133" s="89" cm="1">
        <f t="array" ref="I133">INDEX(A$2:A7132,RANK($D133,$D$2:$D$7001),1)</f>
        <v>6330</v>
      </c>
      <c r="J133" s="89" cm="1">
        <f t="array" ref="J133">INDEX(B$2:B7132,RANK($D133,$D$2:$D$7001),1)</f>
        <v>46.110847046627896</v>
      </c>
      <c r="K133" s="89" cm="1">
        <f t="array" ref="K133">INDEX(C$2:C7132,RANK($D133,$D$2:$D$7001),1)</f>
        <v>5</v>
      </c>
      <c r="L133" s="89"/>
    </row>
    <row r="134" spans="1:12" x14ac:dyDescent="0.25">
      <c r="A134" s="86">
        <v>133</v>
      </c>
      <c r="B134" s="87">
        <v>38.223504356545163</v>
      </c>
      <c r="C134" s="14">
        <v>5</v>
      </c>
      <c r="D134" s="86">
        <v>0.2203712423424925</v>
      </c>
      <c r="E134" s="86"/>
      <c r="F134" s="14"/>
      <c r="H134" s="155">
        <v>133</v>
      </c>
      <c r="I134" s="89" cm="1">
        <f t="array" ref="I134">INDEX(A$2:A7133,RANK($D134,$D$2:$D$7001),1)</f>
        <v>5440</v>
      </c>
      <c r="J134" s="89" cm="1">
        <f t="array" ref="J134">INDEX(B$2:B7133,RANK($D134,$D$2:$D$7001),1)</f>
        <v>32.912430464755744</v>
      </c>
      <c r="K134" s="89" cm="1">
        <f t="array" ref="K134">INDEX(C$2:C7133,RANK($D134,$D$2:$D$7001),1)</f>
        <v>4</v>
      </c>
      <c r="L134" s="89"/>
    </row>
    <row r="135" spans="1:12" x14ac:dyDescent="0.25">
      <c r="A135" s="86">
        <v>134</v>
      </c>
      <c r="B135" s="87">
        <v>35.320772435050458</v>
      </c>
      <c r="C135" s="14">
        <v>2</v>
      </c>
      <c r="D135" s="86">
        <v>0.66698624409842833</v>
      </c>
      <c r="E135" s="86"/>
      <c r="F135" s="14"/>
      <c r="H135" s="155">
        <v>134</v>
      </c>
      <c r="I135" s="89" cm="1">
        <f t="array" ref="I135">INDEX(A$2:A7134,RANK($D135,$D$2:$D$7001),1)</f>
        <v>2326</v>
      </c>
      <c r="J135" s="89" cm="1">
        <f t="array" ref="J135">INDEX(B$2:B7134,RANK($D135,$D$2:$D$7001),1)</f>
        <v>40.152730202287785</v>
      </c>
      <c r="K135" s="89" cm="1">
        <f t="array" ref="K135">INDEX(C$2:C7134,RANK($D135,$D$2:$D$7001),1)</f>
        <v>3</v>
      </c>
      <c r="L135" s="89"/>
    </row>
    <row r="136" spans="1:12" x14ac:dyDescent="0.25">
      <c r="A136" s="86">
        <v>135</v>
      </c>
      <c r="B136" s="87">
        <v>40.660461303894408</v>
      </c>
      <c r="C136" s="14">
        <v>4</v>
      </c>
      <c r="D136" s="86">
        <v>0.93956321719087665</v>
      </c>
      <c r="E136" s="86"/>
      <c r="F136" s="14"/>
      <c r="H136" s="155">
        <v>135</v>
      </c>
      <c r="I136" s="89" cm="1">
        <f t="array" ref="I136">INDEX(A$2:A7135,RANK($D136,$D$2:$D$7001),1)</f>
        <v>435</v>
      </c>
      <c r="J136" s="89" cm="1">
        <f t="array" ref="J136">INDEX(B$2:B7135,RANK($D136,$D$2:$D$7001),1)</f>
        <v>40.005284058104735</v>
      </c>
      <c r="K136" s="89" cm="1">
        <f t="array" ref="K136">INDEX(C$2:C7135,RANK($D136,$D$2:$D$7001),1)</f>
        <v>1</v>
      </c>
      <c r="L136" s="89"/>
    </row>
    <row r="137" spans="1:12" x14ac:dyDescent="0.25">
      <c r="A137" s="86">
        <v>136</v>
      </c>
      <c r="B137" s="87">
        <v>45.013183575400035</v>
      </c>
      <c r="C137" s="14">
        <v>4</v>
      </c>
      <c r="D137" s="86">
        <v>0.104168364159405</v>
      </c>
      <c r="E137" s="86"/>
      <c r="F137" s="14"/>
      <c r="H137" s="155">
        <v>136</v>
      </c>
      <c r="I137" s="89" cm="1">
        <f t="array" ref="I137">INDEX(A$2:A7136,RANK($D137,$D$2:$D$7001),1)</f>
        <v>6282</v>
      </c>
      <c r="J137" s="89" cm="1">
        <f t="array" ref="J137">INDEX(B$2:B7136,RANK($D137,$D$2:$D$7001),1)</f>
        <v>37.81583472515922</v>
      </c>
      <c r="K137" s="89" cm="1">
        <f t="array" ref="K137">INDEX(C$2:C7136,RANK($D137,$D$2:$D$7001),1)</f>
        <v>1</v>
      </c>
      <c r="L137" s="89"/>
    </row>
    <row r="138" spans="1:12" x14ac:dyDescent="0.25">
      <c r="A138" s="86">
        <v>137</v>
      </c>
      <c r="B138" s="87">
        <v>35.712218954693526</v>
      </c>
      <c r="C138" s="14">
        <v>2</v>
      </c>
      <c r="D138" s="86">
        <v>0.44335208733904607</v>
      </c>
      <c r="E138" s="86"/>
      <c r="F138" s="14"/>
      <c r="H138" s="155">
        <v>137</v>
      </c>
      <c r="I138" s="89" cm="1">
        <f t="array" ref="I138">INDEX(A$2:A7137,RANK($D138,$D$2:$D$7001),1)</f>
        <v>3913</v>
      </c>
      <c r="J138" s="89" cm="1">
        <f t="array" ref="J138">INDEX(B$2:B7137,RANK($D138,$D$2:$D$7001),1)</f>
        <v>42.824592578079319</v>
      </c>
      <c r="K138" s="89" cm="1">
        <f t="array" ref="K138">INDEX(C$2:C7137,RANK($D138,$D$2:$D$7001),1)</f>
        <v>5</v>
      </c>
      <c r="L138" s="89"/>
    </row>
    <row r="139" spans="1:12" x14ac:dyDescent="0.25">
      <c r="A139" s="86">
        <v>138</v>
      </c>
      <c r="B139" s="87">
        <v>46.985724106314592</v>
      </c>
      <c r="C139" s="14">
        <v>1</v>
      </c>
      <c r="D139" s="86">
        <v>0.86302243382766597</v>
      </c>
      <c r="E139" s="86"/>
      <c r="F139" s="14"/>
      <c r="H139" s="155">
        <v>138</v>
      </c>
      <c r="I139" s="89" cm="1">
        <f t="array" ref="I139">INDEX(A$2:A7138,RANK($D139,$D$2:$D$7001),1)</f>
        <v>984</v>
      </c>
      <c r="J139" s="89" cm="1">
        <f t="array" ref="J139">INDEX(B$2:B7138,RANK($D139,$D$2:$D$7001),1)</f>
        <v>44.487558165536029</v>
      </c>
      <c r="K139" s="89" cm="1">
        <f t="array" ref="K139">INDEX(C$2:C7138,RANK($D139,$D$2:$D$7001),1)</f>
        <v>4</v>
      </c>
      <c r="L139" s="89"/>
    </row>
    <row r="140" spans="1:12" x14ac:dyDescent="0.25">
      <c r="A140" s="86">
        <v>139</v>
      </c>
      <c r="B140" s="87">
        <v>43.429872670792975</v>
      </c>
      <c r="C140" s="14">
        <v>4</v>
      </c>
      <c r="D140" s="86">
        <v>0.41009152811078675</v>
      </c>
      <c r="E140" s="86"/>
      <c r="F140" s="14"/>
      <c r="H140" s="155">
        <v>139</v>
      </c>
      <c r="I140" s="89" cm="1">
        <f t="array" ref="I140">INDEX(A$2:A7139,RANK($D140,$D$2:$D$7001),1)</f>
        <v>4129</v>
      </c>
      <c r="J140" s="89" cm="1">
        <f t="array" ref="J140">INDEX(B$2:B7139,RANK($D140,$D$2:$D$7001),1)</f>
        <v>34.060553838906344</v>
      </c>
      <c r="K140" s="89" cm="1">
        <f t="array" ref="K140">INDEX(C$2:C7139,RANK($D140,$D$2:$D$7001),1)</f>
        <v>5</v>
      </c>
      <c r="L140" s="89"/>
    </row>
    <row r="141" spans="1:12" x14ac:dyDescent="0.25">
      <c r="A141" s="86">
        <v>140</v>
      </c>
      <c r="B141" s="87">
        <v>46.811544502241304</v>
      </c>
      <c r="C141" s="14">
        <v>5</v>
      </c>
      <c r="D141" s="86">
        <v>3.8258451982645103E-2</v>
      </c>
      <c r="E141" s="86"/>
      <c r="F141" s="14"/>
      <c r="H141" s="155">
        <v>140</v>
      </c>
      <c r="I141" s="89" cm="1">
        <f t="array" ref="I141">INDEX(A$2:A7140,RANK($D141,$D$2:$D$7001),1)</f>
        <v>6739</v>
      </c>
      <c r="J141" s="89" cm="1">
        <f t="array" ref="J141">INDEX(B$2:B7140,RANK($D141,$D$2:$D$7001),1)</f>
        <v>33.264177540666424</v>
      </c>
      <c r="K141" s="89" cm="1">
        <f t="array" ref="K141">INDEX(C$2:C7140,RANK($D141,$D$2:$D$7001),1)</f>
        <v>2</v>
      </c>
      <c r="L141" s="89"/>
    </row>
    <row r="142" spans="1:12" x14ac:dyDescent="0.25">
      <c r="A142" s="86">
        <v>141</v>
      </c>
      <c r="B142" s="87">
        <v>44.58580633069505</v>
      </c>
      <c r="C142" s="14">
        <v>4</v>
      </c>
      <c r="D142" s="86">
        <v>3.9689664593852148E-2</v>
      </c>
      <c r="E142" s="86"/>
      <c r="F142" s="14"/>
      <c r="H142" s="155">
        <v>141</v>
      </c>
      <c r="I142" s="89" cm="1">
        <f t="array" ref="I142">INDEX(A$2:A7141,RANK($D142,$D$2:$D$7001),1)</f>
        <v>6729</v>
      </c>
      <c r="J142" s="89" cm="1">
        <f t="array" ref="J142">INDEX(B$2:B7141,RANK($D142,$D$2:$D$7001),1)</f>
        <v>39.402368651615689</v>
      </c>
      <c r="K142" s="89" cm="1">
        <f t="array" ref="K142">INDEX(C$2:C7141,RANK($D142,$D$2:$D$7001),1)</f>
        <v>2</v>
      </c>
      <c r="L142" s="89"/>
    </row>
    <row r="143" spans="1:12" x14ac:dyDescent="0.25">
      <c r="A143" s="86">
        <v>142</v>
      </c>
      <c r="B143" s="87">
        <v>46.769230261241319</v>
      </c>
      <c r="C143" s="14">
        <v>5</v>
      </c>
      <c r="D143" s="86">
        <v>7.9732821197227133E-2</v>
      </c>
      <c r="E143" s="86"/>
      <c r="F143" s="14"/>
      <c r="H143" s="155">
        <v>142</v>
      </c>
      <c r="I143" s="89" cm="1">
        <f t="array" ref="I143">INDEX(A$2:A7142,RANK($D143,$D$2:$D$7001),1)</f>
        <v>6437</v>
      </c>
      <c r="J143" s="89" cm="1">
        <f t="array" ref="J143">INDEX(B$2:B7142,RANK($D143,$D$2:$D$7001),1)</f>
        <v>36.967276168405078</v>
      </c>
      <c r="K143" s="89" cm="1">
        <f t="array" ref="K143">INDEX(C$2:C7142,RANK($D143,$D$2:$D$7001),1)</f>
        <v>5</v>
      </c>
      <c r="L143" s="89"/>
    </row>
    <row r="144" spans="1:12" x14ac:dyDescent="0.25">
      <c r="A144" s="86">
        <v>143</v>
      </c>
      <c r="B144" s="87">
        <v>42.865917743591126</v>
      </c>
      <c r="C144" s="14">
        <v>1</v>
      </c>
      <c r="D144" s="86">
        <v>0.85331893590533314</v>
      </c>
      <c r="E144" s="86"/>
      <c r="F144" s="14"/>
      <c r="H144" s="155">
        <v>143</v>
      </c>
      <c r="I144" s="89" cm="1">
        <f t="array" ref="I144">INDEX(A$2:A7143,RANK($D144,$D$2:$D$7001),1)</f>
        <v>1059</v>
      </c>
      <c r="J144" s="89" cm="1">
        <f t="array" ref="J144">INDEX(B$2:B7143,RANK($D144,$D$2:$D$7001),1)</f>
        <v>41.091323050175561</v>
      </c>
      <c r="K144" s="89" cm="1">
        <f t="array" ref="K144">INDEX(C$2:C7143,RANK($D144,$D$2:$D$7001),1)</f>
        <v>2</v>
      </c>
      <c r="L144" s="89"/>
    </row>
    <row r="145" spans="1:12" x14ac:dyDescent="0.25">
      <c r="A145" s="86">
        <v>144</v>
      </c>
      <c r="B145" s="87">
        <v>44.591035925230244</v>
      </c>
      <c r="C145" s="14">
        <v>4</v>
      </c>
      <c r="D145" s="86">
        <v>0.43028015114605755</v>
      </c>
      <c r="E145" s="86"/>
      <c r="F145" s="14"/>
      <c r="H145" s="88"/>
      <c r="I145" s="89"/>
      <c r="J145" s="89"/>
      <c r="K145" s="89"/>
      <c r="L145" s="89"/>
    </row>
    <row r="146" spans="1:12" x14ac:dyDescent="0.25">
      <c r="A146" s="86">
        <v>145</v>
      </c>
      <c r="B146" s="87">
        <v>43.67735754782916</v>
      </c>
      <c r="C146" s="14">
        <v>3</v>
      </c>
      <c r="D146" s="86">
        <v>0.65733757737907694</v>
      </c>
      <c r="E146" s="86"/>
      <c r="F146" s="14"/>
      <c r="H146" s="88"/>
      <c r="I146" s="89"/>
      <c r="J146" s="89"/>
      <c r="K146" s="89"/>
      <c r="L146" s="89"/>
    </row>
    <row r="147" spans="1:12" x14ac:dyDescent="0.25">
      <c r="A147" s="86">
        <v>146</v>
      </c>
      <c r="B147" s="87">
        <v>46.122931957477704</v>
      </c>
      <c r="C147" s="14">
        <v>2</v>
      </c>
      <c r="D147" s="86">
        <v>0.75794202286178891</v>
      </c>
      <c r="E147" s="86"/>
      <c r="F147" s="14"/>
      <c r="H147" s="88"/>
      <c r="I147" s="89"/>
      <c r="J147" s="89"/>
      <c r="K147" s="89"/>
      <c r="L147" s="89"/>
    </row>
    <row r="148" spans="1:12" x14ac:dyDescent="0.25">
      <c r="A148" s="86">
        <v>147</v>
      </c>
      <c r="B148" s="87">
        <v>48.63752564630704</v>
      </c>
      <c r="C148" s="14">
        <v>1</v>
      </c>
      <c r="D148" s="86">
        <v>0.60620547681921177</v>
      </c>
      <c r="E148" s="86"/>
      <c r="F148" s="14"/>
      <c r="H148" s="88"/>
      <c r="I148" s="89"/>
      <c r="J148" s="89"/>
      <c r="K148" s="89"/>
      <c r="L148" s="89"/>
    </row>
    <row r="149" spans="1:12" x14ac:dyDescent="0.25">
      <c r="A149" s="86">
        <v>148</v>
      </c>
      <c r="B149" s="87">
        <v>38.776397554436699</v>
      </c>
      <c r="C149" s="14">
        <v>5</v>
      </c>
      <c r="D149" s="86">
        <v>8.1673946776627759E-2</v>
      </c>
      <c r="E149" s="86"/>
      <c r="F149" s="14"/>
      <c r="H149" s="88"/>
      <c r="I149" s="89"/>
      <c r="J149" s="89"/>
      <c r="K149" s="89"/>
      <c r="L149" s="89"/>
    </row>
    <row r="150" spans="1:12" x14ac:dyDescent="0.25">
      <c r="A150" s="86">
        <v>149</v>
      </c>
      <c r="B150" s="87">
        <v>38.739119640347781</v>
      </c>
      <c r="C150" s="14">
        <v>1</v>
      </c>
      <c r="D150" s="86">
        <v>0.33436333840427701</v>
      </c>
      <c r="E150" s="86"/>
      <c r="F150" s="14"/>
      <c r="H150" s="88"/>
      <c r="I150" s="89"/>
      <c r="J150" s="89"/>
      <c r="K150" s="89"/>
      <c r="L150" s="89"/>
    </row>
    <row r="151" spans="1:12" x14ac:dyDescent="0.25">
      <c r="A151" s="86">
        <v>150</v>
      </c>
      <c r="B151" s="87">
        <v>37.884740317502292</v>
      </c>
      <c r="C151" s="14">
        <v>4</v>
      </c>
      <c r="D151" s="86">
        <v>0.16442887906818704</v>
      </c>
      <c r="E151" s="86"/>
      <c r="F151" s="14"/>
      <c r="H151" s="88"/>
      <c r="I151" s="89"/>
      <c r="J151" s="89"/>
      <c r="K151" s="89"/>
      <c r="L151" s="89"/>
    </row>
    <row r="152" spans="1:12" x14ac:dyDescent="0.25">
      <c r="A152" s="86">
        <v>151</v>
      </c>
      <c r="B152" s="87">
        <v>39.205821162220673</v>
      </c>
      <c r="C152" s="14">
        <v>5</v>
      </c>
      <c r="D152" s="86">
        <v>0.84868060276958701</v>
      </c>
      <c r="E152" s="86"/>
      <c r="F152" s="14"/>
      <c r="H152" s="88"/>
      <c r="I152" s="89"/>
      <c r="J152" s="89"/>
      <c r="K152" s="89"/>
      <c r="L152" s="89"/>
    </row>
    <row r="153" spans="1:12" x14ac:dyDescent="0.25">
      <c r="A153" s="86">
        <v>152</v>
      </c>
      <c r="B153" s="87">
        <v>40.781412730546435</v>
      </c>
      <c r="C153" s="14">
        <v>5</v>
      </c>
      <c r="D153" s="86">
        <v>0.10483019971017693</v>
      </c>
      <c r="E153" s="86"/>
      <c r="F153" s="14"/>
      <c r="H153" s="88"/>
      <c r="I153" s="89"/>
      <c r="J153" s="89"/>
      <c r="K153" s="89"/>
      <c r="L153" s="89"/>
    </row>
    <row r="154" spans="1:12" x14ac:dyDescent="0.25">
      <c r="A154" s="86">
        <v>153</v>
      </c>
      <c r="B154" s="87">
        <v>38.036034761142218</v>
      </c>
      <c r="C154" s="14">
        <v>1</v>
      </c>
      <c r="D154" s="86">
        <v>0.63574710926216038</v>
      </c>
      <c r="E154" s="86"/>
      <c r="F154" s="14"/>
      <c r="H154" s="88"/>
      <c r="I154" s="89"/>
      <c r="J154" s="89"/>
      <c r="K154" s="89"/>
      <c r="L154" s="89"/>
    </row>
    <row r="155" spans="1:12" x14ac:dyDescent="0.25">
      <c r="A155" s="86">
        <v>154</v>
      </c>
      <c r="B155" s="87">
        <v>42.19889432931086</v>
      </c>
      <c r="C155" s="14">
        <v>5</v>
      </c>
      <c r="D155" s="86">
        <v>3.5858466808317835E-2</v>
      </c>
      <c r="E155" s="86"/>
      <c r="F155" s="14"/>
      <c r="H155" s="88"/>
      <c r="I155" s="89"/>
      <c r="J155" s="89"/>
      <c r="K155" s="89"/>
      <c r="L155" s="89"/>
    </row>
    <row r="156" spans="1:12" x14ac:dyDescent="0.25">
      <c r="A156" s="86">
        <v>155</v>
      </c>
      <c r="B156" s="87">
        <v>38.210816905455431</v>
      </c>
      <c r="C156" s="14">
        <v>1</v>
      </c>
      <c r="D156" s="86">
        <v>0.58139480356563678</v>
      </c>
      <c r="E156" s="86"/>
      <c r="F156" s="14"/>
      <c r="H156" s="88"/>
      <c r="I156" s="89"/>
      <c r="J156" s="89"/>
      <c r="K156" s="89"/>
      <c r="L156" s="89"/>
    </row>
    <row r="157" spans="1:12" x14ac:dyDescent="0.25">
      <c r="A157" s="86">
        <v>156</v>
      </c>
      <c r="B157" s="87">
        <v>38.14627688768087</v>
      </c>
      <c r="C157" s="14">
        <v>4</v>
      </c>
      <c r="D157" s="86">
        <v>0.25372567450664352</v>
      </c>
      <c r="E157" s="86"/>
      <c r="F157" s="14"/>
      <c r="H157" s="88"/>
      <c r="I157" s="89"/>
      <c r="J157" s="89"/>
      <c r="K157" s="89"/>
      <c r="L157" s="89"/>
    </row>
    <row r="158" spans="1:12" x14ac:dyDescent="0.25">
      <c r="A158" s="86">
        <v>157</v>
      </c>
      <c r="B158" s="87">
        <v>42.51251083984971</v>
      </c>
      <c r="C158" s="14">
        <v>5</v>
      </c>
      <c r="D158" s="86">
        <v>0.5256031415686927</v>
      </c>
      <c r="E158" s="86"/>
      <c r="F158" s="14"/>
      <c r="H158" s="88"/>
      <c r="I158" s="89"/>
      <c r="J158" s="89"/>
      <c r="K158" s="89"/>
      <c r="L158" s="89"/>
    </row>
    <row r="159" spans="1:12" x14ac:dyDescent="0.25">
      <c r="A159" s="86">
        <v>158</v>
      </c>
      <c r="B159" s="87">
        <v>44.350178990833228</v>
      </c>
      <c r="C159" s="14">
        <v>4</v>
      </c>
      <c r="D159" s="86">
        <v>0.51056510437932212</v>
      </c>
      <c r="E159" s="86"/>
      <c r="F159" s="14"/>
      <c r="H159" s="88"/>
      <c r="I159" s="89"/>
      <c r="J159" s="89"/>
      <c r="K159" s="89"/>
      <c r="L159" s="89"/>
    </row>
    <row r="160" spans="1:12" x14ac:dyDescent="0.25">
      <c r="A160" s="86">
        <v>159</v>
      </c>
      <c r="B160" s="87">
        <v>49.781669981137384</v>
      </c>
      <c r="C160" s="14">
        <v>1</v>
      </c>
      <c r="D160" s="86">
        <v>2.4712592159380709E-2</v>
      </c>
      <c r="E160" s="86"/>
      <c r="F160" s="14"/>
      <c r="H160" s="88"/>
      <c r="I160" s="89"/>
      <c r="J160" s="89"/>
      <c r="K160" s="89"/>
      <c r="L160" s="89"/>
    </row>
    <row r="161" spans="1:12" x14ac:dyDescent="0.25">
      <c r="A161" s="86">
        <v>160</v>
      </c>
      <c r="B161" s="87">
        <v>46.56895952791092</v>
      </c>
      <c r="C161" s="14">
        <v>2</v>
      </c>
      <c r="D161" s="86">
        <v>0.52905419215267302</v>
      </c>
      <c r="E161" s="86"/>
      <c r="F161" s="14"/>
      <c r="H161" s="88"/>
      <c r="I161" s="89"/>
      <c r="J161" s="89"/>
      <c r="K161" s="89"/>
      <c r="L161" s="89"/>
    </row>
    <row r="162" spans="1:12" x14ac:dyDescent="0.25">
      <c r="A162" s="86">
        <v>161</v>
      </c>
      <c r="B162" s="87">
        <v>42.091772906467668</v>
      </c>
      <c r="C162" s="14">
        <v>2</v>
      </c>
      <c r="D162" s="86">
        <v>0.10314149945787499</v>
      </c>
      <c r="E162" s="86"/>
      <c r="F162" s="14"/>
      <c r="H162" s="88"/>
      <c r="I162" s="89"/>
      <c r="J162" s="89"/>
      <c r="K162" s="89"/>
      <c r="L162" s="89"/>
    </row>
    <row r="163" spans="1:12" x14ac:dyDescent="0.25">
      <c r="A163" s="86">
        <v>162</v>
      </c>
      <c r="B163" s="87">
        <v>46.046591245947639</v>
      </c>
      <c r="C163" s="14">
        <v>3</v>
      </c>
      <c r="D163" s="86">
        <v>0.98646053522689603</v>
      </c>
      <c r="E163" s="86"/>
      <c r="F163" s="14"/>
      <c r="H163" s="88"/>
      <c r="I163" s="89"/>
      <c r="J163" s="89"/>
      <c r="K163" s="89"/>
      <c r="L163" s="89"/>
    </row>
    <row r="164" spans="1:12" x14ac:dyDescent="0.25">
      <c r="A164" s="86">
        <v>163</v>
      </c>
      <c r="B164" s="87">
        <v>44.322030129813356</v>
      </c>
      <c r="C164" s="14">
        <v>2</v>
      </c>
      <c r="D164" s="86">
        <v>0.11239825860173158</v>
      </c>
      <c r="E164" s="86"/>
      <c r="F164" s="14"/>
      <c r="H164" s="88"/>
      <c r="I164" s="89"/>
      <c r="J164" s="89"/>
      <c r="K164" s="89"/>
      <c r="L164" s="89"/>
    </row>
    <row r="165" spans="1:12" x14ac:dyDescent="0.25">
      <c r="A165" s="86">
        <v>164</v>
      </c>
      <c r="B165" s="87">
        <v>37.352356225135736</v>
      </c>
      <c r="C165" s="14">
        <v>2</v>
      </c>
      <c r="D165" s="86">
        <v>0.41711706956060179</v>
      </c>
      <c r="E165" s="86"/>
      <c r="F165" s="14"/>
      <c r="H165" s="88"/>
      <c r="I165" s="89"/>
      <c r="J165" s="89"/>
      <c r="K165" s="89"/>
      <c r="L165" s="89"/>
    </row>
    <row r="166" spans="1:12" x14ac:dyDescent="0.25">
      <c r="A166" s="86">
        <v>165</v>
      </c>
      <c r="B166" s="87">
        <v>37.648601386870723</v>
      </c>
      <c r="C166" s="14">
        <v>4</v>
      </c>
      <c r="D166" s="86">
        <v>0.13184877957582819</v>
      </c>
      <c r="E166" s="86"/>
      <c r="F166" s="14"/>
      <c r="H166" s="88"/>
      <c r="I166" s="89"/>
      <c r="J166" s="89"/>
      <c r="K166" s="89"/>
      <c r="L166" s="89"/>
    </row>
    <row r="167" spans="1:12" x14ac:dyDescent="0.25">
      <c r="A167" s="86">
        <v>166</v>
      </c>
      <c r="B167" s="87">
        <v>45.792114628391573</v>
      </c>
      <c r="C167" s="14">
        <v>4</v>
      </c>
      <c r="D167" s="86">
        <v>0.13394077558622297</v>
      </c>
      <c r="E167" s="86"/>
      <c r="F167" s="14"/>
      <c r="H167" s="88"/>
      <c r="I167" s="89"/>
      <c r="J167" s="89"/>
      <c r="K167" s="89"/>
      <c r="L167" s="89"/>
    </row>
    <row r="168" spans="1:12" x14ac:dyDescent="0.25">
      <c r="A168" s="86">
        <v>167</v>
      </c>
      <c r="B168" s="87">
        <v>43.770126007409999</v>
      </c>
      <c r="C168" s="14">
        <v>3</v>
      </c>
      <c r="D168" s="86">
        <v>0.42531657317364824</v>
      </c>
      <c r="E168" s="86"/>
      <c r="F168" s="14"/>
      <c r="H168" s="88"/>
      <c r="I168" s="89"/>
      <c r="J168" s="89"/>
      <c r="K168" s="89"/>
      <c r="L168" s="89"/>
    </row>
    <row r="169" spans="1:12" x14ac:dyDescent="0.25">
      <c r="A169" s="86">
        <v>168</v>
      </c>
      <c r="B169" s="87">
        <v>45.509477781131864</v>
      </c>
      <c r="C169" s="14">
        <v>2</v>
      </c>
      <c r="D169" s="86">
        <v>0.49721577096726588</v>
      </c>
      <c r="E169" s="86"/>
      <c r="F169" s="14"/>
      <c r="H169" s="88"/>
      <c r="I169" s="89"/>
      <c r="J169" s="89"/>
      <c r="K169" s="89"/>
      <c r="L169" s="89"/>
    </row>
    <row r="170" spans="1:12" x14ac:dyDescent="0.25">
      <c r="A170" s="86">
        <v>169</v>
      </c>
      <c r="B170" s="87">
        <v>45.655900743775419</v>
      </c>
      <c r="C170" s="14">
        <v>2</v>
      </c>
      <c r="D170" s="86">
        <v>0.90486212969166058</v>
      </c>
      <c r="E170" s="86"/>
      <c r="F170" s="14"/>
      <c r="H170" s="88"/>
      <c r="I170" s="89"/>
      <c r="J170" s="89"/>
      <c r="K170" s="89"/>
      <c r="L170" s="89"/>
    </row>
    <row r="171" spans="1:12" x14ac:dyDescent="0.25">
      <c r="A171" s="86">
        <v>170</v>
      </c>
      <c r="B171" s="87">
        <v>44.790306214388693</v>
      </c>
      <c r="C171" s="14">
        <v>3</v>
      </c>
      <c r="D171" s="86">
        <v>0.46342613394516252</v>
      </c>
      <c r="E171" s="86"/>
      <c r="F171" s="14"/>
      <c r="H171" s="88"/>
      <c r="I171" s="89"/>
      <c r="J171" s="89"/>
      <c r="K171" s="89"/>
      <c r="L171" s="89"/>
    </row>
    <row r="172" spans="1:12" x14ac:dyDescent="0.25">
      <c r="A172" s="86">
        <v>171</v>
      </c>
      <c r="B172" s="87">
        <v>49.158995802252321</v>
      </c>
      <c r="C172" s="14">
        <v>2</v>
      </c>
      <c r="D172" s="86">
        <v>4.4452555572610852E-2</v>
      </c>
      <c r="E172" s="86"/>
      <c r="F172" s="14"/>
      <c r="H172" s="88"/>
      <c r="I172" s="89"/>
      <c r="J172" s="89"/>
      <c r="K172" s="89"/>
      <c r="L172" s="89"/>
    </row>
    <row r="173" spans="1:12" x14ac:dyDescent="0.25">
      <c r="A173" s="86">
        <v>172</v>
      </c>
      <c r="B173" s="87">
        <v>43.526711119164247</v>
      </c>
      <c r="C173" s="14">
        <v>4</v>
      </c>
      <c r="D173" s="86">
        <v>0.81190287095157532</v>
      </c>
      <c r="E173" s="86"/>
      <c r="F173" s="14"/>
      <c r="H173" s="88"/>
      <c r="I173" s="89"/>
      <c r="J173" s="89"/>
      <c r="K173" s="89"/>
      <c r="L173" s="89"/>
    </row>
    <row r="174" spans="1:12" x14ac:dyDescent="0.25">
      <c r="A174" s="86">
        <v>173</v>
      </c>
      <c r="B174" s="87">
        <v>36.310257195844315</v>
      </c>
      <c r="C174" s="14">
        <v>2</v>
      </c>
      <c r="D174" s="86">
        <v>0.48402991606200907</v>
      </c>
      <c r="E174" s="86"/>
      <c r="F174" s="14"/>
      <c r="H174" s="88"/>
      <c r="I174" s="89"/>
      <c r="J174" s="89"/>
      <c r="K174" s="89"/>
      <c r="L174" s="89"/>
    </row>
    <row r="175" spans="1:12" x14ac:dyDescent="0.25">
      <c r="A175" s="86">
        <v>174</v>
      </c>
      <c r="B175" s="87">
        <v>40.341012658580439</v>
      </c>
      <c r="C175" s="14">
        <v>5</v>
      </c>
      <c r="D175" s="86">
        <v>0.46990353046412014</v>
      </c>
      <c r="E175" s="86"/>
      <c r="F175" s="14"/>
      <c r="H175" s="88"/>
      <c r="I175" s="89"/>
      <c r="J175" s="89"/>
      <c r="K175" s="89"/>
      <c r="L175" s="89"/>
    </row>
    <row r="176" spans="1:12" x14ac:dyDescent="0.25">
      <c r="A176" s="86">
        <v>175</v>
      </c>
      <c r="B176" s="87">
        <v>43.603699845669325</v>
      </c>
      <c r="C176" s="14">
        <v>4</v>
      </c>
      <c r="D176" s="86">
        <v>0.29351922177729095</v>
      </c>
      <c r="E176" s="86"/>
      <c r="F176" s="14"/>
      <c r="H176" s="88"/>
      <c r="I176" s="89"/>
      <c r="J176" s="89"/>
      <c r="K176" s="89"/>
      <c r="L176" s="89"/>
    </row>
    <row r="177" spans="1:12" x14ac:dyDescent="0.25">
      <c r="A177" s="86">
        <v>176</v>
      </c>
      <c r="B177" s="87">
        <v>41.656960542575689</v>
      </c>
      <c r="C177" s="14">
        <v>4</v>
      </c>
      <c r="D177" s="86">
        <v>0.46142685756411139</v>
      </c>
      <c r="E177" s="86"/>
      <c r="F177" s="14"/>
      <c r="H177" s="88"/>
      <c r="I177" s="89"/>
      <c r="J177" s="89"/>
      <c r="K177" s="89"/>
      <c r="L177" s="89"/>
    </row>
    <row r="178" spans="1:12" x14ac:dyDescent="0.25">
      <c r="A178" s="86">
        <v>177</v>
      </c>
      <c r="B178" s="87">
        <v>50.197149898274802</v>
      </c>
      <c r="C178" s="14">
        <v>2</v>
      </c>
      <c r="D178" s="86">
        <v>0.13561855349040652</v>
      </c>
      <c r="E178" s="86"/>
      <c r="F178" s="14"/>
      <c r="H178" s="88"/>
      <c r="I178" s="89"/>
      <c r="J178" s="89"/>
      <c r="K178" s="89"/>
      <c r="L178" s="89"/>
    </row>
    <row r="179" spans="1:12" x14ac:dyDescent="0.25">
      <c r="A179" s="86">
        <v>178</v>
      </c>
      <c r="B179" s="87">
        <v>34.066215443424881</v>
      </c>
      <c r="C179" s="14">
        <v>2</v>
      </c>
      <c r="D179" s="86">
        <v>0.56685704292444972</v>
      </c>
      <c r="E179" s="86"/>
      <c r="F179" s="14"/>
      <c r="H179" s="88"/>
      <c r="I179" s="89"/>
      <c r="J179" s="89"/>
      <c r="K179" s="89"/>
      <c r="L179" s="89"/>
    </row>
    <row r="180" spans="1:12" x14ac:dyDescent="0.25">
      <c r="A180" s="86">
        <v>179</v>
      </c>
      <c r="B180" s="87">
        <v>41.104487985983724</v>
      </c>
      <c r="C180" s="14">
        <v>2</v>
      </c>
      <c r="D180" s="86">
        <v>0.30343618302891506</v>
      </c>
      <c r="E180" s="86"/>
      <c r="F180" s="14"/>
      <c r="H180" s="88"/>
      <c r="I180" s="89"/>
      <c r="J180" s="89"/>
      <c r="K180" s="89"/>
      <c r="L180" s="89"/>
    </row>
    <row r="181" spans="1:12" x14ac:dyDescent="0.25">
      <c r="A181" s="86">
        <v>180</v>
      </c>
      <c r="B181" s="87">
        <v>45.018578015849926</v>
      </c>
      <c r="C181" s="14">
        <v>5</v>
      </c>
      <c r="D181" s="86">
        <v>0.34277108451027472</v>
      </c>
      <c r="E181" s="86"/>
      <c r="F181" s="14"/>
      <c r="H181" s="88"/>
      <c r="I181" s="89"/>
      <c r="J181" s="89"/>
      <c r="K181" s="89"/>
      <c r="L181" s="89"/>
    </row>
    <row r="182" spans="1:12" x14ac:dyDescent="0.25">
      <c r="A182" s="86">
        <v>181</v>
      </c>
      <c r="B182" s="87">
        <v>48.833214800077258</v>
      </c>
      <c r="C182" s="14">
        <v>2</v>
      </c>
      <c r="D182" s="86">
        <v>0.55712967995812623</v>
      </c>
      <c r="E182" s="86"/>
      <c r="F182" s="14"/>
      <c r="H182" s="88"/>
      <c r="I182" s="89"/>
      <c r="J182" s="89"/>
      <c r="K182" s="89"/>
      <c r="L182" s="89"/>
    </row>
    <row r="183" spans="1:12" x14ac:dyDescent="0.25">
      <c r="A183" s="86">
        <v>182</v>
      </c>
      <c r="B183" s="87">
        <v>44.928026449604658</v>
      </c>
      <c r="C183" s="14">
        <v>2</v>
      </c>
      <c r="D183" s="86">
        <v>0.33050652361630695</v>
      </c>
      <c r="E183" s="86"/>
      <c r="F183" s="14"/>
      <c r="H183" s="88"/>
      <c r="I183" s="89"/>
      <c r="J183" s="89"/>
      <c r="K183" s="89"/>
      <c r="L183" s="89"/>
    </row>
    <row r="184" spans="1:12" x14ac:dyDescent="0.25">
      <c r="A184" s="86">
        <v>183</v>
      </c>
      <c r="B184" s="87">
        <v>28.390604706481099</v>
      </c>
      <c r="C184" s="14">
        <v>5</v>
      </c>
      <c r="D184" s="86">
        <v>0.25112760806589041</v>
      </c>
      <c r="E184" s="86"/>
      <c r="F184" s="14"/>
      <c r="H184" s="88"/>
      <c r="I184" s="89"/>
      <c r="J184" s="89"/>
      <c r="K184" s="89"/>
      <c r="L184" s="89"/>
    </row>
    <row r="185" spans="1:12" x14ac:dyDescent="0.25">
      <c r="A185" s="86">
        <v>184</v>
      </c>
      <c r="B185" s="87">
        <v>43.220194351641112</v>
      </c>
      <c r="C185" s="14">
        <v>4</v>
      </c>
      <c r="D185" s="86">
        <v>0.38384100866875781</v>
      </c>
      <c r="E185" s="86"/>
      <c r="F185" s="14"/>
      <c r="H185" s="88"/>
      <c r="I185" s="89"/>
      <c r="J185" s="89"/>
      <c r="K185" s="89"/>
      <c r="L185" s="89"/>
    </row>
    <row r="186" spans="1:12" x14ac:dyDescent="0.25">
      <c r="A186" s="86">
        <v>185</v>
      </c>
      <c r="B186" s="87">
        <v>34.390450304606929</v>
      </c>
      <c r="C186" s="14">
        <v>2</v>
      </c>
      <c r="D186" s="86">
        <v>0.44009956705932296</v>
      </c>
      <c r="E186" s="86"/>
      <c r="F186" s="14"/>
      <c r="H186" s="88"/>
      <c r="I186" s="89"/>
      <c r="J186" s="89"/>
      <c r="K186" s="89"/>
      <c r="L186" s="89"/>
    </row>
    <row r="187" spans="1:12" x14ac:dyDescent="0.25">
      <c r="A187" s="86">
        <v>186</v>
      </c>
      <c r="B187" s="87">
        <v>41.685098034911789</v>
      </c>
      <c r="C187" s="14">
        <v>1</v>
      </c>
      <c r="D187" s="86">
        <v>0.39994269764558465</v>
      </c>
      <c r="E187" s="86"/>
      <c r="F187" s="14"/>
      <c r="H187" s="88"/>
      <c r="I187" s="89"/>
      <c r="J187" s="89"/>
      <c r="K187" s="89"/>
      <c r="L187" s="89"/>
    </row>
    <row r="188" spans="1:12" x14ac:dyDescent="0.25">
      <c r="A188" s="86">
        <v>187</v>
      </c>
      <c r="B188" s="87">
        <v>44.407784111506771</v>
      </c>
      <c r="C188" s="14">
        <v>4</v>
      </c>
      <c r="D188" s="86">
        <v>2.5693137670632082E-2</v>
      </c>
      <c r="E188" s="86"/>
      <c r="F188" s="14"/>
      <c r="H188" s="88"/>
      <c r="I188" s="89"/>
      <c r="J188" s="89"/>
      <c r="K188" s="89"/>
      <c r="L188" s="89"/>
    </row>
    <row r="189" spans="1:12" x14ac:dyDescent="0.25">
      <c r="A189" s="86">
        <v>188</v>
      </c>
      <c r="B189" s="87">
        <v>42.419412688439479</v>
      </c>
      <c r="C189" s="14">
        <v>2</v>
      </c>
      <c r="D189" s="86">
        <v>0.85738095359061639</v>
      </c>
      <c r="E189" s="86"/>
      <c r="F189" s="14"/>
      <c r="H189" s="88"/>
      <c r="I189" s="89"/>
      <c r="J189" s="89"/>
      <c r="K189" s="89"/>
      <c r="L189" s="89"/>
    </row>
    <row r="190" spans="1:12" x14ac:dyDescent="0.25">
      <c r="A190" s="86">
        <v>189</v>
      </c>
      <c r="B190" s="87">
        <v>33.035212249495089</v>
      </c>
      <c r="C190" s="14">
        <v>2</v>
      </c>
      <c r="D190" s="86">
        <v>0.15002963641607703</v>
      </c>
      <c r="E190" s="86"/>
      <c r="F190" s="14"/>
      <c r="H190" s="88"/>
      <c r="I190" s="89"/>
      <c r="J190" s="89"/>
      <c r="K190" s="89"/>
      <c r="L190" s="89"/>
    </row>
    <row r="191" spans="1:12" x14ac:dyDescent="0.25">
      <c r="A191" s="86">
        <v>190</v>
      </c>
      <c r="B191" s="87">
        <v>48.10622157889884</v>
      </c>
      <c r="C191" s="14">
        <v>4</v>
      </c>
      <c r="D191" s="86">
        <v>2.4034780074429163E-2</v>
      </c>
      <c r="E191" s="86"/>
      <c r="F191" s="14"/>
      <c r="H191" s="88"/>
      <c r="I191" s="89"/>
      <c r="J191" s="89"/>
      <c r="K191" s="89"/>
      <c r="L191" s="89"/>
    </row>
    <row r="192" spans="1:12" x14ac:dyDescent="0.25">
      <c r="A192" s="86">
        <v>191</v>
      </c>
      <c r="B192" s="87">
        <v>47.305593392928131</v>
      </c>
      <c r="C192" s="14">
        <v>5</v>
      </c>
      <c r="D192" s="86">
        <v>0.63242902361821285</v>
      </c>
      <c r="E192" s="86"/>
      <c r="F192" s="14"/>
      <c r="H192" s="88"/>
      <c r="I192" s="89"/>
      <c r="J192" s="89"/>
      <c r="K192" s="89"/>
      <c r="L192" s="89"/>
    </row>
    <row r="193" spans="1:12" x14ac:dyDescent="0.25">
      <c r="A193" s="86">
        <v>192</v>
      </c>
      <c r="B193" s="87">
        <v>35.735365594853647</v>
      </c>
      <c r="C193" s="14">
        <v>2</v>
      </c>
      <c r="D193" s="86">
        <v>0.66876274460459506</v>
      </c>
      <c r="E193" s="86"/>
      <c r="F193" s="14"/>
      <c r="H193" s="88"/>
      <c r="I193" s="89"/>
      <c r="J193" s="89"/>
      <c r="K193" s="89"/>
      <c r="L193" s="89"/>
    </row>
    <row r="194" spans="1:12" x14ac:dyDescent="0.25">
      <c r="A194" s="86">
        <v>193</v>
      </c>
      <c r="B194" s="87">
        <v>34.390450304606929</v>
      </c>
      <c r="C194" s="14">
        <v>3</v>
      </c>
      <c r="D194" s="86">
        <v>0.86272495876533939</v>
      </c>
      <c r="E194" s="86"/>
      <c r="F194" s="14"/>
      <c r="H194" s="88"/>
      <c r="I194" s="89"/>
      <c r="J194" s="89"/>
      <c r="K194" s="89"/>
      <c r="L194" s="89"/>
    </row>
    <row r="195" spans="1:12" x14ac:dyDescent="0.25">
      <c r="A195" s="86">
        <v>194</v>
      </c>
      <c r="B195" s="87">
        <v>45.576950919319643</v>
      </c>
      <c r="C195" s="14">
        <v>4</v>
      </c>
      <c r="D195" s="86">
        <v>0.91148228572319168</v>
      </c>
      <c r="E195" s="86"/>
      <c r="F195" s="14"/>
      <c r="H195" s="88"/>
      <c r="I195" s="89"/>
      <c r="J195" s="89"/>
      <c r="K195" s="89"/>
      <c r="L195" s="89"/>
    </row>
    <row r="196" spans="1:12" x14ac:dyDescent="0.25">
      <c r="A196" s="86">
        <v>195</v>
      </c>
      <c r="B196" s="87">
        <v>49.556388143508229</v>
      </c>
      <c r="C196" s="14">
        <v>4</v>
      </c>
      <c r="D196" s="86">
        <v>0.96746707321247705</v>
      </c>
      <c r="E196" s="86"/>
      <c r="F196" s="14"/>
      <c r="H196" s="88"/>
      <c r="I196" s="89"/>
      <c r="J196" s="89"/>
      <c r="K196" s="89"/>
      <c r="L196" s="89"/>
    </row>
    <row r="197" spans="1:12" x14ac:dyDescent="0.25">
      <c r="A197" s="86">
        <v>196</v>
      </c>
      <c r="B197" s="87">
        <v>45.483045591361588</v>
      </c>
      <c r="C197" s="14">
        <v>5</v>
      </c>
      <c r="D197" s="86">
        <v>0.10637514425095507</v>
      </c>
      <c r="E197" s="86"/>
      <c r="F197" s="14"/>
    </row>
    <row r="198" spans="1:12" x14ac:dyDescent="0.25">
      <c r="A198" s="86">
        <v>197</v>
      </c>
      <c r="B198" s="87">
        <v>47.870298653258942</v>
      </c>
      <c r="C198" s="14">
        <v>2</v>
      </c>
      <c r="D198" s="86">
        <v>0.3524781344524367</v>
      </c>
      <c r="E198" s="86"/>
      <c r="F198" s="14"/>
    </row>
    <row r="199" spans="1:12" x14ac:dyDescent="0.25">
      <c r="A199" s="86">
        <v>198</v>
      </c>
      <c r="B199" s="87">
        <v>38.973678323935019</v>
      </c>
      <c r="C199" s="14">
        <v>5</v>
      </c>
      <c r="D199" s="86">
        <v>0.8649743195569678</v>
      </c>
      <c r="E199" s="86"/>
      <c r="F199" s="14"/>
    </row>
    <row r="200" spans="1:12" x14ac:dyDescent="0.25">
      <c r="A200" s="86">
        <v>199</v>
      </c>
      <c r="B200" s="87">
        <v>39.232804733153898</v>
      </c>
      <c r="C200" s="14">
        <v>4</v>
      </c>
      <c r="D200" s="86">
        <v>0.25524905171193291</v>
      </c>
      <c r="E200" s="86"/>
      <c r="F200" s="14"/>
    </row>
    <row r="201" spans="1:12" x14ac:dyDescent="0.25">
      <c r="A201" s="86">
        <v>200</v>
      </c>
      <c r="B201" s="87">
        <v>43.581360382057028</v>
      </c>
      <c r="C201" s="14">
        <v>3</v>
      </c>
      <c r="D201" s="86">
        <v>0.10172574130187606</v>
      </c>
      <c r="E201" s="86"/>
      <c r="F201" s="14"/>
    </row>
    <row r="202" spans="1:12" x14ac:dyDescent="0.25">
      <c r="A202" s="86">
        <v>201</v>
      </c>
      <c r="B202" s="87">
        <v>44.438456820324063</v>
      </c>
      <c r="C202" s="14">
        <v>2</v>
      </c>
      <c r="D202" s="86">
        <v>0.41019151358206596</v>
      </c>
      <c r="E202" s="86"/>
      <c r="F202" s="14"/>
    </row>
    <row r="203" spans="1:12" x14ac:dyDescent="0.25">
      <c r="A203" s="86">
        <v>202</v>
      </c>
      <c r="B203" s="87">
        <v>42.249996562866727</v>
      </c>
      <c r="C203" s="14">
        <v>2</v>
      </c>
      <c r="D203" s="86">
        <v>0.66276834959925957</v>
      </c>
      <c r="E203" s="86"/>
      <c r="F203" s="14"/>
    </row>
    <row r="204" spans="1:12" x14ac:dyDescent="0.25">
      <c r="A204" s="86">
        <v>203</v>
      </c>
      <c r="B204" s="87">
        <v>33.647120284847915</v>
      </c>
      <c r="C204" s="14">
        <v>2</v>
      </c>
      <c r="D204" s="86">
        <v>0.50144015658946173</v>
      </c>
      <c r="E204" s="86"/>
      <c r="F204" s="14"/>
    </row>
    <row r="205" spans="1:12" x14ac:dyDescent="0.25">
      <c r="A205" s="86">
        <v>204</v>
      </c>
      <c r="B205" s="87">
        <v>35.865878084558062</v>
      </c>
      <c r="C205" s="14">
        <v>1</v>
      </c>
      <c r="D205" s="86">
        <v>0.47399566049734176</v>
      </c>
      <c r="E205" s="86"/>
      <c r="F205" s="14"/>
    </row>
    <row r="206" spans="1:12" x14ac:dyDescent="0.25">
      <c r="A206" s="86">
        <v>205</v>
      </c>
      <c r="B206" s="87">
        <v>49.108666639192961</v>
      </c>
      <c r="C206" s="14">
        <v>3</v>
      </c>
      <c r="D206" s="86">
        <v>0.9308232474423821</v>
      </c>
      <c r="E206" s="86"/>
      <c r="F206" s="14"/>
    </row>
    <row r="207" spans="1:12" x14ac:dyDescent="0.25">
      <c r="A207" s="86">
        <v>206</v>
      </c>
      <c r="B207" s="87">
        <v>49.26660039415583</v>
      </c>
      <c r="C207" s="14">
        <v>2</v>
      </c>
      <c r="D207" s="86">
        <v>0.77314631980277249</v>
      </c>
      <c r="E207" s="86"/>
      <c r="F207" s="14"/>
    </row>
    <row r="208" spans="1:12" x14ac:dyDescent="0.25">
      <c r="A208" s="86">
        <v>207</v>
      </c>
      <c r="B208" s="87">
        <v>38.154848875245079</v>
      </c>
      <c r="C208" s="14">
        <v>4</v>
      </c>
      <c r="D208" s="86">
        <v>0.8912023428370629</v>
      </c>
      <c r="E208" s="86"/>
      <c r="F208" s="14"/>
    </row>
    <row r="209" spans="1:6" x14ac:dyDescent="0.25">
      <c r="A209" s="86">
        <v>208</v>
      </c>
      <c r="B209" s="87">
        <v>37.494828570168465</v>
      </c>
      <c r="C209" s="14">
        <v>4</v>
      </c>
      <c r="D209" s="86">
        <v>3.6910395370836069E-3</v>
      </c>
      <c r="E209" s="86"/>
      <c r="F209" s="14"/>
    </row>
    <row r="210" spans="1:6" x14ac:dyDescent="0.25">
      <c r="A210" s="86">
        <v>209</v>
      </c>
      <c r="B210" s="87">
        <v>42.101493131092866</v>
      </c>
      <c r="C210" s="14">
        <v>2</v>
      </c>
      <c r="D210" s="86">
        <v>0.87130471525391984</v>
      </c>
      <c r="E210" s="86"/>
      <c r="F210" s="14"/>
    </row>
    <row r="211" spans="1:6" x14ac:dyDescent="0.25">
      <c r="A211" s="86">
        <v>210</v>
      </c>
      <c r="B211" s="87">
        <v>47.131959485675907</v>
      </c>
      <c r="C211" s="14">
        <v>1</v>
      </c>
      <c r="D211" s="86">
        <v>0.44970539374044272</v>
      </c>
      <c r="E211" s="86"/>
      <c r="F211" s="14"/>
    </row>
    <row r="212" spans="1:6" x14ac:dyDescent="0.25">
      <c r="A212" s="86">
        <v>211</v>
      </c>
      <c r="B212" s="87">
        <v>49.613754521822557</v>
      </c>
      <c r="C212" s="14">
        <v>5</v>
      </c>
      <c r="D212" s="86">
        <v>0.83416458982945574</v>
      </c>
      <c r="E212" s="86"/>
      <c r="F212" s="14"/>
    </row>
    <row r="213" spans="1:6" x14ac:dyDescent="0.25">
      <c r="A213" s="86">
        <v>212</v>
      </c>
      <c r="B213" s="87">
        <v>43.985329506875132</v>
      </c>
      <c r="C213" s="14">
        <v>4</v>
      </c>
      <c r="D213" s="86">
        <v>0.52303571916380742</v>
      </c>
      <c r="E213" s="86"/>
      <c r="F213" s="14"/>
    </row>
    <row r="214" spans="1:6" x14ac:dyDescent="0.25">
      <c r="A214" s="86">
        <v>213</v>
      </c>
      <c r="B214" s="87">
        <v>37.214113030466251</v>
      </c>
      <c r="C214" s="14">
        <v>4</v>
      </c>
      <c r="D214" s="86">
        <v>0.59022932497410496</v>
      </c>
      <c r="E214" s="86"/>
      <c r="F214" s="14"/>
    </row>
    <row r="215" spans="1:6" x14ac:dyDescent="0.25">
      <c r="A215" s="86">
        <v>214</v>
      </c>
      <c r="B215" s="87">
        <v>44.132809757109499</v>
      </c>
      <c r="C215" s="14">
        <v>4</v>
      </c>
      <c r="D215" s="86">
        <v>0.3765385723609439</v>
      </c>
      <c r="E215" s="86"/>
      <c r="F215" s="14"/>
    </row>
    <row r="216" spans="1:6" x14ac:dyDescent="0.25">
      <c r="A216" s="86">
        <v>215</v>
      </c>
      <c r="B216" s="87">
        <v>34.651384334545583</v>
      </c>
      <c r="C216" s="14">
        <v>5</v>
      </c>
      <c r="D216" s="86">
        <v>0.20522924304243206</v>
      </c>
      <c r="E216" s="86"/>
      <c r="F216" s="14"/>
    </row>
    <row r="217" spans="1:6" x14ac:dyDescent="0.25">
      <c r="A217" s="86">
        <v>216</v>
      </c>
      <c r="B217" s="87">
        <v>37.00746446553967</v>
      </c>
      <c r="C217" s="14">
        <v>2</v>
      </c>
      <c r="D217" s="86">
        <v>0.42445687044911284</v>
      </c>
      <c r="E217" s="86"/>
      <c r="F217" s="14"/>
    </row>
    <row r="218" spans="1:6" x14ac:dyDescent="0.25">
      <c r="A218" s="86">
        <v>217</v>
      </c>
      <c r="B218" s="87">
        <v>35.197808751370758</v>
      </c>
      <c r="C218" s="14">
        <v>5</v>
      </c>
      <c r="D218" s="86">
        <v>0.94549477854449415</v>
      </c>
      <c r="E218" s="86"/>
      <c r="F218" s="14"/>
    </row>
    <row r="219" spans="1:6" x14ac:dyDescent="0.25">
      <c r="A219" s="86">
        <v>218</v>
      </c>
      <c r="B219" s="87">
        <v>48.591539320448646</v>
      </c>
      <c r="C219" s="14">
        <v>4</v>
      </c>
      <c r="D219" s="86">
        <v>0.75439858428424433</v>
      </c>
      <c r="E219" s="86"/>
      <c r="F219" s="14"/>
    </row>
    <row r="220" spans="1:6" x14ac:dyDescent="0.25">
      <c r="A220" s="86">
        <v>219</v>
      </c>
      <c r="B220" s="87">
        <v>46.668856152216904</v>
      </c>
      <c r="C220" s="14">
        <v>2</v>
      </c>
      <c r="D220" s="86">
        <v>0.29878437031518457</v>
      </c>
      <c r="E220" s="86"/>
      <c r="F220" s="14"/>
    </row>
    <row r="221" spans="1:6" x14ac:dyDescent="0.25">
      <c r="A221" s="86">
        <v>220</v>
      </c>
      <c r="B221" s="87">
        <v>47.941477982356446</v>
      </c>
      <c r="C221" s="14">
        <v>2</v>
      </c>
      <c r="D221" s="86">
        <v>0.34451340802397301</v>
      </c>
      <c r="E221" s="86"/>
      <c r="F221" s="14"/>
    </row>
    <row r="222" spans="1:6" x14ac:dyDescent="0.25">
      <c r="A222" s="86">
        <v>221</v>
      </c>
      <c r="B222" s="87">
        <v>43.784450548962923</v>
      </c>
      <c r="C222" s="14">
        <v>1</v>
      </c>
      <c r="D222" s="86">
        <v>0.42383861925966693</v>
      </c>
      <c r="E222" s="86"/>
      <c r="F222" s="14"/>
    </row>
    <row r="223" spans="1:6" x14ac:dyDescent="0.25">
      <c r="A223" s="86">
        <v>222</v>
      </c>
      <c r="B223" s="87">
        <v>41.100781795073999</v>
      </c>
      <c r="C223" s="14">
        <v>1</v>
      </c>
      <c r="D223" s="86">
        <v>1.6106831311206715E-3</v>
      </c>
      <c r="E223" s="86"/>
      <c r="F223" s="14"/>
    </row>
    <row r="224" spans="1:6" x14ac:dyDescent="0.25">
      <c r="A224" s="86">
        <v>223</v>
      </c>
      <c r="B224" s="87">
        <v>40.515226368705044</v>
      </c>
      <c r="C224" s="14">
        <v>2</v>
      </c>
      <c r="D224" s="86">
        <v>0.21093920420538947</v>
      </c>
      <c r="E224" s="86"/>
      <c r="F224" s="14"/>
    </row>
    <row r="225" spans="1:6" x14ac:dyDescent="0.25">
      <c r="A225" s="86">
        <v>224</v>
      </c>
      <c r="B225" s="87">
        <v>40.736159684791346</v>
      </c>
      <c r="C225" s="14">
        <v>2</v>
      </c>
      <c r="D225" s="86">
        <v>0.21099941896511654</v>
      </c>
      <c r="E225" s="86"/>
      <c r="F225" s="14"/>
    </row>
    <row r="226" spans="1:6" x14ac:dyDescent="0.25">
      <c r="A226" s="86">
        <v>225</v>
      </c>
      <c r="B226" s="87">
        <v>43.084344264905667</v>
      </c>
      <c r="C226" s="14">
        <v>3</v>
      </c>
      <c r="D226" s="86">
        <v>0.74530617079348216</v>
      </c>
      <c r="E226" s="86"/>
      <c r="F226" s="14"/>
    </row>
    <row r="227" spans="1:6" x14ac:dyDescent="0.25">
      <c r="A227" s="86">
        <v>226</v>
      </c>
      <c r="B227" s="87">
        <v>36.438177625648677</v>
      </c>
      <c r="C227" s="14">
        <v>4</v>
      </c>
      <c r="D227" s="86">
        <v>0.29011932414262187</v>
      </c>
      <c r="E227" s="86"/>
      <c r="F227" s="14"/>
    </row>
    <row r="228" spans="1:6" x14ac:dyDescent="0.25">
      <c r="A228" s="86">
        <v>227</v>
      </c>
      <c r="B228" s="87">
        <v>53.359735824749805</v>
      </c>
      <c r="C228" s="14">
        <v>5</v>
      </c>
      <c r="D228" s="86">
        <v>0.30110612991175534</v>
      </c>
      <c r="E228" s="86"/>
      <c r="F228" s="14"/>
    </row>
    <row r="229" spans="1:6" x14ac:dyDescent="0.25">
      <c r="A229" s="86">
        <v>228</v>
      </c>
      <c r="B229" s="87">
        <v>46.109926183242351</v>
      </c>
      <c r="C229" s="14">
        <v>5</v>
      </c>
      <c r="D229" s="86">
        <v>0.76538068547318638</v>
      </c>
      <c r="E229" s="86"/>
      <c r="F229" s="14"/>
    </row>
    <row r="230" spans="1:6" x14ac:dyDescent="0.25">
      <c r="A230" s="86">
        <v>229</v>
      </c>
      <c r="B230" s="87">
        <v>45.092667727993103</v>
      </c>
      <c r="C230" s="14">
        <v>3</v>
      </c>
      <c r="D230" s="86">
        <v>0.96755688988221866</v>
      </c>
      <c r="E230" s="86"/>
      <c r="F230" s="14"/>
    </row>
    <row r="231" spans="1:6" x14ac:dyDescent="0.25">
      <c r="A231" s="86">
        <v>230</v>
      </c>
      <c r="B231" s="87">
        <v>43.820870127427042</v>
      </c>
      <c r="C231" s="14">
        <v>4</v>
      </c>
      <c r="D231" s="86">
        <v>0.44348112908466042</v>
      </c>
      <c r="E231" s="86"/>
      <c r="F231" s="14"/>
    </row>
    <row r="232" spans="1:6" x14ac:dyDescent="0.25">
      <c r="A232" s="86">
        <v>231</v>
      </c>
      <c r="B232" s="87">
        <v>43.526711119164247</v>
      </c>
      <c r="C232" s="14">
        <v>2</v>
      </c>
      <c r="D232" s="86">
        <v>0.89044102113181955</v>
      </c>
      <c r="E232" s="86"/>
      <c r="F232" s="14"/>
    </row>
    <row r="233" spans="1:6" x14ac:dyDescent="0.25">
      <c r="A233" s="86">
        <v>232</v>
      </c>
      <c r="B233" s="87">
        <v>46.905302037310321</v>
      </c>
      <c r="C233" s="14">
        <v>3</v>
      </c>
      <c r="D233" s="86">
        <v>0.68125713394257181</v>
      </c>
      <c r="E233" s="86"/>
      <c r="F233" s="14"/>
    </row>
    <row r="234" spans="1:6" x14ac:dyDescent="0.25">
      <c r="A234" s="86">
        <v>233</v>
      </c>
      <c r="B234" s="87">
        <v>41.259767153285793</v>
      </c>
      <c r="C234" s="14">
        <v>1</v>
      </c>
      <c r="D234" s="86">
        <v>0.99009350876232827</v>
      </c>
      <c r="E234" s="86"/>
      <c r="F234" s="14"/>
    </row>
    <row r="235" spans="1:6" x14ac:dyDescent="0.25">
      <c r="A235" s="86">
        <v>234</v>
      </c>
      <c r="B235" s="87">
        <v>46.569937234715326</v>
      </c>
      <c r="C235" s="14">
        <v>4</v>
      </c>
      <c r="D235" s="86">
        <v>0.18330329335303386</v>
      </c>
      <c r="E235" s="86"/>
      <c r="F235" s="14"/>
    </row>
    <row r="236" spans="1:6" x14ac:dyDescent="0.25">
      <c r="A236" s="86">
        <v>235</v>
      </c>
      <c r="B236" s="87">
        <v>42.787462456879439</v>
      </c>
      <c r="C236" s="14">
        <v>2</v>
      </c>
      <c r="D236" s="86">
        <v>0.53807114088458319</v>
      </c>
      <c r="E236" s="86"/>
      <c r="F236" s="14"/>
    </row>
    <row r="237" spans="1:6" x14ac:dyDescent="0.25">
      <c r="A237" s="86">
        <v>236</v>
      </c>
      <c r="B237" s="87">
        <v>34.420600053970702</v>
      </c>
      <c r="C237" s="14">
        <v>2</v>
      </c>
      <c r="D237" s="86">
        <v>0.96764391701775976</v>
      </c>
      <c r="E237" s="86"/>
      <c r="F237" s="14"/>
    </row>
    <row r="238" spans="1:6" x14ac:dyDescent="0.25">
      <c r="A238" s="86">
        <v>237</v>
      </c>
      <c r="B238" s="87">
        <v>40.176087163097691</v>
      </c>
      <c r="C238" s="14">
        <v>5</v>
      </c>
      <c r="D238" s="86">
        <v>0.85658311710514046</v>
      </c>
      <c r="E238" s="86"/>
      <c r="F238" s="14"/>
    </row>
    <row r="239" spans="1:6" x14ac:dyDescent="0.25">
      <c r="A239" s="86">
        <v>238</v>
      </c>
      <c r="B239" s="87">
        <v>32.669504429912195</v>
      </c>
      <c r="C239" s="14">
        <v>4</v>
      </c>
      <c r="D239" s="86">
        <v>0.59684784067466112</v>
      </c>
      <c r="E239" s="86"/>
      <c r="F239" s="14"/>
    </row>
    <row r="240" spans="1:6" x14ac:dyDescent="0.25">
      <c r="A240" s="86">
        <v>239</v>
      </c>
      <c r="B240" s="87">
        <v>39.415726855047978</v>
      </c>
      <c r="C240" s="14">
        <v>5</v>
      </c>
      <c r="D240" s="86">
        <v>8.2170325590488424E-2</v>
      </c>
      <c r="E240" s="86"/>
      <c r="F240" s="14"/>
    </row>
    <row r="241" spans="1:6" x14ac:dyDescent="0.25">
      <c r="A241" s="86">
        <v>240</v>
      </c>
      <c r="B241" s="87">
        <v>41.995161831771838</v>
      </c>
      <c r="C241" s="14">
        <v>1</v>
      </c>
      <c r="D241" s="86">
        <v>0.49821153759460624</v>
      </c>
      <c r="E241" s="86"/>
      <c r="F241" s="14"/>
    </row>
    <row r="242" spans="1:6" x14ac:dyDescent="0.25">
      <c r="A242" s="86">
        <v>241</v>
      </c>
      <c r="B242" s="87">
        <v>44.272582039746339</v>
      </c>
      <c r="C242" s="14">
        <v>3</v>
      </c>
      <c r="D242" s="86">
        <v>0.64542081043599886</v>
      </c>
      <c r="E242" s="86"/>
      <c r="F242" s="14"/>
    </row>
    <row r="243" spans="1:6" x14ac:dyDescent="0.25">
      <c r="A243" s="86">
        <v>242</v>
      </c>
      <c r="B243" s="87">
        <v>44.978389718715334</v>
      </c>
      <c r="C243" s="14">
        <v>4</v>
      </c>
      <c r="D243" s="86">
        <v>0.63570363905700589</v>
      </c>
      <c r="E243" s="86"/>
      <c r="F243" s="14"/>
    </row>
    <row r="244" spans="1:6" x14ac:dyDescent="0.25">
      <c r="A244" s="86">
        <v>243</v>
      </c>
      <c r="B244" s="87">
        <v>48.246772616374074</v>
      </c>
      <c r="C244" s="14">
        <v>2</v>
      </c>
      <c r="D244" s="86">
        <v>0.54779703658889822</v>
      </c>
      <c r="E244" s="86"/>
      <c r="F244" s="14"/>
    </row>
    <row r="245" spans="1:6" x14ac:dyDescent="0.25">
      <c r="A245" s="86">
        <v>244</v>
      </c>
      <c r="B245" s="87">
        <v>39.741092900265357</v>
      </c>
      <c r="C245" s="14">
        <v>2</v>
      </c>
      <c r="D245" s="86">
        <v>4.8364361495100261E-2</v>
      </c>
      <c r="E245" s="86"/>
      <c r="F245" s="14"/>
    </row>
    <row r="246" spans="1:6" x14ac:dyDescent="0.25">
      <c r="A246" s="86">
        <v>245</v>
      </c>
      <c r="B246" s="87">
        <v>40.383656591409817</v>
      </c>
      <c r="C246" s="14">
        <v>2</v>
      </c>
      <c r="D246" s="86">
        <v>0.52534140956951569</v>
      </c>
      <c r="E246" s="86"/>
      <c r="F246" s="14"/>
    </row>
    <row r="247" spans="1:6" x14ac:dyDescent="0.25">
      <c r="A247" s="86">
        <v>246</v>
      </c>
      <c r="B247" s="87">
        <v>37.109748513437808</v>
      </c>
      <c r="C247" s="14">
        <v>5</v>
      </c>
      <c r="D247" s="86">
        <v>0.68124221032188836</v>
      </c>
      <c r="E247" s="86"/>
      <c r="F247" s="14"/>
    </row>
    <row r="248" spans="1:6" x14ac:dyDescent="0.25">
      <c r="A248" s="86">
        <v>247</v>
      </c>
      <c r="B248" s="87">
        <v>38.192627011419972</v>
      </c>
      <c r="C248" s="14">
        <v>2</v>
      </c>
      <c r="D248" s="86">
        <v>0.38078844640522491</v>
      </c>
      <c r="E248" s="86"/>
      <c r="F248" s="14"/>
    </row>
    <row r="249" spans="1:6" x14ac:dyDescent="0.25">
      <c r="A249" s="86">
        <v>248</v>
      </c>
      <c r="B249" s="87">
        <v>51.295137376990169</v>
      </c>
      <c r="C249" s="14">
        <v>4</v>
      </c>
      <c r="D249" s="86">
        <v>0.27810554103702811</v>
      </c>
      <c r="E249" s="86"/>
      <c r="F249" s="14"/>
    </row>
    <row r="250" spans="1:6" x14ac:dyDescent="0.25">
      <c r="A250" s="86">
        <v>249</v>
      </c>
      <c r="B250" s="87">
        <v>52.613950169296004</v>
      </c>
      <c r="C250" s="14">
        <v>5</v>
      </c>
      <c r="D250" s="86">
        <v>0.60358165204324876</v>
      </c>
      <c r="E250" s="86"/>
      <c r="F250" s="14"/>
    </row>
    <row r="251" spans="1:6" x14ac:dyDescent="0.25">
      <c r="A251" s="86">
        <v>250</v>
      </c>
      <c r="B251" s="87">
        <v>47.50980905952747</v>
      </c>
      <c r="C251" s="14">
        <v>2</v>
      </c>
      <c r="D251" s="86">
        <v>5.7310817221362997E-2</v>
      </c>
      <c r="E251" s="86"/>
      <c r="F251" s="14"/>
    </row>
    <row r="252" spans="1:6" x14ac:dyDescent="0.25">
      <c r="A252" s="86">
        <v>251</v>
      </c>
      <c r="B252" s="87">
        <v>59.400008462369442</v>
      </c>
      <c r="C252" s="14">
        <v>4</v>
      </c>
      <c r="D252" s="86">
        <v>0.75737056140823267</v>
      </c>
      <c r="E252" s="86"/>
      <c r="F252" s="14"/>
    </row>
    <row r="253" spans="1:6" x14ac:dyDescent="0.25">
      <c r="A253" s="86">
        <v>252</v>
      </c>
      <c r="B253" s="87">
        <v>42.962324181979056</v>
      </c>
      <c r="C253" s="14">
        <v>5</v>
      </c>
      <c r="D253" s="86">
        <v>0.28429369212028932</v>
      </c>
      <c r="E253" s="86"/>
      <c r="F253" s="14"/>
    </row>
    <row r="254" spans="1:6" x14ac:dyDescent="0.25">
      <c r="A254" s="86">
        <v>253</v>
      </c>
      <c r="B254" s="87">
        <v>47.167577571934089</v>
      </c>
      <c r="C254" s="14">
        <v>5</v>
      </c>
      <c r="D254" s="86">
        <v>0.66674456192103537</v>
      </c>
      <c r="E254" s="86"/>
      <c r="F254" s="14"/>
    </row>
    <row r="255" spans="1:6" x14ac:dyDescent="0.25">
      <c r="A255" s="86">
        <v>254</v>
      </c>
      <c r="B255" s="87">
        <v>39.075985109200701</v>
      </c>
      <c r="C255" s="14">
        <v>2</v>
      </c>
      <c r="D255" s="86">
        <v>0.28026298360500201</v>
      </c>
      <c r="E255" s="86"/>
      <c r="F255" s="14"/>
    </row>
    <row r="256" spans="1:6" x14ac:dyDescent="0.25">
      <c r="A256" s="86">
        <v>255</v>
      </c>
      <c r="B256" s="87">
        <v>41.683119883935433</v>
      </c>
      <c r="C256" s="14">
        <v>4</v>
      </c>
      <c r="D256" s="86">
        <v>0.26653264853338332</v>
      </c>
      <c r="E256" s="86"/>
      <c r="F256" s="14"/>
    </row>
    <row r="257" spans="1:6" x14ac:dyDescent="0.25">
      <c r="A257" s="86">
        <v>256</v>
      </c>
      <c r="B257" s="87">
        <v>48.316940132615855</v>
      </c>
      <c r="C257" s="14">
        <v>2</v>
      </c>
      <c r="D257" s="86">
        <v>0.64201541622787128</v>
      </c>
      <c r="E257" s="86"/>
      <c r="F257" s="14"/>
    </row>
    <row r="258" spans="1:6" x14ac:dyDescent="0.25">
      <c r="A258" s="86">
        <v>257</v>
      </c>
      <c r="B258" s="87">
        <v>35.183552421920467</v>
      </c>
      <c r="C258" s="14">
        <v>5</v>
      </c>
      <c r="D258" s="86">
        <v>0.47364797515573509</v>
      </c>
      <c r="E258" s="86"/>
      <c r="F258" s="14"/>
    </row>
    <row r="259" spans="1:6" x14ac:dyDescent="0.25">
      <c r="A259" s="86">
        <v>258</v>
      </c>
      <c r="B259" s="87">
        <v>42.458287902598386</v>
      </c>
      <c r="C259" s="14">
        <v>3</v>
      </c>
      <c r="D259" s="86">
        <v>0.60219350448481579</v>
      </c>
      <c r="E259" s="86"/>
      <c r="F259" s="14"/>
    </row>
    <row r="260" spans="1:6" x14ac:dyDescent="0.25">
      <c r="A260" s="86">
        <v>259</v>
      </c>
      <c r="B260" s="87">
        <v>42.72772002365673</v>
      </c>
      <c r="C260" s="14">
        <v>2</v>
      </c>
      <c r="D260" s="86">
        <v>0.37936335656537923</v>
      </c>
      <c r="E260" s="86"/>
      <c r="F260" s="14"/>
    </row>
    <row r="261" spans="1:6" x14ac:dyDescent="0.25">
      <c r="A261" s="86">
        <v>260</v>
      </c>
      <c r="B261" s="87">
        <v>43.849570369609864</v>
      </c>
      <c r="C261" s="14">
        <v>2</v>
      </c>
      <c r="D261" s="86">
        <v>0.80433085240215962</v>
      </c>
      <c r="E261" s="86"/>
      <c r="F261" s="14"/>
    </row>
    <row r="262" spans="1:6" x14ac:dyDescent="0.25">
      <c r="A262" s="86">
        <v>261</v>
      </c>
      <c r="B262" s="87">
        <v>50.969356374815106</v>
      </c>
      <c r="C262" s="14">
        <v>2</v>
      </c>
      <c r="D262" s="86">
        <v>0.10083879247583238</v>
      </c>
      <c r="E262" s="86"/>
      <c r="F262" s="14"/>
    </row>
    <row r="263" spans="1:6" x14ac:dyDescent="0.25">
      <c r="A263" s="86">
        <v>262</v>
      </c>
      <c r="B263" s="87">
        <v>35.415200722462032</v>
      </c>
      <c r="C263" s="14">
        <v>4</v>
      </c>
      <c r="D263" s="86">
        <v>0.90323065143078429</v>
      </c>
      <c r="E263" s="86"/>
      <c r="F263" s="14"/>
    </row>
    <row r="264" spans="1:6" x14ac:dyDescent="0.25">
      <c r="A264" s="86">
        <v>263</v>
      </c>
      <c r="B264" s="87">
        <v>49.273319286265178</v>
      </c>
      <c r="C264" s="14">
        <v>2</v>
      </c>
      <c r="D264" s="86">
        <v>0.3948286605098843</v>
      </c>
      <c r="E264" s="86"/>
      <c r="F264" s="14"/>
    </row>
    <row r="265" spans="1:6" x14ac:dyDescent="0.25">
      <c r="A265" s="86">
        <v>264</v>
      </c>
      <c r="B265" s="87">
        <v>42.950466644804692</v>
      </c>
      <c r="C265" s="14">
        <v>5</v>
      </c>
      <c r="D265" s="86">
        <v>2.6385444094121802E-2</v>
      </c>
      <c r="E265" s="86"/>
      <c r="F265" s="14"/>
    </row>
    <row r="266" spans="1:6" x14ac:dyDescent="0.25">
      <c r="A266" s="86">
        <v>265</v>
      </c>
      <c r="B266" s="87">
        <v>50.011385605437681</v>
      </c>
      <c r="C266" s="14">
        <v>3</v>
      </c>
      <c r="D266" s="86">
        <v>0.72058782276642941</v>
      </c>
      <c r="E266" s="86"/>
      <c r="F266" s="14"/>
    </row>
    <row r="267" spans="1:6" x14ac:dyDescent="0.25">
      <c r="A267" s="86">
        <v>266</v>
      </c>
      <c r="B267" s="87">
        <v>51.786696525930893</v>
      </c>
      <c r="C267" s="14">
        <v>2</v>
      </c>
      <c r="D267" s="86">
        <v>0.98756192295296885</v>
      </c>
      <c r="E267" s="86"/>
      <c r="F267" s="14"/>
    </row>
    <row r="268" spans="1:6" x14ac:dyDescent="0.25">
      <c r="A268" s="86">
        <v>267</v>
      </c>
      <c r="B268" s="87">
        <v>42.165561348490883</v>
      </c>
      <c r="C268" s="14">
        <v>2</v>
      </c>
      <c r="D268" s="86">
        <v>0.48438937173159835</v>
      </c>
      <c r="E268" s="86"/>
      <c r="F268" s="14"/>
    </row>
    <row r="269" spans="1:6" x14ac:dyDescent="0.25">
      <c r="A269" s="86">
        <v>268</v>
      </c>
      <c r="B269" s="87">
        <v>37.446898199385032</v>
      </c>
      <c r="C269" s="14">
        <v>2</v>
      </c>
      <c r="D269" s="86">
        <v>0.93143061825358409</v>
      </c>
      <c r="E269" s="86"/>
      <c r="F269" s="14"/>
    </row>
    <row r="270" spans="1:6" x14ac:dyDescent="0.25">
      <c r="A270" s="86">
        <v>269</v>
      </c>
      <c r="B270" s="87">
        <v>42.418258767036605</v>
      </c>
      <c r="C270" s="14">
        <v>2</v>
      </c>
      <c r="D270" s="86">
        <v>0.17461630506655368</v>
      </c>
      <c r="E270" s="86"/>
      <c r="F270" s="14"/>
    </row>
    <row r="271" spans="1:6" x14ac:dyDescent="0.25">
      <c r="A271" s="86">
        <v>270</v>
      </c>
      <c r="B271" s="87">
        <v>41.791713551327121</v>
      </c>
      <c r="C271" s="14">
        <v>2</v>
      </c>
      <c r="D271" s="86">
        <v>0.75428445300522429</v>
      </c>
      <c r="E271" s="86"/>
      <c r="F271" s="14"/>
    </row>
    <row r="272" spans="1:6" x14ac:dyDescent="0.25">
      <c r="A272" s="86">
        <v>271</v>
      </c>
      <c r="B272" s="87">
        <v>47.362959771242458</v>
      </c>
      <c r="C272" s="14">
        <v>5</v>
      </c>
      <c r="D272" s="86">
        <v>0.17588183587534545</v>
      </c>
      <c r="E272" s="86"/>
      <c r="F272" s="14"/>
    </row>
    <row r="273" spans="1:6" x14ac:dyDescent="0.25">
      <c r="A273" s="86">
        <v>272</v>
      </c>
      <c r="B273" s="87">
        <v>41.096262743274565</v>
      </c>
      <c r="C273" s="14">
        <v>1</v>
      </c>
      <c r="D273" s="86">
        <v>0.62571281363961151</v>
      </c>
      <c r="E273" s="86"/>
      <c r="F273" s="14"/>
    </row>
    <row r="274" spans="1:6" x14ac:dyDescent="0.25">
      <c r="A274" s="86">
        <v>273</v>
      </c>
      <c r="B274" s="87">
        <v>41.497639808192616</v>
      </c>
      <c r="C274" s="14">
        <v>4</v>
      </c>
      <c r="D274" s="86">
        <v>0.1377098608501871</v>
      </c>
      <c r="E274" s="86"/>
      <c r="F274" s="14"/>
    </row>
    <row r="275" spans="1:6" x14ac:dyDescent="0.25">
      <c r="A275" s="86">
        <v>274</v>
      </c>
      <c r="B275" s="87">
        <v>34.028198564890772</v>
      </c>
      <c r="C275" s="14">
        <v>2</v>
      </c>
      <c r="D275" s="86">
        <v>0.12609810254790665</v>
      </c>
      <c r="E275" s="86"/>
      <c r="F275" s="14"/>
    </row>
    <row r="276" spans="1:6" x14ac:dyDescent="0.25">
      <c r="A276" s="86">
        <v>275</v>
      </c>
      <c r="B276" s="87">
        <v>38.130929164588451</v>
      </c>
      <c r="C276" s="14">
        <v>2</v>
      </c>
      <c r="D276" s="86">
        <v>0.22808327429842623</v>
      </c>
      <c r="E276" s="86"/>
      <c r="F276" s="14"/>
    </row>
    <row r="277" spans="1:6" x14ac:dyDescent="0.25">
      <c r="A277" s="86">
        <v>276</v>
      </c>
      <c r="B277" s="87">
        <v>32.701655067619868</v>
      </c>
      <c r="C277" s="14">
        <v>2</v>
      </c>
      <c r="D277" s="86">
        <v>5.5832888088972799E-2</v>
      </c>
      <c r="E277" s="86"/>
      <c r="F277" s="14"/>
    </row>
    <row r="278" spans="1:6" x14ac:dyDescent="0.25">
      <c r="A278" s="86">
        <v>277</v>
      </c>
      <c r="B278" s="87">
        <v>45.372019025642658</v>
      </c>
      <c r="C278" s="14">
        <v>2</v>
      </c>
      <c r="D278" s="86">
        <v>0.38367383805867361</v>
      </c>
      <c r="E278" s="86"/>
      <c r="F278" s="14"/>
    </row>
    <row r="279" spans="1:6" x14ac:dyDescent="0.25">
      <c r="A279" s="86">
        <v>278</v>
      </c>
      <c r="B279" s="87">
        <v>45.1781431769341</v>
      </c>
      <c r="C279" s="14">
        <v>5</v>
      </c>
      <c r="D279" s="86">
        <v>0.61151680751348203</v>
      </c>
      <c r="E279" s="86"/>
      <c r="F279" s="14"/>
    </row>
    <row r="280" spans="1:6" x14ac:dyDescent="0.25">
      <c r="A280" s="86">
        <v>279</v>
      </c>
      <c r="B280" s="87">
        <v>40.756481207034085</v>
      </c>
      <c r="C280" s="14">
        <v>1</v>
      </c>
      <c r="D280" s="86">
        <v>0.76538945723128216</v>
      </c>
      <c r="E280" s="86"/>
      <c r="F280" s="14"/>
    </row>
    <row r="281" spans="1:6" x14ac:dyDescent="0.25">
      <c r="A281" s="86">
        <v>280</v>
      </c>
      <c r="B281" s="87">
        <v>41.55556325201178</v>
      </c>
      <c r="C281" s="14">
        <v>3</v>
      </c>
      <c r="D281" s="86">
        <v>0.26277472918858602</v>
      </c>
      <c r="E281" s="86"/>
      <c r="F281" s="14"/>
    </row>
    <row r="282" spans="1:6" x14ac:dyDescent="0.25">
      <c r="A282" s="86">
        <v>281</v>
      </c>
      <c r="B282" s="87">
        <v>51.272513696283568</v>
      </c>
      <c r="C282" s="14">
        <v>4</v>
      </c>
      <c r="D282" s="86">
        <v>0.3408601529073928</v>
      </c>
      <c r="E282" s="86"/>
      <c r="F282" s="14"/>
    </row>
    <row r="283" spans="1:6" x14ac:dyDescent="0.25">
      <c r="A283" s="86">
        <v>282</v>
      </c>
      <c r="B283" s="87">
        <v>54.006795830326155</v>
      </c>
      <c r="C283" s="14">
        <v>1</v>
      </c>
      <c r="D283" s="86">
        <v>0.61285480308895157</v>
      </c>
      <c r="E283" s="86"/>
      <c r="F283" s="14"/>
    </row>
    <row r="284" spans="1:6" x14ac:dyDescent="0.25">
      <c r="A284" s="86">
        <v>283</v>
      </c>
      <c r="B284" s="87">
        <v>40.631402948172763</v>
      </c>
      <c r="C284" s="14">
        <v>2</v>
      </c>
      <c r="D284" s="86">
        <v>5.0421993645942464E-2</v>
      </c>
      <c r="E284" s="86"/>
      <c r="F284" s="14"/>
    </row>
    <row r="285" spans="1:6" x14ac:dyDescent="0.25">
      <c r="A285" s="86">
        <v>284</v>
      </c>
      <c r="B285" s="87">
        <v>44.759343604135211</v>
      </c>
      <c r="C285" s="14">
        <v>1</v>
      </c>
      <c r="D285" s="86">
        <v>0.76331154443192484</v>
      </c>
      <c r="E285" s="86"/>
      <c r="F285" s="14"/>
    </row>
    <row r="286" spans="1:6" x14ac:dyDescent="0.25">
      <c r="A286" s="86">
        <v>285</v>
      </c>
      <c r="B286" s="87">
        <v>41.13486510902294</v>
      </c>
      <c r="C286" s="14">
        <v>4</v>
      </c>
      <c r="D286" s="86">
        <v>0.35782808032953262</v>
      </c>
      <c r="E286" s="86"/>
      <c r="F286" s="14"/>
    </row>
    <row r="287" spans="1:6" x14ac:dyDescent="0.25">
      <c r="A287" s="86">
        <v>286</v>
      </c>
      <c r="B287" s="87">
        <v>47.454363988770638</v>
      </c>
      <c r="C287" s="14">
        <v>5</v>
      </c>
      <c r="D287" s="86">
        <v>0.43564012007468056</v>
      </c>
      <c r="E287" s="86"/>
      <c r="F287" s="14"/>
    </row>
    <row r="288" spans="1:6" x14ac:dyDescent="0.25">
      <c r="A288" s="86">
        <v>287</v>
      </c>
      <c r="B288" s="87">
        <v>38.648784079094185</v>
      </c>
      <c r="C288" s="14">
        <v>2</v>
      </c>
      <c r="D288" s="86">
        <v>0.39208264577688412</v>
      </c>
      <c r="E288" s="86"/>
      <c r="F288" s="14"/>
    </row>
    <row r="289" spans="1:6" x14ac:dyDescent="0.25">
      <c r="A289" s="86">
        <v>288</v>
      </c>
      <c r="B289" s="87">
        <v>43.426803126174491</v>
      </c>
      <c r="C289" s="14">
        <v>1</v>
      </c>
      <c r="D289" s="86">
        <v>8.6457134447122663E-2</v>
      </c>
      <c r="E289" s="86"/>
      <c r="F289" s="14"/>
    </row>
    <row r="290" spans="1:6" x14ac:dyDescent="0.25">
      <c r="A290" s="86">
        <v>289</v>
      </c>
      <c r="B290" s="87">
        <v>40.993870692880591</v>
      </c>
      <c r="C290" s="14">
        <v>2</v>
      </c>
      <c r="D290" s="86">
        <v>0.64267544272711563</v>
      </c>
      <c r="E290" s="86"/>
      <c r="F290" s="14"/>
    </row>
    <row r="291" spans="1:6" x14ac:dyDescent="0.25">
      <c r="A291" s="86">
        <v>290</v>
      </c>
      <c r="B291" s="87">
        <v>36.561073097225744</v>
      </c>
      <c r="C291" s="14">
        <v>4</v>
      </c>
      <c r="D291" s="86">
        <v>0.43877442003444378</v>
      </c>
      <c r="E291" s="86"/>
      <c r="F291" s="14"/>
    </row>
    <row r="292" spans="1:6" x14ac:dyDescent="0.25">
      <c r="A292" s="86">
        <v>291</v>
      </c>
      <c r="B292" s="87">
        <v>45.626870809763204</v>
      </c>
      <c r="C292" s="14">
        <v>4</v>
      </c>
      <c r="D292" s="86">
        <v>0.54896817362401973</v>
      </c>
      <c r="E292" s="86"/>
      <c r="F292" s="14"/>
    </row>
    <row r="293" spans="1:6" x14ac:dyDescent="0.25">
      <c r="A293" s="86">
        <v>292</v>
      </c>
      <c r="B293" s="87">
        <v>43.43486920731084</v>
      </c>
      <c r="C293" s="14">
        <v>4</v>
      </c>
      <c r="D293" s="86">
        <v>0.20904637628516798</v>
      </c>
      <c r="E293" s="86"/>
      <c r="F293" s="14"/>
    </row>
    <row r="294" spans="1:6" x14ac:dyDescent="0.25">
      <c r="A294" s="86">
        <v>293</v>
      </c>
      <c r="B294" s="87">
        <v>49.66268533677794</v>
      </c>
      <c r="C294" s="14">
        <v>2</v>
      </c>
      <c r="D294" s="86">
        <v>0.78695418642349957</v>
      </c>
      <c r="E294" s="86"/>
      <c r="F294" s="14"/>
    </row>
    <row r="295" spans="1:6" x14ac:dyDescent="0.25">
      <c r="A295" s="86">
        <v>294</v>
      </c>
      <c r="B295" s="87">
        <v>40.060479017818579</v>
      </c>
      <c r="C295" s="14">
        <v>4</v>
      </c>
      <c r="D295" s="86">
        <v>0.43704681998922146</v>
      </c>
      <c r="E295" s="86"/>
      <c r="F295" s="14"/>
    </row>
    <row r="296" spans="1:6" x14ac:dyDescent="0.25">
      <c r="A296" s="86">
        <v>295</v>
      </c>
      <c r="B296" s="87">
        <v>47.704543243860826</v>
      </c>
      <c r="C296" s="14">
        <v>4</v>
      </c>
      <c r="D296" s="86">
        <v>0.59819390212680512</v>
      </c>
      <c r="E296" s="86"/>
      <c r="F296" s="14"/>
    </row>
    <row r="297" spans="1:6" x14ac:dyDescent="0.25">
      <c r="A297" s="86">
        <v>296</v>
      </c>
      <c r="B297" s="87">
        <v>40.560996689571766</v>
      </c>
      <c r="C297" s="14">
        <v>1</v>
      </c>
      <c r="D297" s="86">
        <v>0.23704106629630084</v>
      </c>
      <c r="E297" s="86"/>
      <c r="F297" s="14"/>
    </row>
    <row r="298" spans="1:6" x14ac:dyDescent="0.25">
      <c r="A298" s="86">
        <v>297</v>
      </c>
      <c r="B298" s="87">
        <v>44.946580141520826</v>
      </c>
      <c r="C298" s="14">
        <v>5</v>
      </c>
      <c r="D298" s="86">
        <v>0.69699789055747852</v>
      </c>
      <c r="E298" s="86"/>
      <c r="F298" s="14"/>
    </row>
    <row r="299" spans="1:6" x14ac:dyDescent="0.25">
      <c r="A299" s="86">
        <v>298</v>
      </c>
      <c r="B299" s="87">
        <v>38.247003425902221</v>
      </c>
      <c r="C299" s="14">
        <v>4</v>
      </c>
      <c r="D299" s="86">
        <v>0.53695254497307776</v>
      </c>
      <c r="E299" s="86"/>
      <c r="F299" s="14"/>
    </row>
    <row r="300" spans="1:6" x14ac:dyDescent="0.25">
      <c r="A300" s="86">
        <v>299</v>
      </c>
      <c r="B300" s="87">
        <v>45.986939762195107</v>
      </c>
      <c r="C300" s="14">
        <v>2</v>
      </c>
      <c r="D300" s="86">
        <v>0.26577029466214697</v>
      </c>
      <c r="E300" s="86"/>
      <c r="F300" s="14"/>
    </row>
    <row r="301" spans="1:6" x14ac:dyDescent="0.25">
      <c r="A301" s="86">
        <v>300</v>
      </c>
      <c r="B301" s="87">
        <v>35.677749105496332</v>
      </c>
      <c r="C301" s="14">
        <v>2</v>
      </c>
      <c r="D301" s="86">
        <v>0.68806338623727781</v>
      </c>
      <c r="E301" s="86"/>
      <c r="F301" s="14"/>
    </row>
    <row r="302" spans="1:6" x14ac:dyDescent="0.25">
      <c r="A302" s="86">
        <v>301</v>
      </c>
      <c r="B302" s="87">
        <v>42.625765667587984</v>
      </c>
      <c r="C302" s="14">
        <v>2</v>
      </c>
      <c r="D302" s="86">
        <v>0.69055198919132987</v>
      </c>
      <c r="E302" s="86"/>
      <c r="F302" s="14"/>
    </row>
    <row r="303" spans="1:6" x14ac:dyDescent="0.25">
      <c r="A303" s="86">
        <v>302</v>
      </c>
      <c r="B303" s="87">
        <v>35.434482010139618</v>
      </c>
      <c r="C303" s="14">
        <v>4</v>
      </c>
      <c r="D303" s="86">
        <v>0.89222035276762857</v>
      </c>
      <c r="E303" s="86"/>
      <c r="F303" s="14"/>
    </row>
    <row r="304" spans="1:6" x14ac:dyDescent="0.25">
      <c r="A304" s="86">
        <v>303</v>
      </c>
      <c r="B304" s="87">
        <v>36.202936821035109</v>
      </c>
      <c r="C304" s="14">
        <v>4</v>
      </c>
      <c r="D304" s="86">
        <v>3.7247438237305364E-2</v>
      </c>
      <c r="E304" s="86"/>
      <c r="F304" s="14"/>
    </row>
    <row r="305" spans="1:6" x14ac:dyDescent="0.25">
      <c r="A305" s="86">
        <v>304</v>
      </c>
      <c r="B305" s="87">
        <v>43.798002020019339</v>
      </c>
      <c r="C305" s="14">
        <v>5</v>
      </c>
      <c r="D305" s="86">
        <v>8.2034754581773339E-2</v>
      </c>
      <c r="E305" s="86"/>
      <c r="F305" s="14"/>
    </row>
    <row r="306" spans="1:6" x14ac:dyDescent="0.25">
      <c r="A306" s="86">
        <v>305</v>
      </c>
      <c r="B306" s="87">
        <v>37.148618043254828</v>
      </c>
      <c r="C306" s="14">
        <v>2</v>
      </c>
      <c r="D306" s="86">
        <v>0.7952642636734043</v>
      </c>
      <c r="E306" s="86"/>
      <c r="F306" s="14"/>
    </row>
    <row r="307" spans="1:6" x14ac:dyDescent="0.25">
      <c r="A307" s="86">
        <v>306</v>
      </c>
      <c r="B307" s="87">
        <v>37.811253145599039</v>
      </c>
      <c r="C307" s="14">
        <v>5</v>
      </c>
      <c r="D307" s="86">
        <v>0.31908039749395423</v>
      </c>
      <c r="E307" s="86"/>
      <c r="F307" s="14"/>
    </row>
    <row r="308" spans="1:6" x14ac:dyDescent="0.25">
      <c r="A308" s="86">
        <v>307</v>
      </c>
      <c r="B308" s="87">
        <v>42.679062057111878</v>
      </c>
      <c r="C308" s="14">
        <v>4</v>
      </c>
      <c r="D308" s="86">
        <v>0.57533484470456409</v>
      </c>
      <c r="E308" s="86"/>
      <c r="F308" s="14"/>
    </row>
    <row r="309" spans="1:6" x14ac:dyDescent="0.25">
      <c r="A309" s="86">
        <v>308</v>
      </c>
      <c r="B309" s="87">
        <v>39.175654359831242</v>
      </c>
      <c r="C309" s="14">
        <v>4</v>
      </c>
      <c r="D309" s="86">
        <v>0.93715484796056459</v>
      </c>
      <c r="E309" s="86"/>
      <c r="F309" s="14"/>
    </row>
    <row r="310" spans="1:6" x14ac:dyDescent="0.25">
      <c r="A310" s="86">
        <v>309</v>
      </c>
      <c r="B310" s="87">
        <v>42.365081748692319</v>
      </c>
      <c r="C310" s="14">
        <v>2</v>
      </c>
      <c r="D310" s="86">
        <v>0.70579287582307504</v>
      </c>
      <c r="E310" s="86"/>
      <c r="F310" s="14"/>
    </row>
    <row r="311" spans="1:6" x14ac:dyDescent="0.25">
      <c r="A311" s="86">
        <v>310</v>
      </c>
      <c r="B311" s="87">
        <v>51.077449820120819</v>
      </c>
      <c r="C311" s="14">
        <v>1</v>
      </c>
      <c r="D311" s="86">
        <v>6.8822869137131537E-2</v>
      </c>
      <c r="E311" s="86"/>
      <c r="F311" s="14"/>
    </row>
    <row r="312" spans="1:6" x14ac:dyDescent="0.25">
      <c r="A312" s="86">
        <v>311</v>
      </c>
      <c r="B312" s="87">
        <v>44.831142526498297</v>
      </c>
      <c r="C312" s="14">
        <v>5</v>
      </c>
      <c r="D312" s="86">
        <v>0.70948018462704754</v>
      </c>
      <c r="E312" s="86"/>
      <c r="F312" s="14"/>
    </row>
    <row r="313" spans="1:6" x14ac:dyDescent="0.25">
      <c r="A313" s="86">
        <v>312</v>
      </c>
      <c r="B313" s="87">
        <v>40.547627117455704</v>
      </c>
      <c r="C313" s="14">
        <v>1</v>
      </c>
      <c r="D313" s="86">
        <v>0.68438249880884916</v>
      </c>
      <c r="E313" s="86"/>
      <c r="F313" s="14"/>
    </row>
    <row r="314" spans="1:6" x14ac:dyDescent="0.25">
      <c r="A314" s="86">
        <v>313</v>
      </c>
      <c r="B314" s="87">
        <v>43.862769411469344</v>
      </c>
      <c r="C314" s="14">
        <v>2</v>
      </c>
      <c r="D314" s="86">
        <v>0.10738692908047187</v>
      </c>
      <c r="E314" s="86"/>
      <c r="F314" s="14"/>
    </row>
    <row r="315" spans="1:6" x14ac:dyDescent="0.25">
      <c r="A315" s="86">
        <v>314</v>
      </c>
      <c r="B315" s="87">
        <v>49.52310063742334</v>
      </c>
      <c r="C315" s="14">
        <v>1</v>
      </c>
      <c r="D315" s="86">
        <v>0.9271675855913506</v>
      </c>
      <c r="E315" s="86"/>
      <c r="F315" s="14"/>
    </row>
    <row r="316" spans="1:6" x14ac:dyDescent="0.25">
      <c r="A316" s="86">
        <v>315</v>
      </c>
      <c r="B316" s="87">
        <v>41.652600652349065</v>
      </c>
      <c r="C316" s="14">
        <v>5</v>
      </c>
      <c r="D316" s="86">
        <v>0.55855919416032562</v>
      </c>
      <c r="E316" s="86"/>
      <c r="F316" s="14"/>
    </row>
    <row r="317" spans="1:6" x14ac:dyDescent="0.25">
      <c r="A317" s="86">
        <v>316</v>
      </c>
      <c r="B317" s="87">
        <v>42.995219468473806</v>
      </c>
      <c r="C317" s="14">
        <v>4</v>
      </c>
      <c r="D317" s="86">
        <v>0.28688660548553313</v>
      </c>
      <c r="E317" s="86"/>
      <c r="F317" s="14"/>
    </row>
    <row r="318" spans="1:6" x14ac:dyDescent="0.25">
      <c r="A318" s="86">
        <v>317</v>
      </c>
      <c r="B318" s="87">
        <v>46.602099241106771</v>
      </c>
      <c r="C318" s="14">
        <v>1</v>
      </c>
      <c r="D318" s="86">
        <v>0.99643411838294849</v>
      </c>
      <c r="E318" s="86"/>
      <c r="F318" s="14"/>
    </row>
    <row r="319" spans="1:6" x14ac:dyDescent="0.25">
      <c r="A319" s="86">
        <v>318</v>
      </c>
      <c r="B319" s="87">
        <v>47.191997504676692</v>
      </c>
      <c r="C319" s="14">
        <v>4</v>
      </c>
      <c r="D319" s="86">
        <v>1.9354561408085336E-2</v>
      </c>
      <c r="E319" s="86"/>
      <c r="F319" s="14"/>
    </row>
    <row r="320" spans="1:6" x14ac:dyDescent="0.25">
      <c r="A320" s="86">
        <v>319</v>
      </c>
      <c r="B320" s="87">
        <v>53.369603842264041</v>
      </c>
      <c r="C320" s="14">
        <v>2</v>
      </c>
      <c r="D320" s="86">
        <v>0.96715684387938516</v>
      </c>
      <c r="E320" s="86"/>
      <c r="F320" s="14"/>
    </row>
    <row r="321" spans="1:6" x14ac:dyDescent="0.25">
      <c r="A321" s="86">
        <v>320</v>
      </c>
      <c r="B321" s="87">
        <v>46.507051360429614</v>
      </c>
      <c r="C321" s="14">
        <v>4</v>
      </c>
      <c r="D321" s="86">
        <v>0.47474757692169844</v>
      </c>
      <c r="E321" s="86"/>
      <c r="F321" s="14"/>
    </row>
    <row r="322" spans="1:6" x14ac:dyDescent="0.25">
      <c r="A322" s="86">
        <v>321</v>
      </c>
      <c r="B322" s="87">
        <v>41.902484321661177</v>
      </c>
      <c r="C322" s="14">
        <v>2</v>
      </c>
      <c r="D322" s="86">
        <v>0.32299075805687938</v>
      </c>
      <c r="E322" s="86"/>
      <c r="F322" s="14"/>
    </row>
    <row r="323" spans="1:6" x14ac:dyDescent="0.25">
      <c r="A323" s="86">
        <v>322</v>
      </c>
      <c r="B323" s="87">
        <v>37.071299624920357</v>
      </c>
      <c r="C323" s="14">
        <v>2</v>
      </c>
      <c r="D323" s="86">
        <v>0.57865491693688198</v>
      </c>
      <c r="E323" s="86"/>
      <c r="F323" s="14"/>
    </row>
    <row r="324" spans="1:6" x14ac:dyDescent="0.25">
      <c r="A324" s="86">
        <v>323</v>
      </c>
      <c r="B324" s="87">
        <v>44.347791567241075</v>
      </c>
      <c r="C324" s="14">
        <v>4</v>
      </c>
      <c r="D324" s="86">
        <v>0.55509665435406497</v>
      </c>
      <c r="E324" s="86"/>
      <c r="F324" s="14"/>
    </row>
    <row r="325" spans="1:6" x14ac:dyDescent="0.25">
      <c r="A325" s="86">
        <v>324</v>
      </c>
      <c r="B325" s="87">
        <v>30.679166224552318</v>
      </c>
      <c r="C325" s="14">
        <v>2</v>
      </c>
      <c r="D325" s="86">
        <v>6.7839615415076104E-2</v>
      </c>
      <c r="E325" s="86"/>
      <c r="F325" s="14"/>
    </row>
    <row r="326" spans="1:6" x14ac:dyDescent="0.25">
      <c r="A326" s="86">
        <v>325</v>
      </c>
      <c r="B326" s="87">
        <v>45.447200131427962</v>
      </c>
      <c r="C326" s="14">
        <v>4</v>
      </c>
      <c r="D326" s="86">
        <v>0.68242402126678792</v>
      </c>
      <c r="E326" s="86"/>
      <c r="F326" s="14"/>
    </row>
    <row r="327" spans="1:6" x14ac:dyDescent="0.25">
      <c r="A327" s="86">
        <v>326</v>
      </c>
      <c r="B327" s="87">
        <v>35.094035405898467</v>
      </c>
      <c r="C327" s="14">
        <v>2</v>
      </c>
      <c r="D327" s="86">
        <v>0.31643184753441711</v>
      </c>
      <c r="E327" s="86"/>
      <c r="F327" s="14"/>
    </row>
    <row r="328" spans="1:6" x14ac:dyDescent="0.25">
      <c r="A328" s="86">
        <v>327</v>
      </c>
      <c r="B328" s="87">
        <v>33.856531439931132</v>
      </c>
      <c r="C328" s="14">
        <v>2</v>
      </c>
      <c r="D328" s="86">
        <v>0.48697684679543685</v>
      </c>
      <c r="E328" s="86"/>
      <c r="F328" s="14"/>
    </row>
    <row r="329" spans="1:6" x14ac:dyDescent="0.25">
      <c r="A329" s="86">
        <v>328</v>
      </c>
      <c r="B329" s="87">
        <v>41.60931438888656</v>
      </c>
      <c r="C329" s="14">
        <v>1</v>
      </c>
      <c r="D329" s="86">
        <v>0.3040722145899788</v>
      </c>
      <c r="E329" s="86"/>
      <c r="F329" s="14"/>
    </row>
    <row r="330" spans="1:6" x14ac:dyDescent="0.25">
      <c r="A330" s="86">
        <v>329</v>
      </c>
      <c r="B330" s="87">
        <v>40.900653170290752</v>
      </c>
      <c r="C330" s="14">
        <v>2</v>
      </c>
      <c r="D330" s="86">
        <v>0.18694500607755327</v>
      </c>
      <c r="E330" s="86"/>
      <c r="F330" s="14"/>
    </row>
    <row r="331" spans="1:6" x14ac:dyDescent="0.25">
      <c r="A331" s="86">
        <v>330</v>
      </c>
      <c r="B331" s="87">
        <v>40.530358086805791</v>
      </c>
      <c r="C331" s="14">
        <v>2</v>
      </c>
      <c r="D331" s="86">
        <v>0.79643324455508457</v>
      </c>
      <c r="E331" s="86"/>
      <c r="F331" s="14"/>
    </row>
    <row r="332" spans="1:6" x14ac:dyDescent="0.25">
      <c r="A332" s="86">
        <v>331</v>
      </c>
      <c r="B332" s="87">
        <v>48.284061899146764</v>
      </c>
      <c r="C332" s="14">
        <v>3</v>
      </c>
      <c r="D332" s="86">
        <v>0.3570042200283845</v>
      </c>
      <c r="E332" s="86"/>
      <c r="F332" s="14"/>
    </row>
    <row r="333" spans="1:6" x14ac:dyDescent="0.25">
      <c r="A333" s="86">
        <v>332</v>
      </c>
      <c r="B333" s="87">
        <v>44.432476892659906</v>
      </c>
      <c r="C333" s="14">
        <v>2</v>
      </c>
      <c r="D333" s="86">
        <v>0.53051007280205442</v>
      </c>
      <c r="E333" s="86"/>
      <c r="F333" s="14"/>
    </row>
    <row r="334" spans="1:6" x14ac:dyDescent="0.25">
      <c r="A334" s="86">
        <v>333</v>
      </c>
      <c r="B334" s="87">
        <v>40.664303919009399</v>
      </c>
      <c r="C334" s="14">
        <v>2</v>
      </c>
      <c r="D334" s="86">
        <v>0.26781137786013698</v>
      </c>
      <c r="E334" s="86"/>
      <c r="F334" s="14"/>
    </row>
    <row r="335" spans="1:6" x14ac:dyDescent="0.25">
      <c r="A335" s="86">
        <v>334</v>
      </c>
      <c r="B335" s="87">
        <v>40.340574964255211</v>
      </c>
      <c r="C335" s="14">
        <v>1</v>
      </c>
      <c r="D335" s="86">
        <v>0.61476799973338514</v>
      </c>
      <c r="E335" s="86"/>
      <c r="F335" s="14"/>
    </row>
    <row r="336" spans="1:6" x14ac:dyDescent="0.25">
      <c r="A336" s="86">
        <v>335</v>
      </c>
      <c r="B336" s="87">
        <v>42.165561348490883</v>
      </c>
      <c r="C336" s="14">
        <v>4</v>
      </c>
      <c r="D336" s="86">
        <v>0.44807979165278056</v>
      </c>
      <c r="E336" s="86"/>
      <c r="F336" s="14"/>
    </row>
    <row r="337" spans="1:6" x14ac:dyDescent="0.25">
      <c r="A337" s="86">
        <v>336</v>
      </c>
      <c r="B337" s="87">
        <v>39.153064785175957</v>
      </c>
      <c r="C337" s="14">
        <v>4</v>
      </c>
      <c r="D337" s="86">
        <v>0.266071325377497</v>
      </c>
      <c r="E337" s="86"/>
      <c r="F337" s="14"/>
    </row>
    <row r="338" spans="1:6" x14ac:dyDescent="0.25">
      <c r="A338" s="86">
        <v>337</v>
      </c>
      <c r="B338" s="87">
        <v>43.904339003682253</v>
      </c>
      <c r="C338" s="14">
        <v>2</v>
      </c>
      <c r="D338" s="86">
        <v>0.53557105249556569</v>
      </c>
      <c r="E338" s="86"/>
      <c r="F338" s="14"/>
    </row>
    <row r="339" spans="1:6" x14ac:dyDescent="0.25">
      <c r="A339" s="86">
        <v>338</v>
      </c>
      <c r="B339" s="87">
        <v>53.409348760731518</v>
      </c>
      <c r="C339" s="14">
        <v>2</v>
      </c>
      <c r="D339" s="86">
        <v>0.59892202751731693</v>
      </c>
      <c r="E339" s="86"/>
      <c r="F339" s="14"/>
    </row>
    <row r="340" spans="1:6" x14ac:dyDescent="0.25">
      <c r="A340" s="86">
        <v>339</v>
      </c>
      <c r="B340" s="87">
        <v>35.555990502296481</v>
      </c>
      <c r="C340" s="14">
        <v>4</v>
      </c>
      <c r="D340" s="86">
        <v>0.39702340244061096</v>
      </c>
      <c r="E340" s="86"/>
      <c r="F340" s="14"/>
    </row>
    <row r="341" spans="1:6" x14ac:dyDescent="0.25">
      <c r="A341" s="86">
        <v>340</v>
      </c>
      <c r="B341" s="87">
        <v>39.667895629798295</v>
      </c>
      <c r="C341" s="14">
        <v>5</v>
      </c>
      <c r="D341" s="86">
        <v>0.35248289666590227</v>
      </c>
      <c r="E341" s="86"/>
      <c r="F341" s="14"/>
    </row>
    <row r="342" spans="1:6" x14ac:dyDescent="0.25">
      <c r="A342" s="86">
        <v>341</v>
      </c>
      <c r="B342" s="87">
        <v>45.448916802677559</v>
      </c>
      <c r="C342" s="14">
        <v>2</v>
      </c>
      <c r="D342" s="86">
        <v>0.12469648551510537</v>
      </c>
      <c r="E342" s="86"/>
      <c r="F342" s="14"/>
    </row>
    <row r="343" spans="1:6" x14ac:dyDescent="0.25">
      <c r="A343" s="86">
        <v>342</v>
      </c>
      <c r="B343" s="87">
        <v>51.047982191783376</v>
      </c>
      <c r="C343" s="14">
        <v>4</v>
      </c>
      <c r="D343" s="86">
        <v>0.79155553855059602</v>
      </c>
      <c r="E343" s="86"/>
      <c r="F343" s="14"/>
    </row>
    <row r="344" spans="1:6" x14ac:dyDescent="0.25">
      <c r="A344" s="86">
        <v>343</v>
      </c>
      <c r="B344" s="87">
        <v>41.629584752052324</v>
      </c>
      <c r="C344" s="14">
        <v>2</v>
      </c>
      <c r="D344" s="86">
        <v>0.65542913801118052</v>
      </c>
      <c r="E344" s="86"/>
      <c r="F344" s="14"/>
    </row>
    <row r="345" spans="1:6" x14ac:dyDescent="0.25">
      <c r="A345" s="86">
        <v>344</v>
      </c>
      <c r="B345" s="87">
        <v>37.844563389051473</v>
      </c>
      <c r="C345" s="14">
        <v>4</v>
      </c>
      <c r="D345" s="86">
        <v>0.54142596714630831</v>
      </c>
      <c r="E345" s="86"/>
      <c r="F345" s="14"/>
    </row>
    <row r="346" spans="1:6" x14ac:dyDescent="0.25">
      <c r="A346" s="86">
        <v>345</v>
      </c>
      <c r="B346" s="87">
        <v>47.316689228289761</v>
      </c>
      <c r="C346" s="14">
        <v>2</v>
      </c>
      <c r="D346" s="86">
        <v>3.5466792602184438E-2</v>
      </c>
      <c r="E346" s="86"/>
      <c r="F346" s="14"/>
    </row>
    <row r="347" spans="1:6" x14ac:dyDescent="0.25">
      <c r="A347" s="86">
        <v>346</v>
      </c>
      <c r="B347" s="87">
        <v>48.820390924782259</v>
      </c>
      <c r="C347" s="14">
        <v>1</v>
      </c>
      <c r="D347" s="86">
        <v>5.2699474941115709E-2</v>
      </c>
      <c r="E347" s="86"/>
      <c r="F347" s="14"/>
    </row>
    <row r="348" spans="1:6" x14ac:dyDescent="0.25">
      <c r="A348" s="86">
        <v>347</v>
      </c>
      <c r="B348" s="87">
        <v>43.674651801091386</v>
      </c>
      <c r="C348" s="14">
        <v>5</v>
      </c>
      <c r="D348" s="86">
        <v>0.65664040012135039</v>
      </c>
      <c r="E348" s="86"/>
      <c r="F348" s="14"/>
    </row>
    <row r="349" spans="1:6" x14ac:dyDescent="0.25">
      <c r="A349" s="86">
        <v>348</v>
      </c>
      <c r="B349" s="87">
        <v>41.127066191955237</v>
      </c>
      <c r="C349" s="14">
        <v>4</v>
      </c>
      <c r="D349" s="86">
        <v>0.94498130372690248</v>
      </c>
      <c r="E349" s="86"/>
      <c r="F349" s="14"/>
    </row>
    <row r="350" spans="1:6" x14ac:dyDescent="0.25">
      <c r="A350" s="86">
        <v>349</v>
      </c>
      <c r="B350" s="87">
        <v>42.558986019110307</v>
      </c>
      <c r="C350" s="14">
        <v>5</v>
      </c>
      <c r="D350" s="86">
        <v>0.37202025262020932</v>
      </c>
      <c r="E350" s="86"/>
      <c r="F350" s="14"/>
    </row>
    <row r="351" spans="1:6" x14ac:dyDescent="0.25">
      <c r="A351" s="86">
        <v>350</v>
      </c>
      <c r="B351" s="87">
        <v>36.863809777394636</v>
      </c>
      <c r="C351" s="14">
        <v>4</v>
      </c>
      <c r="D351" s="86">
        <v>8.4787601085409947E-2</v>
      </c>
      <c r="E351" s="86"/>
      <c r="F351" s="14"/>
    </row>
    <row r="352" spans="1:6" x14ac:dyDescent="0.25">
      <c r="A352" s="86">
        <v>351</v>
      </c>
      <c r="B352" s="87">
        <v>38.835128174803685</v>
      </c>
      <c r="C352" s="14">
        <v>5</v>
      </c>
      <c r="D352" s="86">
        <v>0.30952803489891834</v>
      </c>
      <c r="E352" s="86"/>
      <c r="F352" s="14"/>
    </row>
    <row r="353" spans="1:6" x14ac:dyDescent="0.25">
      <c r="A353" s="86">
        <v>352</v>
      </c>
      <c r="B353" s="87">
        <v>42.503666003874969</v>
      </c>
      <c r="C353" s="14">
        <v>4</v>
      </c>
      <c r="D353" s="86">
        <v>0.92943397686011409</v>
      </c>
      <c r="E353" s="86"/>
      <c r="F353" s="14"/>
    </row>
    <row r="354" spans="1:6" x14ac:dyDescent="0.25">
      <c r="A354" s="86">
        <v>353</v>
      </c>
      <c r="B354" s="87">
        <v>45.963651013487834</v>
      </c>
      <c r="C354" s="14">
        <v>2</v>
      </c>
      <c r="D354" s="86">
        <v>0.21529032536714277</v>
      </c>
      <c r="E354" s="86"/>
      <c r="F354" s="14"/>
    </row>
    <row r="355" spans="1:6" x14ac:dyDescent="0.25">
      <c r="A355" s="86">
        <v>354</v>
      </c>
      <c r="B355" s="87">
        <v>41.62719732846017</v>
      </c>
      <c r="C355" s="14">
        <v>2</v>
      </c>
      <c r="D355" s="86">
        <v>0.37087216564401693</v>
      </c>
      <c r="E355" s="86"/>
      <c r="F355" s="14"/>
    </row>
    <row r="356" spans="1:6" x14ac:dyDescent="0.25">
      <c r="A356" s="86">
        <v>355</v>
      </c>
      <c r="B356" s="87">
        <v>47.416949650476454</v>
      </c>
      <c r="C356" s="14">
        <v>2</v>
      </c>
      <c r="D356" s="86">
        <v>0.52946187668260203</v>
      </c>
      <c r="E356" s="86"/>
      <c r="F356" s="14"/>
    </row>
    <row r="357" spans="1:6" x14ac:dyDescent="0.25">
      <c r="A357" s="86">
        <v>356</v>
      </c>
      <c r="B357" s="87">
        <v>41.573497350662365</v>
      </c>
      <c r="C357" s="14">
        <v>5</v>
      </c>
      <c r="D357" s="86">
        <v>0.40656573115648076</v>
      </c>
      <c r="E357" s="86"/>
      <c r="F357" s="14"/>
    </row>
    <row r="358" spans="1:6" x14ac:dyDescent="0.25">
      <c r="A358" s="86">
        <v>357</v>
      </c>
      <c r="B358" s="87">
        <v>40.675820395670598</v>
      </c>
      <c r="C358" s="14">
        <v>2</v>
      </c>
      <c r="D358" s="86">
        <v>0.9798570816409502</v>
      </c>
      <c r="E358" s="86"/>
      <c r="F358" s="14"/>
    </row>
    <row r="359" spans="1:6" x14ac:dyDescent="0.25">
      <c r="A359" s="86">
        <v>358</v>
      </c>
      <c r="B359" s="87">
        <v>43.409914946430945</v>
      </c>
      <c r="C359" s="14">
        <v>2</v>
      </c>
      <c r="D359" s="86">
        <v>0.66017372264144936</v>
      </c>
      <c r="E359" s="86"/>
      <c r="F359" s="14"/>
    </row>
    <row r="360" spans="1:6" x14ac:dyDescent="0.25">
      <c r="A360" s="86">
        <v>359</v>
      </c>
      <c r="B360" s="87">
        <v>41.344856066978537</v>
      </c>
      <c r="C360" s="14">
        <v>4</v>
      </c>
      <c r="D360" s="86">
        <v>0.74103623005180463</v>
      </c>
      <c r="E360" s="86"/>
      <c r="F360" s="14"/>
    </row>
    <row r="361" spans="1:6" x14ac:dyDescent="0.25">
      <c r="A361" s="86">
        <v>360</v>
      </c>
      <c r="B361" s="87">
        <v>41.960009861548315</v>
      </c>
      <c r="C361" s="14">
        <v>2</v>
      </c>
      <c r="D361" s="86">
        <v>8.7843155397880679E-2</v>
      </c>
      <c r="E361" s="86"/>
      <c r="F361" s="14"/>
    </row>
    <row r="362" spans="1:6" x14ac:dyDescent="0.25">
      <c r="A362" s="86">
        <v>361</v>
      </c>
      <c r="B362" s="87">
        <v>38.043538092431845</v>
      </c>
      <c r="C362" s="14">
        <v>1</v>
      </c>
      <c r="D362" s="86">
        <v>0.53768727255962045</v>
      </c>
      <c r="E362" s="86"/>
      <c r="F362" s="14"/>
    </row>
    <row r="363" spans="1:6" x14ac:dyDescent="0.25">
      <c r="A363" s="86">
        <v>362</v>
      </c>
      <c r="B363" s="87">
        <v>35.918401403585449</v>
      </c>
      <c r="C363" s="14">
        <v>4</v>
      </c>
      <c r="D363" s="86">
        <v>0.13813875366671846</v>
      </c>
      <c r="E363" s="86"/>
      <c r="F363" s="14"/>
    </row>
    <row r="364" spans="1:6" x14ac:dyDescent="0.25">
      <c r="A364" s="86">
        <v>363</v>
      </c>
      <c r="B364" s="87">
        <v>53.04982550512068</v>
      </c>
      <c r="C364" s="14">
        <v>2</v>
      </c>
      <c r="D364" s="86">
        <v>0.45027245124193072</v>
      </c>
      <c r="E364" s="86"/>
      <c r="F364" s="14"/>
    </row>
    <row r="365" spans="1:6" x14ac:dyDescent="0.25">
      <c r="A365" s="86">
        <v>364</v>
      </c>
      <c r="B365" s="87">
        <v>43.544019940207363</v>
      </c>
      <c r="C365" s="14">
        <v>4</v>
      </c>
      <c r="D365" s="86">
        <v>0.85592328060594425</v>
      </c>
      <c r="E365" s="86"/>
      <c r="F365" s="14"/>
    </row>
    <row r="366" spans="1:6" x14ac:dyDescent="0.25">
      <c r="A366" s="86">
        <v>365</v>
      </c>
      <c r="B366" s="87">
        <v>49.258221674215747</v>
      </c>
      <c r="C366" s="14">
        <v>3</v>
      </c>
      <c r="D366" s="86">
        <v>0.52748037188393326</v>
      </c>
      <c r="E366" s="86"/>
      <c r="F366" s="14"/>
    </row>
    <row r="367" spans="1:6" x14ac:dyDescent="0.25">
      <c r="A367" s="86">
        <v>366</v>
      </c>
      <c r="B367" s="87">
        <v>45.321201009181095</v>
      </c>
      <c r="C367" s="14">
        <v>2</v>
      </c>
      <c r="D367" s="86">
        <v>0.86992234030104643</v>
      </c>
      <c r="E367" s="86"/>
      <c r="F367" s="14"/>
    </row>
    <row r="368" spans="1:6" x14ac:dyDescent="0.25">
      <c r="A368" s="86">
        <v>367</v>
      </c>
      <c r="B368" s="87">
        <v>41.293861835918506</v>
      </c>
      <c r="C368" s="14">
        <v>4</v>
      </c>
      <c r="D368" s="86">
        <v>0.66881616942133004</v>
      </c>
      <c r="E368" s="86"/>
      <c r="F368" s="14"/>
    </row>
    <row r="369" spans="1:6" x14ac:dyDescent="0.25">
      <c r="A369" s="86">
        <v>368</v>
      </c>
      <c r="B369" s="87">
        <v>32.780098985647783</v>
      </c>
      <c r="C369" s="14">
        <v>5</v>
      </c>
      <c r="D369" s="86">
        <v>0.38803172269501818</v>
      </c>
      <c r="E369" s="86"/>
      <c r="F369" s="14"/>
    </row>
    <row r="370" spans="1:6" x14ac:dyDescent="0.25">
      <c r="A370" s="86">
        <v>369</v>
      </c>
      <c r="B370" s="87">
        <v>49.259892870730255</v>
      </c>
      <c r="C370" s="14">
        <v>4</v>
      </c>
      <c r="D370" s="86">
        <v>0.54819761750131857</v>
      </c>
      <c r="E370" s="86"/>
      <c r="F370" s="14"/>
    </row>
    <row r="371" spans="1:6" x14ac:dyDescent="0.25">
      <c r="A371" s="86">
        <v>370</v>
      </c>
      <c r="B371" s="87">
        <v>40.378392890823307</v>
      </c>
      <c r="C371" s="14">
        <v>4</v>
      </c>
      <c r="D371" s="86">
        <v>0.93069459784272446</v>
      </c>
      <c r="E371" s="86"/>
      <c r="F371" s="14"/>
    </row>
    <row r="372" spans="1:6" x14ac:dyDescent="0.25">
      <c r="A372" s="86">
        <v>371</v>
      </c>
      <c r="B372" s="87">
        <v>49.141885933175217</v>
      </c>
      <c r="C372" s="14">
        <v>3</v>
      </c>
      <c r="D372" s="86">
        <v>0.4188757347814881</v>
      </c>
      <c r="E372" s="86"/>
      <c r="F372" s="14"/>
    </row>
    <row r="373" spans="1:6" x14ac:dyDescent="0.25">
      <c r="A373" s="86">
        <v>372</v>
      </c>
      <c r="B373" s="87">
        <v>43.377303877030499</v>
      </c>
      <c r="C373" s="14">
        <v>1</v>
      </c>
      <c r="D373" s="86">
        <v>8.2833581950094493E-2</v>
      </c>
      <c r="E373" s="86"/>
      <c r="F373" s="14"/>
    </row>
    <row r="374" spans="1:6" x14ac:dyDescent="0.25">
      <c r="A374" s="86">
        <v>373</v>
      </c>
      <c r="B374" s="87">
        <v>41.602953610316035</v>
      </c>
      <c r="C374" s="14">
        <v>4</v>
      </c>
      <c r="D374" s="86">
        <v>0.96565948206697994</v>
      </c>
      <c r="E374" s="86"/>
      <c r="F374" s="14"/>
    </row>
    <row r="375" spans="1:6" x14ac:dyDescent="0.25">
      <c r="A375" s="86">
        <v>374</v>
      </c>
      <c r="B375" s="87">
        <v>50.739481588941999</v>
      </c>
      <c r="C375" s="14">
        <v>5</v>
      </c>
      <c r="D375" s="86">
        <v>6.1156579096730113E-2</v>
      </c>
      <c r="E375" s="86"/>
      <c r="F375" s="14"/>
    </row>
    <row r="376" spans="1:6" x14ac:dyDescent="0.25">
      <c r="A376" s="86">
        <v>375</v>
      </c>
      <c r="B376" s="87">
        <v>30.451701599638909</v>
      </c>
      <c r="C376" s="14">
        <v>2</v>
      </c>
      <c r="D376" s="86">
        <v>0.92015782223378506</v>
      </c>
      <c r="E376" s="86"/>
      <c r="F376" s="14"/>
    </row>
    <row r="377" spans="1:6" x14ac:dyDescent="0.25">
      <c r="A377" s="86">
        <v>376</v>
      </c>
      <c r="B377" s="87">
        <v>48.373146905185422</v>
      </c>
      <c r="C377" s="14">
        <v>4</v>
      </c>
      <c r="D377" s="86">
        <v>0.62216313722545846</v>
      </c>
      <c r="E377" s="86"/>
      <c r="F377" s="14"/>
    </row>
    <row r="378" spans="1:6" x14ac:dyDescent="0.25">
      <c r="A378" s="86">
        <v>377</v>
      </c>
      <c r="B378" s="87">
        <v>34.800268617225811</v>
      </c>
      <c r="C378" s="14">
        <v>2</v>
      </c>
      <c r="D378" s="86">
        <v>0.63259313719521526</v>
      </c>
      <c r="E378" s="86"/>
      <c r="F378" s="14"/>
    </row>
    <row r="379" spans="1:6" x14ac:dyDescent="0.25">
      <c r="A379" s="86">
        <v>378</v>
      </c>
      <c r="B379" s="87">
        <v>56.614771887660027</v>
      </c>
      <c r="C379" s="14">
        <v>2</v>
      </c>
      <c r="D379" s="86">
        <v>0.73626733750251105</v>
      </c>
      <c r="E379" s="86"/>
      <c r="F379" s="14"/>
    </row>
    <row r="380" spans="1:6" x14ac:dyDescent="0.25">
      <c r="A380" s="86">
        <v>379</v>
      </c>
      <c r="B380" s="87">
        <v>46.863408437609905</v>
      </c>
      <c r="C380" s="14">
        <v>1</v>
      </c>
      <c r="D380" s="86">
        <v>0.25630164949010992</v>
      </c>
      <c r="E380" s="86"/>
      <c r="F380" s="14"/>
    </row>
    <row r="381" spans="1:6" x14ac:dyDescent="0.25">
      <c r="A381" s="86">
        <v>380</v>
      </c>
      <c r="B381" s="87">
        <v>43.033469405025244</v>
      </c>
      <c r="C381" s="14">
        <v>4</v>
      </c>
      <c r="D381" s="86">
        <v>0.8820573083724762</v>
      </c>
      <c r="E381" s="86"/>
      <c r="F381" s="14"/>
    </row>
    <row r="382" spans="1:6" x14ac:dyDescent="0.25">
      <c r="A382" s="86">
        <v>381</v>
      </c>
      <c r="B382" s="87">
        <v>47.208322934573516</v>
      </c>
      <c r="C382" s="14">
        <v>4</v>
      </c>
      <c r="D382" s="86">
        <v>0.64817768618932781</v>
      </c>
      <c r="E382" s="86"/>
      <c r="F382" s="14"/>
    </row>
    <row r="383" spans="1:6" x14ac:dyDescent="0.25">
      <c r="A383" s="86">
        <v>382</v>
      </c>
      <c r="B383" s="87">
        <v>51.989059097075369</v>
      </c>
      <c r="C383" s="14">
        <v>4</v>
      </c>
      <c r="D383" s="86">
        <v>0.53325217831133753</v>
      </c>
      <c r="E383" s="86"/>
      <c r="F383" s="14"/>
    </row>
    <row r="384" spans="1:6" x14ac:dyDescent="0.25">
      <c r="A384" s="86">
        <v>383</v>
      </c>
      <c r="B384" s="87">
        <v>42.40284851618344</v>
      </c>
      <c r="C384" s="14">
        <v>2</v>
      </c>
      <c r="D384" s="86">
        <v>0.62621508879055632</v>
      </c>
      <c r="E384" s="86"/>
      <c r="F384" s="14"/>
    </row>
    <row r="385" spans="1:6" x14ac:dyDescent="0.25">
      <c r="A385" s="86">
        <v>384</v>
      </c>
      <c r="B385" s="87">
        <v>36.653750607336406</v>
      </c>
      <c r="C385" s="14">
        <v>4</v>
      </c>
      <c r="D385" s="86">
        <v>0.85725949942180912</v>
      </c>
      <c r="E385" s="86"/>
      <c r="F385" s="14"/>
    </row>
    <row r="386" spans="1:6" x14ac:dyDescent="0.25">
      <c r="A386" s="86">
        <v>385</v>
      </c>
      <c r="B386" s="87">
        <v>37.556822002778063</v>
      </c>
      <c r="C386" s="14">
        <v>2</v>
      </c>
      <c r="D386" s="86">
        <v>0.76504401404898226</v>
      </c>
      <c r="E386" s="86"/>
      <c r="F386" s="14"/>
    </row>
    <row r="387" spans="1:6" x14ac:dyDescent="0.25">
      <c r="A387" s="86">
        <v>386</v>
      </c>
      <c r="B387" s="87">
        <v>44.01303498922789</v>
      </c>
      <c r="C387" s="14">
        <v>2</v>
      </c>
      <c r="D387" s="86">
        <v>0.36192772484867231</v>
      </c>
      <c r="E387" s="86"/>
      <c r="F387" s="14"/>
    </row>
    <row r="388" spans="1:6" x14ac:dyDescent="0.25">
      <c r="A388" s="86">
        <v>387</v>
      </c>
      <c r="B388" s="87">
        <v>44.109663116949378</v>
      </c>
      <c r="C388" s="14">
        <v>3</v>
      </c>
      <c r="D388" s="86">
        <v>0.87913035614979185</v>
      </c>
      <c r="E388" s="86"/>
      <c r="F388" s="14"/>
    </row>
    <row r="389" spans="1:6" x14ac:dyDescent="0.25">
      <c r="A389" s="86">
        <v>388</v>
      </c>
      <c r="B389" s="87">
        <v>36.919470853143139</v>
      </c>
      <c r="C389" s="14">
        <v>5</v>
      </c>
      <c r="D389" s="86">
        <v>2.9477014731237206E-2</v>
      </c>
      <c r="E389" s="86"/>
      <c r="F389" s="14"/>
    </row>
    <row r="390" spans="1:6" x14ac:dyDescent="0.25">
      <c r="A390" s="86">
        <v>389</v>
      </c>
      <c r="B390" s="87">
        <v>46.437435225350782</v>
      </c>
      <c r="C390" s="14">
        <v>3</v>
      </c>
      <c r="D390" s="86">
        <v>1.4439022846199023E-2</v>
      </c>
      <c r="E390" s="86"/>
      <c r="F390" s="14"/>
    </row>
    <row r="391" spans="1:6" x14ac:dyDescent="0.25">
      <c r="A391" s="86">
        <v>390</v>
      </c>
      <c r="B391" s="87">
        <v>37.095173860841896</v>
      </c>
      <c r="C391" s="14">
        <v>3</v>
      </c>
      <c r="D391" s="86">
        <v>0.8309778753404673</v>
      </c>
      <c r="E391" s="86"/>
      <c r="F391" s="14"/>
    </row>
    <row r="392" spans="1:6" x14ac:dyDescent="0.25">
      <c r="A392" s="86">
        <v>391</v>
      </c>
      <c r="B392" s="87">
        <v>48.104936917632585</v>
      </c>
      <c r="C392" s="14">
        <v>4</v>
      </c>
      <c r="D392" s="86">
        <v>0.21366892440294216</v>
      </c>
      <c r="E392" s="86"/>
      <c r="F392" s="14"/>
    </row>
    <row r="393" spans="1:6" x14ac:dyDescent="0.25">
      <c r="A393" s="86">
        <v>392</v>
      </c>
      <c r="B393" s="87">
        <v>44.452815467928303</v>
      </c>
      <c r="C393" s="14">
        <v>4</v>
      </c>
      <c r="D393" s="86">
        <v>0.13351886103860944</v>
      </c>
      <c r="E393" s="86"/>
      <c r="F393" s="14"/>
    </row>
    <row r="394" spans="1:6" x14ac:dyDescent="0.25">
      <c r="A394" s="86">
        <v>393</v>
      </c>
      <c r="B394" s="87">
        <v>45.797480647132033</v>
      </c>
      <c r="C394" s="14">
        <v>4</v>
      </c>
      <c r="D394" s="86">
        <v>0.2457428421029787</v>
      </c>
      <c r="E394" s="86"/>
      <c r="F394" s="14"/>
    </row>
    <row r="395" spans="1:6" x14ac:dyDescent="0.25">
      <c r="A395" s="86">
        <v>394</v>
      </c>
      <c r="B395" s="87">
        <v>51.407801033172291</v>
      </c>
      <c r="C395" s="14">
        <v>2</v>
      </c>
      <c r="D395" s="86">
        <v>0.17529855672297656</v>
      </c>
      <c r="E395" s="86"/>
      <c r="F395" s="14"/>
    </row>
    <row r="396" spans="1:6" x14ac:dyDescent="0.25">
      <c r="A396" s="86">
        <v>395</v>
      </c>
      <c r="B396" s="87">
        <v>49.550067155330908</v>
      </c>
      <c r="C396" s="14">
        <v>5</v>
      </c>
      <c r="D396" s="86">
        <v>0.57546486861128143</v>
      </c>
      <c r="E396" s="86"/>
      <c r="F396" s="14"/>
    </row>
    <row r="397" spans="1:6" x14ac:dyDescent="0.25">
      <c r="A397" s="86">
        <v>396</v>
      </c>
      <c r="B397" s="87">
        <v>45.351487182750134</v>
      </c>
      <c r="C397" s="14">
        <v>2</v>
      </c>
      <c r="D397" s="86">
        <v>0.3196037354397524</v>
      </c>
      <c r="E397" s="86"/>
      <c r="F397" s="14"/>
    </row>
    <row r="398" spans="1:6" x14ac:dyDescent="0.25">
      <c r="A398" s="86">
        <v>397</v>
      </c>
      <c r="B398" s="87">
        <v>54.74739736597985</v>
      </c>
      <c r="C398" s="14">
        <v>3</v>
      </c>
      <c r="D398" s="86">
        <v>0.94698639862446554</v>
      </c>
      <c r="E398" s="86"/>
      <c r="F398" s="14"/>
    </row>
    <row r="399" spans="1:6" x14ac:dyDescent="0.25">
      <c r="A399" s="86">
        <v>398</v>
      </c>
      <c r="B399" s="87">
        <v>35.536231729900464</v>
      </c>
      <c r="C399" s="14">
        <v>4</v>
      </c>
      <c r="D399" s="86">
        <v>0.39923846745899116</v>
      </c>
      <c r="E399" s="86"/>
      <c r="F399" s="14"/>
    </row>
    <row r="400" spans="1:6" x14ac:dyDescent="0.25">
      <c r="A400" s="86">
        <v>399</v>
      </c>
      <c r="B400" s="87">
        <v>43.746911155147245</v>
      </c>
      <c r="C400" s="14">
        <v>4</v>
      </c>
      <c r="D400" s="86">
        <v>0.41155912851244114</v>
      </c>
      <c r="E400" s="86"/>
      <c r="F400" s="14"/>
    </row>
    <row r="401" spans="1:6" x14ac:dyDescent="0.25">
      <c r="A401" s="86">
        <v>400</v>
      </c>
      <c r="B401" s="87">
        <v>38.612915881793015</v>
      </c>
      <c r="C401" s="14">
        <v>1</v>
      </c>
      <c r="D401" s="86">
        <v>0.43454819614411366</v>
      </c>
      <c r="E401" s="86"/>
      <c r="F401" s="14"/>
    </row>
    <row r="402" spans="1:6" x14ac:dyDescent="0.25">
      <c r="A402" s="86">
        <v>401</v>
      </c>
      <c r="B402" s="87">
        <v>45.013598532357719</v>
      </c>
      <c r="C402" s="14">
        <v>5</v>
      </c>
      <c r="D402" s="86">
        <v>0.95439281352793093</v>
      </c>
      <c r="E402" s="86"/>
      <c r="F402" s="14"/>
    </row>
    <row r="403" spans="1:6" x14ac:dyDescent="0.25">
      <c r="A403" s="86">
        <v>402</v>
      </c>
      <c r="B403" s="87">
        <v>45.006129307119409</v>
      </c>
      <c r="C403" s="14">
        <v>2</v>
      </c>
      <c r="D403" s="86">
        <v>0.76513812669843217</v>
      </c>
      <c r="E403" s="86"/>
      <c r="F403" s="14"/>
    </row>
    <row r="404" spans="1:6" x14ac:dyDescent="0.25">
      <c r="A404" s="86">
        <v>403</v>
      </c>
      <c r="B404" s="87">
        <v>43.507480990563636</v>
      </c>
      <c r="C404" s="14">
        <v>3</v>
      </c>
      <c r="D404" s="86">
        <v>0.54624609584055706</v>
      </c>
      <c r="E404" s="86"/>
      <c r="F404" s="14"/>
    </row>
    <row r="405" spans="1:6" x14ac:dyDescent="0.25">
      <c r="A405" s="86">
        <v>404</v>
      </c>
      <c r="B405" s="87">
        <v>43.064449068304384</v>
      </c>
      <c r="C405" s="14">
        <v>4</v>
      </c>
      <c r="D405" s="86">
        <v>0.92760039438763875</v>
      </c>
      <c r="E405" s="86"/>
      <c r="F405" s="14"/>
    </row>
    <row r="406" spans="1:6" x14ac:dyDescent="0.25">
      <c r="A406" s="86">
        <v>405</v>
      </c>
      <c r="B406" s="87">
        <v>42.428268893097993</v>
      </c>
      <c r="C406" s="14">
        <v>4</v>
      </c>
      <c r="D406" s="86">
        <v>0.34256616786464655</v>
      </c>
      <c r="E406" s="86"/>
      <c r="F406" s="14"/>
    </row>
    <row r="407" spans="1:6" x14ac:dyDescent="0.25">
      <c r="A407" s="86">
        <v>406</v>
      </c>
      <c r="B407" s="87">
        <v>42.744960632597213</v>
      </c>
      <c r="C407" s="14">
        <v>2</v>
      </c>
      <c r="D407" s="86">
        <v>0.86831549390343432</v>
      </c>
      <c r="E407" s="86"/>
      <c r="F407" s="14"/>
    </row>
    <row r="408" spans="1:6" x14ac:dyDescent="0.25">
      <c r="A408" s="86">
        <v>407</v>
      </c>
      <c r="B408" s="87">
        <v>35.735365594853647</v>
      </c>
      <c r="C408" s="14">
        <v>5</v>
      </c>
      <c r="D408" s="86">
        <v>0.98355323317776033</v>
      </c>
      <c r="E408" s="86"/>
      <c r="F408" s="14"/>
    </row>
    <row r="409" spans="1:6" x14ac:dyDescent="0.25">
      <c r="A409" s="86">
        <v>408</v>
      </c>
      <c r="B409" s="87">
        <v>50.022651971055893</v>
      </c>
      <c r="C409" s="14">
        <v>2</v>
      </c>
      <c r="D409" s="86">
        <v>0.86059566816875488</v>
      </c>
      <c r="E409" s="86"/>
      <c r="F409" s="14"/>
    </row>
    <row r="410" spans="1:6" x14ac:dyDescent="0.25">
      <c r="A410" s="86">
        <v>409</v>
      </c>
      <c r="B410" s="87">
        <v>36.452638591406867</v>
      </c>
      <c r="C410" s="14">
        <v>2</v>
      </c>
      <c r="D410" s="86">
        <v>0.13073119988917714</v>
      </c>
      <c r="E410" s="86"/>
      <c r="F410" s="14"/>
    </row>
    <row r="411" spans="1:6" x14ac:dyDescent="0.25">
      <c r="A411" s="86">
        <v>410</v>
      </c>
      <c r="B411" s="87">
        <v>37.395579960837495</v>
      </c>
      <c r="C411" s="14">
        <v>4</v>
      </c>
      <c r="D411" s="86">
        <v>0.17124810108511923</v>
      </c>
      <c r="E411" s="86"/>
      <c r="F411" s="14"/>
    </row>
    <row r="412" spans="1:6" x14ac:dyDescent="0.25">
      <c r="A412" s="86">
        <v>411</v>
      </c>
      <c r="B412" s="87">
        <v>45.798822151817149</v>
      </c>
      <c r="C412" s="14">
        <v>4</v>
      </c>
      <c r="D412" s="86">
        <v>0.61501092708902438</v>
      </c>
      <c r="E412" s="86"/>
      <c r="F412" s="14"/>
    </row>
    <row r="413" spans="1:6" x14ac:dyDescent="0.25">
      <c r="A413" s="86">
        <v>412</v>
      </c>
      <c r="B413" s="87">
        <v>40.069568280494423</v>
      </c>
      <c r="C413" s="14">
        <v>4</v>
      </c>
      <c r="D413" s="86">
        <v>4.8071817173859888E-2</v>
      </c>
      <c r="E413" s="86"/>
      <c r="F413" s="14"/>
    </row>
    <row r="414" spans="1:6" x14ac:dyDescent="0.25">
      <c r="A414" s="86">
        <v>413</v>
      </c>
      <c r="B414" s="87">
        <v>32.739626471418887</v>
      </c>
      <c r="C414" s="14">
        <v>4</v>
      </c>
      <c r="D414" s="86">
        <v>0.1589963952111334</v>
      </c>
      <c r="E414" s="86"/>
      <c r="F414" s="14"/>
    </row>
    <row r="415" spans="1:6" x14ac:dyDescent="0.25">
      <c r="A415" s="86">
        <v>414</v>
      </c>
      <c r="B415" s="87">
        <v>48.410777248471277</v>
      </c>
      <c r="C415" s="14">
        <v>2</v>
      </c>
      <c r="D415" s="86">
        <v>0.56578824395580141</v>
      </c>
      <c r="E415" s="86"/>
      <c r="F415" s="14"/>
    </row>
    <row r="416" spans="1:6" x14ac:dyDescent="0.25">
      <c r="A416" s="86">
        <v>415</v>
      </c>
      <c r="B416" s="87">
        <v>42.790526317156036</v>
      </c>
      <c r="C416" s="14">
        <v>4</v>
      </c>
      <c r="D416" s="86">
        <v>0.53653641508193972</v>
      </c>
      <c r="E416" s="86"/>
      <c r="F416" s="14"/>
    </row>
    <row r="417" spans="1:6" x14ac:dyDescent="0.25">
      <c r="A417" s="86">
        <v>416</v>
      </c>
      <c r="B417" s="87">
        <v>45.297372247994645</v>
      </c>
      <c r="C417" s="14">
        <v>2</v>
      </c>
      <c r="D417" s="86">
        <v>0.20620790092108976</v>
      </c>
      <c r="E417" s="86"/>
      <c r="F417" s="14"/>
    </row>
    <row r="418" spans="1:6" x14ac:dyDescent="0.25">
      <c r="A418" s="86">
        <v>417</v>
      </c>
      <c r="B418" s="87">
        <v>50.286666914296802</v>
      </c>
      <c r="C418" s="14">
        <v>5</v>
      </c>
      <c r="D418" s="86">
        <v>0.90106215512021737</v>
      </c>
      <c r="E418" s="86"/>
      <c r="F418" s="14"/>
    </row>
    <row r="419" spans="1:6" x14ac:dyDescent="0.25">
      <c r="A419" s="86">
        <v>418</v>
      </c>
      <c r="B419" s="87">
        <v>37.220081589446636</v>
      </c>
      <c r="C419" s="14">
        <v>1</v>
      </c>
      <c r="D419" s="86">
        <v>0.16044560304743827</v>
      </c>
      <c r="E419" s="86"/>
      <c r="F419" s="14"/>
    </row>
    <row r="420" spans="1:6" x14ac:dyDescent="0.25">
      <c r="A420" s="86">
        <v>419</v>
      </c>
      <c r="B420" s="87">
        <v>48.473725650517736</v>
      </c>
      <c r="C420" s="14">
        <v>4</v>
      </c>
      <c r="D420" s="86">
        <v>9.8521698125859536E-2</v>
      </c>
      <c r="E420" s="86"/>
      <c r="F420" s="14"/>
    </row>
    <row r="421" spans="1:6" x14ac:dyDescent="0.25">
      <c r="A421" s="86">
        <v>420</v>
      </c>
      <c r="B421" s="87">
        <v>44.869648258434609</v>
      </c>
      <c r="C421" s="14">
        <v>5</v>
      </c>
      <c r="D421" s="86">
        <v>0.64851897963529415</v>
      </c>
      <c r="E421" s="86"/>
      <c r="F421" s="14"/>
    </row>
    <row r="422" spans="1:6" x14ac:dyDescent="0.25">
      <c r="A422" s="86">
        <v>421</v>
      </c>
      <c r="B422" s="87">
        <v>47.947719389747363</v>
      </c>
      <c r="C422" s="14">
        <v>4</v>
      </c>
      <c r="D422" s="86">
        <v>0.32508713080654039</v>
      </c>
      <c r="E422" s="86"/>
      <c r="F422" s="14"/>
    </row>
    <row r="423" spans="1:6" x14ac:dyDescent="0.25">
      <c r="A423" s="86">
        <v>422</v>
      </c>
      <c r="B423" s="87">
        <v>43.1245155090146</v>
      </c>
      <c r="C423" s="14">
        <v>4</v>
      </c>
      <c r="D423" s="86">
        <v>0.68330740999034922</v>
      </c>
      <c r="E423" s="86"/>
      <c r="F423" s="14"/>
    </row>
    <row r="424" spans="1:6" x14ac:dyDescent="0.25">
      <c r="A424" s="86">
        <v>423</v>
      </c>
      <c r="B424" s="87">
        <v>44.634145974094281</v>
      </c>
      <c r="C424" s="14">
        <v>5</v>
      </c>
      <c r="D424" s="86">
        <v>7.2024602693733675E-2</v>
      </c>
      <c r="E424" s="86"/>
      <c r="F424" s="14"/>
    </row>
    <row r="425" spans="1:6" x14ac:dyDescent="0.25">
      <c r="A425" s="86">
        <v>424</v>
      </c>
      <c r="B425" s="87">
        <v>46.089991196247865</v>
      </c>
      <c r="C425" s="14">
        <v>2</v>
      </c>
      <c r="D425" s="86">
        <v>0.26672167145283754</v>
      </c>
      <c r="E425" s="86"/>
      <c r="F425" s="14"/>
    </row>
    <row r="426" spans="1:6" x14ac:dyDescent="0.25">
      <c r="A426" s="86">
        <v>425</v>
      </c>
      <c r="B426" s="87">
        <v>54.209795047761872</v>
      </c>
      <c r="C426" s="14">
        <v>1</v>
      </c>
      <c r="D426" s="86">
        <v>0.29406863835745245</v>
      </c>
      <c r="E426" s="86"/>
      <c r="F426" s="14"/>
    </row>
    <row r="427" spans="1:6" x14ac:dyDescent="0.25">
      <c r="A427" s="86">
        <v>426</v>
      </c>
      <c r="B427" s="87">
        <v>38.749010395229561</v>
      </c>
      <c r="C427" s="14">
        <v>2</v>
      </c>
      <c r="D427" s="86">
        <v>0.41113392891770162</v>
      </c>
      <c r="E427" s="86"/>
      <c r="F427" s="14"/>
    </row>
    <row r="428" spans="1:6" x14ac:dyDescent="0.25">
      <c r="A428" s="86">
        <v>427</v>
      </c>
      <c r="B428" s="87">
        <v>36.679341514507541</v>
      </c>
      <c r="C428" s="14">
        <v>5</v>
      </c>
      <c r="D428" s="86">
        <v>0.61256027167156901</v>
      </c>
      <c r="E428" s="86"/>
      <c r="F428" s="14"/>
    </row>
    <row r="429" spans="1:6" x14ac:dyDescent="0.25">
      <c r="A429" s="86">
        <v>428</v>
      </c>
      <c r="B429" s="87">
        <v>48.737592800869606</v>
      </c>
      <c r="C429" s="14">
        <v>5</v>
      </c>
      <c r="D429" s="86">
        <v>0.23175828303829271</v>
      </c>
      <c r="E429" s="86"/>
      <c r="F429" s="14"/>
    </row>
    <row r="430" spans="1:6" x14ac:dyDescent="0.25">
      <c r="A430" s="86">
        <v>429</v>
      </c>
      <c r="B430" s="87">
        <v>40.541158336389344</v>
      </c>
      <c r="C430" s="14">
        <v>4</v>
      </c>
      <c r="D430" s="86">
        <v>0.71833596124222987</v>
      </c>
      <c r="E430" s="86"/>
      <c r="F430" s="14"/>
    </row>
    <row r="431" spans="1:6" x14ac:dyDescent="0.25">
      <c r="A431" s="86">
        <v>430</v>
      </c>
      <c r="B431" s="87">
        <v>44.323616061199573</v>
      </c>
      <c r="C431" s="14">
        <v>5</v>
      </c>
      <c r="D431" s="86">
        <v>0.94680251772176272</v>
      </c>
      <c r="E431" s="86"/>
      <c r="F431" s="14"/>
    </row>
    <row r="432" spans="1:6" x14ac:dyDescent="0.25">
      <c r="A432" s="86">
        <v>431</v>
      </c>
      <c r="B432" s="87">
        <v>48.028243776905583</v>
      </c>
      <c r="C432" s="14">
        <v>2</v>
      </c>
      <c r="D432" s="86">
        <v>0.92232190097514266</v>
      </c>
      <c r="E432" s="86"/>
      <c r="F432" s="14"/>
    </row>
    <row r="433" spans="1:6" x14ac:dyDescent="0.25">
      <c r="A433" s="86">
        <v>432</v>
      </c>
      <c r="B433" s="87">
        <v>42.860182242628071</v>
      </c>
      <c r="C433" s="14">
        <v>2</v>
      </c>
      <c r="D433" s="86">
        <v>0.61374295237030851</v>
      </c>
      <c r="E433" s="86"/>
      <c r="F433" s="14"/>
    </row>
    <row r="434" spans="1:6" x14ac:dyDescent="0.25">
      <c r="A434" s="86">
        <v>433</v>
      </c>
      <c r="B434" s="87">
        <v>47.767446171172196</v>
      </c>
      <c r="C434" s="14">
        <v>5</v>
      </c>
      <c r="D434" s="86">
        <v>0.83047646211556625</v>
      </c>
      <c r="E434" s="86"/>
      <c r="F434" s="14"/>
    </row>
    <row r="435" spans="1:6" x14ac:dyDescent="0.25">
      <c r="A435" s="86">
        <v>434</v>
      </c>
      <c r="B435" s="87">
        <v>41.47441358724609</v>
      </c>
      <c r="C435" s="14">
        <v>5</v>
      </c>
      <c r="D435" s="86">
        <v>0.68120381133568908</v>
      </c>
      <c r="E435" s="86"/>
      <c r="F435" s="14"/>
    </row>
    <row r="436" spans="1:6" x14ac:dyDescent="0.25">
      <c r="A436" s="86">
        <v>435</v>
      </c>
      <c r="B436" s="87">
        <v>40.005284058104735</v>
      </c>
      <c r="C436" s="14">
        <v>1</v>
      </c>
      <c r="D436" s="86">
        <v>0.32135168838142425</v>
      </c>
      <c r="E436" s="86"/>
      <c r="F436" s="14"/>
    </row>
    <row r="437" spans="1:6" x14ac:dyDescent="0.25">
      <c r="A437" s="86">
        <v>436</v>
      </c>
      <c r="B437" s="87">
        <v>45.055151071544969</v>
      </c>
      <c r="C437" s="14">
        <v>2</v>
      </c>
      <c r="D437" s="86">
        <v>0.53733050097309543</v>
      </c>
      <c r="E437" s="86"/>
      <c r="F437" s="14"/>
    </row>
    <row r="438" spans="1:6" x14ac:dyDescent="0.25">
      <c r="A438" s="86">
        <v>437</v>
      </c>
      <c r="B438" s="87">
        <v>45.427384515613085</v>
      </c>
      <c r="C438" s="14">
        <v>4</v>
      </c>
      <c r="D438" s="86">
        <v>0.22078705974555557</v>
      </c>
      <c r="E438" s="86"/>
      <c r="F438" s="14"/>
    </row>
    <row r="439" spans="1:6" x14ac:dyDescent="0.25">
      <c r="A439" s="86">
        <v>438</v>
      </c>
      <c r="B439" s="87">
        <v>41.77082927923766</v>
      </c>
      <c r="C439" s="14">
        <v>2</v>
      </c>
      <c r="D439" s="86">
        <v>0.84573725780645559</v>
      </c>
      <c r="E439" s="86"/>
      <c r="F439" s="14"/>
    </row>
    <row r="440" spans="1:6" x14ac:dyDescent="0.25">
      <c r="A440" s="86">
        <v>439</v>
      </c>
      <c r="B440" s="87">
        <v>40.906081716791959</v>
      </c>
      <c r="C440" s="14">
        <v>2</v>
      </c>
      <c r="D440" s="86">
        <v>0.7838153605978927</v>
      </c>
      <c r="E440" s="86"/>
      <c r="F440" s="14"/>
    </row>
    <row r="441" spans="1:6" x14ac:dyDescent="0.25">
      <c r="A441" s="86">
        <v>440</v>
      </c>
      <c r="B441" s="87">
        <v>41.095438513701083</v>
      </c>
      <c r="C441" s="14">
        <v>5</v>
      </c>
      <c r="D441" s="86">
        <v>0.25054848202042812</v>
      </c>
      <c r="E441" s="86"/>
      <c r="F441" s="14"/>
    </row>
    <row r="442" spans="1:6" x14ac:dyDescent="0.25">
      <c r="A442" s="86">
        <v>441</v>
      </c>
      <c r="B442" s="87">
        <v>37.587165019765962</v>
      </c>
      <c r="C442" s="14">
        <v>1</v>
      </c>
      <c r="D442" s="86">
        <v>0.96667291379208942</v>
      </c>
      <c r="E442" s="86"/>
      <c r="F442" s="14"/>
    </row>
    <row r="443" spans="1:6" x14ac:dyDescent="0.25">
      <c r="A443" s="86">
        <v>442</v>
      </c>
      <c r="B443" s="87">
        <v>50.480116437363904</v>
      </c>
      <c r="C443" s="14">
        <v>3</v>
      </c>
      <c r="D443" s="86">
        <v>0.13898103116659899</v>
      </c>
      <c r="E443" s="86"/>
      <c r="F443" s="14"/>
    </row>
    <row r="444" spans="1:6" x14ac:dyDescent="0.25">
      <c r="A444" s="86">
        <v>443</v>
      </c>
      <c r="B444" s="87">
        <v>44.857756615208928</v>
      </c>
      <c r="C444" s="14">
        <v>2</v>
      </c>
      <c r="D444" s="86">
        <v>0.22384755008816326</v>
      </c>
      <c r="E444" s="86"/>
      <c r="F444" s="14"/>
    </row>
    <row r="445" spans="1:6" x14ac:dyDescent="0.25">
      <c r="A445" s="86">
        <v>444</v>
      </c>
      <c r="B445" s="87">
        <v>34.635922924615443</v>
      </c>
      <c r="C445" s="14">
        <v>4</v>
      </c>
      <c r="D445" s="86">
        <v>0.9167028074307696</v>
      </c>
      <c r="E445" s="86"/>
      <c r="F445" s="14"/>
    </row>
    <row r="446" spans="1:6" x14ac:dyDescent="0.25">
      <c r="A446" s="86">
        <v>445</v>
      </c>
      <c r="B446" s="87">
        <v>40.10989300183428</v>
      </c>
      <c r="C446" s="14">
        <v>2</v>
      </c>
      <c r="D446" s="86">
        <v>0.26605543732013393</v>
      </c>
      <c r="E446" s="86"/>
      <c r="F446" s="14"/>
    </row>
    <row r="447" spans="1:6" x14ac:dyDescent="0.25">
      <c r="A447" s="86">
        <v>446</v>
      </c>
      <c r="B447" s="87">
        <v>44.00795887192362</v>
      </c>
      <c r="C447" s="14">
        <v>2</v>
      </c>
      <c r="D447" s="86">
        <v>0.60629376499015586</v>
      </c>
      <c r="E447" s="86"/>
      <c r="F447" s="14"/>
    </row>
    <row r="448" spans="1:6" x14ac:dyDescent="0.25">
      <c r="A448" s="86">
        <v>447</v>
      </c>
      <c r="B448" s="87">
        <v>38.850259892904432</v>
      </c>
      <c r="C448" s="14">
        <v>5</v>
      </c>
      <c r="D448" s="86">
        <v>0.21891372196282932</v>
      </c>
      <c r="E448" s="86"/>
      <c r="F448" s="14"/>
    </row>
    <row r="449" spans="1:6" x14ac:dyDescent="0.25">
      <c r="A449" s="86">
        <v>448</v>
      </c>
      <c r="B449" s="87">
        <v>45.762214990070788</v>
      </c>
      <c r="C449" s="14">
        <v>2</v>
      </c>
      <c r="D449" s="86">
        <v>0.23866963075609771</v>
      </c>
      <c r="E449" s="86"/>
      <c r="F449" s="14"/>
    </row>
    <row r="450" spans="1:6" x14ac:dyDescent="0.25">
      <c r="A450" s="86">
        <v>449</v>
      </c>
      <c r="B450" s="87">
        <v>46.649859081633622</v>
      </c>
      <c r="C450" s="14">
        <v>4</v>
      </c>
      <c r="D450" s="86">
        <v>5.2005925560303812E-2</v>
      </c>
      <c r="E450" s="86"/>
      <c r="F450" s="14"/>
    </row>
    <row r="451" spans="1:6" x14ac:dyDescent="0.25">
      <c r="A451" s="86">
        <v>450</v>
      </c>
      <c r="B451" s="87">
        <v>39.540242364062578</v>
      </c>
      <c r="C451" s="14">
        <v>2</v>
      </c>
      <c r="D451" s="86">
        <v>0.65229094392508435</v>
      </c>
      <c r="E451" s="86"/>
      <c r="F451" s="14"/>
    </row>
    <row r="452" spans="1:6" x14ac:dyDescent="0.25">
      <c r="A452" s="86">
        <v>451</v>
      </c>
      <c r="B452" s="87">
        <v>39.169503901910502</v>
      </c>
      <c r="C452" s="14">
        <v>5</v>
      </c>
      <c r="D452" s="86">
        <v>0.41162114149938522</v>
      </c>
      <c r="E452" s="86"/>
      <c r="F452" s="14"/>
    </row>
    <row r="453" spans="1:6" x14ac:dyDescent="0.25">
      <c r="A453" s="86">
        <v>452</v>
      </c>
      <c r="B453" s="87">
        <v>42.828798991075018</v>
      </c>
      <c r="C453" s="14">
        <v>2</v>
      </c>
      <c r="D453" s="86">
        <v>0.88487243383279368</v>
      </c>
      <c r="E453" s="86"/>
      <c r="F453" s="14"/>
    </row>
    <row r="454" spans="1:6" x14ac:dyDescent="0.25">
      <c r="A454" s="86">
        <v>453</v>
      </c>
      <c r="B454" s="87">
        <v>40.843281107634539</v>
      </c>
      <c r="C454" s="14">
        <v>1</v>
      </c>
      <c r="D454" s="86">
        <v>0.76955748948722669</v>
      </c>
      <c r="E454" s="86"/>
      <c r="F454" s="14"/>
    </row>
    <row r="455" spans="1:6" x14ac:dyDescent="0.25">
      <c r="A455" s="86">
        <v>454</v>
      </c>
      <c r="B455" s="87">
        <v>45.36516939366993</v>
      </c>
      <c r="C455" s="14">
        <v>4</v>
      </c>
      <c r="D455" s="86">
        <v>0.65401707112687513</v>
      </c>
      <c r="E455" s="86"/>
      <c r="F455" s="14"/>
    </row>
    <row r="456" spans="1:6" x14ac:dyDescent="0.25">
      <c r="A456" s="86">
        <v>455</v>
      </c>
      <c r="B456" s="87">
        <v>34.133358889783267</v>
      </c>
      <c r="C456" s="14">
        <v>2</v>
      </c>
      <c r="D456" s="86">
        <v>0.14575801152963441</v>
      </c>
      <c r="E456" s="86"/>
      <c r="F456" s="14"/>
    </row>
    <row r="457" spans="1:6" x14ac:dyDescent="0.25">
      <c r="A457" s="86">
        <v>456</v>
      </c>
      <c r="B457" s="87">
        <v>34.885670169722289</v>
      </c>
      <c r="C457" s="14">
        <v>4</v>
      </c>
      <c r="D457" s="86">
        <v>0.54863200315036975</v>
      </c>
      <c r="E457" s="86"/>
      <c r="F457" s="14"/>
    </row>
    <row r="458" spans="1:6" x14ac:dyDescent="0.25">
      <c r="A458" s="86">
        <v>457</v>
      </c>
      <c r="B458" s="87">
        <v>41.598582351405639</v>
      </c>
      <c r="C458" s="14">
        <v>5</v>
      </c>
      <c r="D458" s="86">
        <v>0.38313013628179948</v>
      </c>
      <c r="E458" s="86"/>
      <c r="F458" s="14"/>
    </row>
    <row r="459" spans="1:6" x14ac:dyDescent="0.25">
      <c r="A459" s="86">
        <v>458</v>
      </c>
      <c r="B459" s="87">
        <v>48.234187483438291</v>
      </c>
      <c r="C459" s="14">
        <v>5</v>
      </c>
      <c r="D459" s="86">
        <v>0.24416383716410517</v>
      </c>
      <c r="E459" s="86"/>
      <c r="F459" s="14"/>
    </row>
    <row r="460" spans="1:6" x14ac:dyDescent="0.25">
      <c r="A460" s="86">
        <v>459</v>
      </c>
      <c r="B460" s="87">
        <v>45.559926315370831</v>
      </c>
      <c r="C460" s="14">
        <v>5</v>
      </c>
      <c r="D460" s="86">
        <v>0.96384803396414376</v>
      </c>
      <c r="E460" s="86"/>
      <c r="F460" s="14"/>
    </row>
    <row r="461" spans="1:6" x14ac:dyDescent="0.25">
      <c r="A461" s="86">
        <v>460</v>
      </c>
      <c r="B461" s="87">
        <v>29.699731380213052</v>
      </c>
      <c r="C461" s="14">
        <v>4</v>
      </c>
      <c r="D461" s="86">
        <v>0.69342860109037474</v>
      </c>
      <c r="E461" s="86"/>
      <c r="F461" s="14"/>
    </row>
    <row r="462" spans="1:6" x14ac:dyDescent="0.25">
      <c r="A462" s="86">
        <v>461</v>
      </c>
      <c r="B462" s="87">
        <v>42.583559429083834</v>
      </c>
      <c r="C462" s="14">
        <v>2</v>
      </c>
      <c r="D462" s="86">
        <v>0.32688585881753396</v>
      </c>
      <c r="E462" s="86"/>
      <c r="F462" s="14"/>
    </row>
    <row r="463" spans="1:6" x14ac:dyDescent="0.25">
      <c r="A463" s="86">
        <v>462</v>
      </c>
      <c r="B463" s="87">
        <v>45.762658368737902</v>
      </c>
      <c r="C463" s="14">
        <v>5</v>
      </c>
      <c r="D463" s="86">
        <v>0.52902565368868526</v>
      </c>
      <c r="E463" s="86"/>
      <c r="F463" s="14"/>
    </row>
    <row r="464" spans="1:6" x14ac:dyDescent="0.25">
      <c r="A464" s="86">
        <v>463</v>
      </c>
      <c r="B464" s="87">
        <v>38.845939793071011</v>
      </c>
      <c r="C464" s="14">
        <v>4</v>
      </c>
      <c r="D464" s="86">
        <v>0.40189001002777969</v>
      </c>
      <c r="E464" s="86"/>
      <c r="F464" s="14"/>
    </row>
    <row r="465" spans="1:6" x14ac:dyDescent="0.25">
      <c r="A465" s="86">
        <v>464</v>
      </c>
      <c r="B465" s="87">
        <v>38.913617567566689</v>
      </c>
      <c r="C465" s="14">
        <v>5</v>
      </c>
      <c r="D465" s="86">
        <v>0.99486170444327715</v>
      </c>
      <c r="E465" s="86"/>
      <c r="F465" s="14"/>
    </row>
    <row r="466" spans="1:6" x14ac:dyDescent="0.25">
      <c r="A466" s="86">
        <v>465</v>
      </c>
      <c r="B466" s="87">
        <v>47.103503670194186</v>
      </c>
      <c r="C466" s="14">
        <v>2</v>
      </c>
      <c r="D466" s="86">
        <v>0.76869720212927573</v>
      </c>
      <c r="E466" s="86"/>
      <c r="F466" s="14"/>
    </row>
    <row r="467" spans="1:6" x14ac:dyDescent="0.25">
      <c r="A467" s="86">
        <v>466</v>
      </c>
      <c r="B467" s="87">
        <v>44.078717559721554</v>
      </c>
      <c r="C467" s="14">
        <v>2</v>
      </c>
      <c r="D467" s="86">
        <v>0.55181406618511331</v>
      </c>
      <c r="E467" s="86"/>
      <c r="F467" s="14"/>
    </row>
    <row r="468" spans="1:6" x14ac:dyDescent="0.25">
      <c r="A468" s="86">
        <v>467</v>
      </c>
      <c r="B468" s="87">
        <v>30.22523741889745</v>
      </c>
      <c r="C468" s="14">
        <v>4</v>
      </c>
      <c r="D468" s="86">
        <v>0.36658724005899046</v>
      </c>
      <c r="E468" s="86"/>
      <c r="F468" s="14"/>
    </row>
    <row r="469" spans="1:6" x14ac:dyDescent="0.25">
      <c r="A469" s="86">
        <v>468</v>
      </c>
      <c r="B469" s="87">
        <v>43.074783201853279</v>
      </c>
      <c r="C469" s="14">
        <v>4</v>
      </c>
      <c r="D469" s="86">
        <v>0.82320936994266558</v>
      </c>
      <c r="E469" s="86"/>
      <c r="F469" s="14"/>
    </row>
    <row r="470" spans="1:6" x14ac:dyDescent="0.25">
      <c r="A470" s="86">
        <v>469</v>
      </c>
      <c r="B470" s="87">
        <v>47.149740107095568</v>
      </c>
      <c r="C470" s="14">
        <v>4</v>
      </c>
      <c r="D470" s="86">
        <v>0.35924189668960416</v>
      </c>
      <c r="E470" s="86"/>
      <c r="F470" s="14"/>
    </row>
    <row r="471" spans="1:6" x14ac:dyDescent="0.25">
      <c r="A471" s="86">
        <v>470</v>
      </c>
      <c r="B471" s="87">
        <v>47.680191523220856</v>
      </c>
      <c r="C471" s="14">
        <v>2</v>
      </c>
      <c r="D471" s="86">
        <v>0.4654813148699104</v>
      </c>
      <c r="E471" s="86"/>
      <c r="F471" s="14"/>
    </row>
    <row r="472" spans="1:6" x14ac:dyDescent="0.25">
      <c r="A472" s="86">
        <v>471</v>
      </c>
      <c r="B472" s="87">
        <v>45.626438799779862</v>
      </c>
      <c r="C472" s="14">
        <v>4</v>
      </c>
      <c r="D472" s="86">
        <v>0.24770025620449732</v>
      </c>
      <c r="E472" s="86"/>
      <c r="F472" s="14"/>
    </row>
    <row r="473" spans="1:6" x14ac:dyDescent="0.25">
      <c r="A473" s="86">
        <v>472</v>
      </c>
      <c r="B473" s="87">
        <v>45.651495378813706</v>
      </c>
      <c r="C473" s="14">
        <v>4</v>
      </c>
      <c r="D473" s="86">
        <v>0.20503836350745841</v>
      </c>
      <c r="E473" s="86"/>
      <c r="F473" s="14"/>
    </row>
    <row r="474" spans="1:6" x14ac:dyDescent="0.25">
      <c r="A474" s="86">
        <v>473</v>
      </c>
      <c r="B474" s="87">
        <v>47.018386334792012</v>
      </c>
      <c r="C474" s="14">
        <v>2</v>
      </c>
      <c r="D474" s="86">
        <v>0.29193436687697738</v>
      </c>
      <c r="E474" s="86"/>
      <c r="F474" s="14"/>
    </row>
    <row r="475" spans="1:6" x14ac:dyDescent="0.25">
      <c r="A475" s="86">
        <v>474</v>
      </c>
      <c r="B475" s="87">
        <v>47.853109203395434</v>
      </c>
      <c r="C475" s="14">
        <v>3</v>
      </c>
      <c r="D475" s="86">
        <v>0.76823023565136717</v>
      </c>
      <c r="E475" s="86"/>
      <c r="F475" s="14"/>
    </row>
    <row r="476" spans="1:6" x14ac:dyDescent="0.25">
      <c r="A476" s="86">
        <v>475</v>
      </c>
      <c r="B476" s="87">
        <v>43.372699560102774</v>
      </c>
      <c r="C476" s="14">
        <v>4</v>
      </c>
      <c r="D476" s="86">
        <v>0.91022480497605951</v>
      </c>
      <c r="E476" s="86"/>
      <c r="F476" s="14"/>
    </row>
    <row r="477" spans="1:6" x14ac:dyDescent="0.25">
      <c r="A477" s="86">
        <v>476</v>
      </c>
      <c r="B477" s="87">
        <v>38.849714196083369</v>
      </c>
      <c r="C477" s="14">
        <v>4</v>
      </c>
      <c r="D477" s="86">
        <v>0.62806092309771433</v>
      </c>
      <c r="E477" s="86"/>
      <c r="F477" s="14"/>
    </row>
    <row r="478" spans="1:6" x14ac:dyDescent="0.25">
      <c r="A478" s="86">
        <v>477</v>
      </c>
      <c r="B478" s="87">
        <v>44.890174416985246</v>
      </c>
      <c r="C478" s="14">
        <v>1</v>
      </c>
      <c r="D478" s="86">
        <v>0.70237559292001794</v>
      </c>
      <c r="E478" s="86"/>
      <c r="F478" s="14"/>
    </row>
    <row r="479" spans="1:6" x14ac:dyDescent="0.25">
      <c r="A479" s="86">
        <v>478</v>
      </c>
      <c r="B479" s="87">
        <v>38.501661942398641</v>
      </c>
      <c r="C479" s="14">
        <v>5</v>
      </c>
      <c r="D479" s="86">
        <v>0.13884934452762876</v>
      </c>
      <c r="E479" s="86"/>
      <c r="F479" s="14"/>
    </row>
    <row r="480" spans="1:6" x14ac:dyDescent="0.25">
      <c r="A480" s="86">
        <v>479</v>
      </c>
      <c r="B480" s="87">
        <v>45.299498191860039</v>
      </c>
      <c r="C480" s="14">
        <v>2</v>
      </c>
      <c r="D480" s="86">
        <v>0.66640725719197391</v>
      </c>
      <c r="E480" s="86"/>
      <c r="F480" s="14"/>
    </row>
    <row r="481" spans="1:6" x14ac:dyDescent="0.25">
      <c r="A481" s="86">
        <v>480</v>
      </c>
      <c r="B481" s="87">
        <v>39.721203388005961</v>
      </c>
      <c r="C481" s="14">
        <v>4</v>
      </c>
      <c r="D481" s="86">
        <v>0.97426136853346468</v>
      </c>
      <c r="E481" s="86"/>
      <c r="F481" s="14"/>
    </row>
    <row r="482" spans="1:6" x14ac:dyDescent="0.25">
      <c r="A482" s="86">
        <v>481</v>
      </c>
      <c r="B482" s="87">
        <v>46.214574917365098</v>
      </c>
      <c r="C482" s="14">
        <v>4</v>
      </c>
      <c r="D482" s="86">
        <v>0.78429189155143797</v>
      </c>
      <c r="E482" s="86"/>
      <c r="F482" s="14"/>
    </row>
    <row r="483" spans="1:6" x14ac:dyDescent="0.25">
      <c r="A483" s="86">
        <v>482</v>
      </c>
      <c r="B483" s="87">
        <v>51.00635007180972</v>
      </c>
      <c r="C483" s="14">
        <v>2</v>
      </c>
      <c r="D483" s="86">
        <v>0.23741882031699202</v>
      </c>
      <c r="E483" s="86"/>
      <c r="F483" s="14"/>
    </row>
    <row r="484" spans="1:6" x14ac:dyDescent="0.25">
      <c r="A484" s="86">
        <v>483</v>
      </c>
      <c r="B484" s="87">
        <v>49.530274276883574</v>
      </c>
      <c r="C484" s="14">
        <v>4</v>
      </c>
      <c r="D484" s="86">
        <v>0.63966674286166891</v>
      </c>
      <c r="E484" s="86"/>
      <c r="F484" s="14"/>
    </row>
    <row r="485" spans="1:6" x14ac:dyDescent="0.25">
      <c r="A485" s="86">
        <v>484</v>
      </c>
      <c r="B485" s="87">
        <v>38.07469965465134</v>
      </c>
      <c r="C485" s="14">
        <v>2</v>
      </c>
      <c r="D485" s="86">
        <v>0.6454634552259001</v>
      </c>
      <c r="E485" s="86"/>
      <c r="F485" s="14"/>
    </row>
    <row r="486" spans="1:6" x14ac:dyDescent="0.25">
      <c r="A486" s="86">
        <v>485</v>
      </c>
      <c r="B486" s="87">
        <v>49.447703526646364</v>
      </c>
      <c r="C486" s="14">
        <v>2</v>
      </c>
      <c r="D486" s="86">
        <v>0.48591430151642911</v>
      </c>
      <c r="E486" s="86"/>
      <c r="F486" s="14"/>
    </row>
    <row r="487" spans="1:6" x14ac:dyDescent="0.25">
      <c r="A487" s="86">
        <v>486</v>
      </c>
      <c r="B487" s="87">
        <v>49.180289346957579</v>
      </c>
      <c r="C487" s="14">
        <v>4</v>
      </c>
      <c r="D487" s="86">
        <v>0.58643211398576744</v>
      </c>
      <c r="E487" s="86"/>
      <c r="F487" s="14"/>
    </row>
    <row r="488" spans="1:6" x14ac:dyDescent="0.25">
      <c r="A488" s="86">
        <v>487</v>
      </c>
      <c r="B488" s="87">
        <v>43.692415369485389</v>
      </c>
      <c r="C488" s="14">
        <v>1</v>
      </c>
      <c r="D488" s="86">
        <v>0.9525661349213449</v>
      </c>
      <c r="E488" s="86"/>
      <c r="F488" s="14"/>
    </row>
    <row r="489" spans="1:6" x14ac:dyDescent="0.25">
      <c r="A489" s="86">
        <v>488</v>
      </c>
      <c r="B489" s="87">
        <v>41.601361994587933</v>
      </c>
      <c r="C489" s="14">
        <v>3</v>
      </c>
      <c r="D489" s="86">
        <v>0.63217988917491419</v>
      </c>
      <c r="E489" s="86"/>
      <c r="F489" s="14"/>
    </row>
    <row r="490" spans="1:6" x14ac:dyDescent="0.25">
      <c r="A490" s="86">
        <v>489</v>
      </c>
      <c r="B490" s="87">
        <v>46.024052830369328</v>
      </c>
      <c r="C490" s="14">
        <v>4</v>
      </c>
      <c r="D490" s="86">
        <v>0.89029691187812521</v>
      </c>
      <c r="E490" s="86"/>
      <c r="F490" s="14"/>
    </row>
    <row r="491" spans="1:6" x14ac:dyDescent="0.25">
      <c r="A491" s="86">
        <v>490</v>
      </c>
      <c r="B491" s="87">
        <v>46.240484147681855</v>
      </c>
      <c r="C491" s="14">
        <v>2</v>
      </c>
      <c r="D491" s="86">
        <v>5.3632862009970417E-2</v>
      </c>
      <c r="E491" s="86"/>
      <c r="F491" s="14"/>
    </row>
    <row r="492" spans="1:6" x14ac:dyDescent="0.25">
      <c r="A492" s="86">
        <v>491</v>
      </c>
      <c r="B492" s="87">
        <v>42.525186922255671</v>
      </c>
      <c r="C492" s="14">
        <v>1</v>
      </c>
      <c r="D492" s="86">
        <v>0.58958367750818808</v>
      </c>
      <c r="E492" s="86"/>
      <c r="F492" s="14"/>
    </row>
    <row r="493" spans="1:6" x14ac:dyDescent="0.25">
      <c r="A493" s="86">
        <v>492</v>
      </c>
      <c r="B493" s="87">
        <v>53.356461643823422</v>
      </c>
      <c r="C493" s="14">
        <v>2</v>
      </c>
      <c r="D493" s="86">
        <v>0.83300106888449144</v>
      </c>
      <c r="E493" s="86"/>
      <c r="F493" s="14"/>
    </row>
    <row r="494" spans="1:6" x14ac:dyDescent="0.25">
      <c r="A494" s="86">
        <v>493</v>
      </c>
      <c r="B494" s="87">
        <v>52.599443728802726</v>
      </c>
      <c r="C494" s="14">
        <v>2</v>
      </c>
      <c r="D494" s="86">
        <v>0.33987783446454845</v>
      </c>
      <c r="E494" s="86"/>
      <c r="F494" s="14"/>
    </row>
    <row r="495" spans="1:6" x14ac:dyDescent="0.25">
      <c r="A495" s="86">
        <v>494</v>
      </c>
      <c r="B495" s="87">
        <v>36.175856616289821</v>
      </c>
      <c r="C495" s="14">
        <v>3</v>
      </c>
      <c r="D495" s="86">
        <v>0.83039784998505084</v>
      </c>
      <c r="E495" s="86"/>
      <c r="F495" s="14"/>
    </row>
    <row r="496" spans="1:6" x14ac:dyDescent="0.25">
      <c r="A496" s="86">
        <v>495</v>
      </c>
      <c r="B496" s="87">
        <v>46.915693014278077</v>
      </c>
      <c r="C496" s="14">
        <v>1</v>
      </c>
      <c r="D496" s="86">
        <v>0.19798469929194007</v>
      </c>
      <c r="E496" s="86"/>
      <c r="F496" s="14"/>
    </row>
    <row r="497" spans="1:6" x14ac:dyDescent="0.25">
      <c r="A497" s="86">
        <v>496</v>
      </c>
      <c r="B497" s="87">
        <v>38.145049069833476</v>
      </c>
      <c r="C497" s="14">
        <v>4</v>
      </c>
      <c r="D497" s="86">
        <v>0.95532641746113856</v>
      </c>
      <c r="E497" s="86"/>
      <c r="F497" s="14"/>
    </row>
    <row r="498" spans="1:6" x14ac:dyDescent="0.25">
      <c r="A498" s="86">
        <v>497</v>
      </c>
      <c r="B498" s="87">
        <v>40.863415046595037</v>
      </c>
      <c r="C498" s="14">
        <v>4</v>
      </c>
      <c r="D498" s="86">
        <v>0.40590524229156211</v>
      </c>
      <c r="E498" s="86"/>
      <c r="F498" s="14"/>
    </row>
    <row r="499" spans="1:6" x14ac:dyDescent="0.25">
      <c r="A499" s="86">
        <v>498</v>
      </c>
      <c r="B499" s="87">
        <v>38.138921349280281</v>
      </c>
      <c r="C499" s="14">
        <v>2</v>
      </c>
      <c r="D499" s="86">
        <v>0.96975238990525159</v>
      </c>
      <c r="E499" s="86"/>
      <c r="F499" s="14"/>
    </row>
    <row r="500" spans="1:6" x14ac:dyDescent="0.25">
      <c r="A500" s="86">
        <v>499</v>
      </c>
      <c r="B500" s="87">
        <v>40.393740613915725</v>
      </c>
      <c r="C500" s="14">
        <v>4</v>
      </c>
      <c r="D500" s="86">
        <v>0.55066624214343507</v>
      </c>
      <c r="E500" s="86"/>
      <c r="F500" s="14"/>
    </row>
    <row r="501" spans="1:6" x14ac:dyDescent="0.25">
      <c r="A501" s="86">
        <v>500</v>
      </c>
      <c r="B501" s="87">
        <v>44.122606363423984</v>
      </c>
      <c r="C501" s="14">
        <v>1</v>
      </c>
      <c r="D501" s="86">
        <v>0.65563370745300065</v>
      </c>
      <c r="E501" s="86"/>
      <c r="F501" s="14"/>
    </row>
    <row r="502" spans="1:6" x14ac:dyDescent="0.25">
      <c r="A502" s="86">
        <v>501</v>
      </c>
      <c r="B502" s="87">
        <v>41.77240952628199</v>
      </c>
      <c r="C502" s="14">
        <v>1</v>
      </c>
      <c r="D502" s="86">
        <v>0.67492516386766999</v>
      </c>
      <c r="E502" s="86"/>
      <c r="F502" s="14"/>
    </row>
    <row r="503" spans="1:6" x14ac:dyDescent="0.25">
      <c r="A503" s="86">
        <v>502</v>
      </c>
      <c r="B503" s="87">
        <v>37.70254579136963</v>
      </c>
      <c r="C503" s="14">
        <v>1</v>
      </c>
      <c r="D503" s="86">
        <v>0.50275599596540155</v>
      </c>
      <c r="E503" s="86"/>
      <c r="F503" s="14"/>
    </row>
    <row r="504" spans="1:6" x14ac:dyDescent="0.25">
      <c r="A504" s="86">
        <v>503</v>
      </c>
      <c r="B504" s="87">
        <v>39.102997101843357</v>
      </c>
      <c r="C504" s="14">
        <v>5</v>
      </c>
      <c r="D504" s="86">
        <v>0.6959587355061998</v>
      </c>
      <c r="E504" s="86"/>
      <c r="F504" s="14"/>
    </row>
    <row r="505" spans="1:6" x14ac:dyDescent="0.25">
      <c r="A505" s="86">
        <v>504</v>
      </c>
      <c r="B505" s="87">
        <v>34.797335496812593</v>
      </c>
      <c r="C505" s="14">
        <v>5</v>
      </c>
      <c r="D505" s="86">
        <v>0.76128328277954882</v>
      </c>
      <c r="E505" s="86"/>
      <c r="F505" s="14"/>
    </row>
    <row r="506" spans="1:6" x14ac:dyDescent="0.25">
      <c r="A506" s="86">
        <v>505</v>
      </c>
      <c r="B506" s="87">
        <v>35.061839293455705</v>
      </c>
      <c r="C506" s="14">
        <v>4</v>
      </c>
      <c r="D506" s="86">
        <v>1.4413673466467825E-2</v>
      </c>
      <c r="E506" s="86"/>
      <c r="F506" s="14"/>
    </row>
    <row r="507" spans="1:6" x14ac:dyDescent="0.25">
      <c r="A507" s="86">
        <v>506</v>
      </c>
      <c r="B507" s="87">
        <v>34.757408679404762</v>
      </c>
      <c r="C507" s="14">
        <v>4</v>
      </c>
      <c r="D507" s="86">
        <v>7.1184220592803271E-2</v>
      </c>
      <c r="E507" s="86"/>
      <c r="F507" s="14"/>
    </row>
    <row r="508" spans="1:6" x14ac:dyDescent="0.25">
      <c r="A508" s="86">
        <v>507</v>
      </c>
      <c r="B508" s="87">
        <v>52.743462214828469</v>
      </c>
      <c r="C508" s="14">
        <v>5</v>
      </c>
      <c r="D508" s="86">
        <v>0.37204946797655614</v>
      </c>
      <c r="E508" s="86"/>
      <c r="F508" s="14"/>
    </row>
    <row r="509" spans="1:6" x14ac:dyDescent="0.25">
      <c r="A509" s="86">
        <v>508</v>
      </c>
      <c r="B509" s="87">
        <v>38.310315625829389</v>
      </c>
      <c r="C509" s="14">
        <v>1</v>
      </c>
      <c r="D509" s="86">
        <v>0.83436365403004775</v>
      </c>
      <c r="E509" s="86"/>
      <c r="F509" s="14"/>
    </row>
    <row r="510" spans="1:6" x14ac:dyDescent="0.25">
      <c r="A510" s="86">
        <v>509</v>
      </c>
      <c r="B510" s="87">
        <v>36.174901646852959</v>
      </c>
      <c r="C510" s="14">
        <v>2</v>
      </c>
      <c r="D510" s="86">
        <v>0.63913313937169502</v>
      </c>
      <c r="E510" s="86"/>
      <c r="F510" s="14"/>
    </row>
    <row r="511" spans="1:6" x14ac:dyDescent="0.25">
      <c r="A511" s="86">
        <v>510</v>
      </c>
      <c r="B511" s="87">
        <v>32.303432812448591</v>
      </c>
      <c r="C511" s="14">
        <v>4</v>
      </c>
      <c r="D511" s="86">
        <v>0.21851996377666194</v>
      </c>
      <c r="E511" s="86"/>
      <c r="F511" s="14"/>
    </row>
    <row r="512" spans="1:6" x14ac:dyDescent="0.25">
      <c r="A512" s="86">
        <v>511</v>
      </c>
      <c r="B512" s="87">
        <v>37.270524439343717</v>
      </c>
      <c r="C512" s="14">
        <v>2</v>
      </c>
      <c r="D512" s="86">
        <v>0.95036821335031718</v>
      </c>
      <c r="E512" s="86"/>
      <c r="F512" s="14"/>
    </row>
    <row r="513" spans="1:6" x14ac:dyDescent="0.25">
      <c r="A513" s="86">
        <v>512</v>
      </c>
      <c r="B513" s="87">
        <v>49.499885785160586</v>
      </c>
      <c r="C513" s="14">
        <v>1</v>
      </c>
      <c r="D513" s="86">
        <v>7.752751814838843E-2</v>
      </c>
      <c r="E513" s="86"/>
      <c r="F513" s="14"/>
    </row>
    <row r="514" spans="1:6" x14ac:dyDescent="0.25">
      <c r="A514" s="86">
        <v>513</v>
      </c>
      <c r="B514" s="87">
        <v>40.851261923642596</v>
      </c>
      <c r="C514" s="14">
        <v>2</v>
      </c>
      <c r="D514" s="86">
        <v>0.7348563938250402</v>
      </c>
      <c r="E514" s="86"/>
      <c r="F514" s="14"/>
    </row>
    <row r="515" spans="1:6" x14ac:dyDescent="0.25">
      <c r="A515" s="86">
        <v>514</v>
      </c>
      <c r="B515" s="87">
        <v>31.51935743005015</v>
      </c>
      <c r="C515" s="14">
        <v>2</v>
      </c>
      <c r="D515" s="86">
        <v>6.2037738026928579E-2</v>
      </c>
      <c r="E515" s="86"/>
      <c r="F515" s="14"/>
    </row>
    <row r="516" spans="1:6" x14ac:dyDescent="0.25">
      <c r="A516" s="86">
        <v>515</v>
      </c>
      <c r="B516" s="87">
        <v>47.336720849096309</v>
      </c>
      <c r="C516" s="14">
        <v>2</v>
      </c>
      <c r="D516" s="86">
        <v>0.75760437433798622</v>
      </c>
      <c r="E516" s="86"/>
      <c r="F516" s="14"/>
    </row>
    <row r="517" spans="1:6" x14ac:dyDescent="0.25">
      <c r="A517" s="86">
        <v>516</v>
      </c>
      <c r="B517" s="87">
        <v>39.362112142378464</v>
      </c>
      <c r="C517" s="14">
        <v>2</v>
      </c>
      <c r="D517" s="86">
        <v>0.84840957939396777</v>
      </c>
      <c r="E517" s="86"/>
      <c r="F517" s="14"/>
    </row>
    <row r="518" spans="1:6" x14ac:dyDescent="0.25">
      <c r="A518" s="86">
        <v>517</v>
      </c>
      <c r="B518" s="87">
        <v>36.975973211490782</v>
      </c>
      <c r="C518" s="14">
        <v>4</v>
      </c>
      <c r="D518" s="86">
        <v>0.56671193626048832</v>
      </c>
      <c r="E518" s="86"/>
      <c r="F518" s="14"/>
    </row>
    <row r="519" spans="1:6" x14ac:dyDescent="0.25">
      <c r="A519" s="86">
        <v>518</v>
      </c>
      <c r="B519" s="87">
        <v>45.308854618604528</v>
      </c>
      <c r="C519" s="14">
        <v>5</v>
      </c>
      <c r="D519" s="86">
        <v>0.81456687666595062</v>
      </c>
      <c r="E519" s="86"/>
      <c r="F519" s="14"/>
    </row>
    <row r="520" spans="1:6" x14ac:dyDescent="0.25">
      <c r="A520" s="86">
        <v>519</v>
      </c>
      <c r="B520" s="87">
        <v>47.464618541533127</v>
      </c>
      <c r="C520" s="14">
        <v>4</v>
      </c>
      <c r="D520" s="86">
        <v>0.36485346942098784</v>
      </c>
      <c r="E520" s="86"/>
      <c r="F520" s="14"/>
    </row>
    <row r="521" spans="1:6" x14ac:dyDescent="0.25">
      <c r="A521" s="86">
        <v>520</v>
      </c>
      <c r="B521" s="87">
        <v>36.273581821995322</v>
      </c>
      <c r="C521" s="14">
        <v>5</v>
      </c>
      <c r="D521" s="86">
        <v>2.8791641878838425E-2</v>
      </c>
      <c r="E521" s="86"/>
      <c r="F521" s="14"/>
    </row>
    <row r="522" spans="1:6" x14ac:dyDescent="0.25">
      <c r="A522" s="86">
        <v>521</v>
      </c>
      <c r="B522" s="87">
        <v>39.065571394865401</v>
      </c>
      <c r="C522" s="14">
        <v>2</v>
      </c>
      <c r="D522" s="86">
        <v>0.2447900936873374</v>
      </c>
      <c r="E522" s="86"/>
      <c r="F522" s="14"/>
    </row>
    <row r="523" spans="1:6" x14ac:dyDescent="0.25">
      <c r="A523" s="86">
        <v>522</v>
      </c>
      <c r="B523" s="87">
        <v>42.620774815412005</v>
      </c>
      <c r="C523" s="14">
        <v>2</v>
      </c>
      <c r="D523" s="86">
        <v>0.50983076599031618</v>
      </c>
      <c r="E523" s="86"/>
      <c r="F523" s="14"/>
    </row>
    <row r="524" spans="1:6" x14ac:dyDescent="0.25">
      <c r="A524" s="86">
        <v>523</v>
      </c>
      <c r="B524" s="87">
        <v>47.938988240610342</v>
      </c>
      <c r="C524" s="14">
        <v>2</v>
      </c>
      <c r="D524" s="86">
        <v>0.51031888209698784</v>
      </c>
      <c r="E524" s="86"/>
      <c r="F524" s="14"/>
    </row>
    <row r="525" spans="1:6" x14ac:dyDescent="0.25">
      <c r="A525" s="86">
        <v>524</v>
      </c>
      <c r="B525" s="87">
        <v>46.337356702104444</v>
      </c>
      <c r="C525" s="14">
        <v>4</v>
      </c>
      <c r="D525" s="86">
        <v>0.81446092699674999</v>
      </c>
      <c r="E525" s="86"/>
      <c r="F525" s="14"/>
    </row>
    <row r="526" spans="1:6" x14ac:dyDescent="0.25">
      <c r="A526" s="86">
        <v>525</v>
      </c>
      <c r="B526" s="87">
        <v>39.640144672710449</v>
      </c>
      <c r="C526" s="14">
        <v>5</v>
      </c>
      <c r="D526" s="86">
        <v>0.36122140432250238</v>
      </c>
      <c r="E526" s="86"/>
      <c r="F526" s="14"/>
    </row>
    <row r="527" spans="1:6" x14ac:dyDescent="0.25">
      <c r="A527" s="86">
        <v>526</v>
      </c>
      <c r="B527" s="87">
        <v>45.875202653740416</v>
      </c>
      <c r="C527" s="14">
        <v>1</v>
      </c>
      <c r="D527" s="86">
        <v>0.59178624913356837</v>
      </c>
      <c r="E527" s="86"/>
      <c r="F527" s="14"/>
    </row>
    <row r="528" spans="1:6" x14ac:dyDescent="0.25">
      <c r="A528" s="86">
        <v>527</v>
      </c>
      <c r="B528" s="87">
        <v>48.934111868555192</v>
      </c>
      <c r="C528" s="14">
        <v>4</v>
      </c>
      <c r="D528" s="86">
        <v>0.13305601773954712</v>
      </c>
      <c r="E528" s="86"/>
      <c r="F528" s="14"/>
    </row>
    <row r="529" spans="1:6" x14ac:dyDescent="0.25">
      <c r="A529" s="86">
        <v>528</v>
      </c>
      <c r="B529" s="87">
        <v>45.88965793515672</v>
      </c>
      <c r="C529" s="14">
        <v>2</v>
      </c>
      <c r="D529" s="86">
        <v>0.26283896169460774</v>
      </c>
      <c r="E529" s="86"/>
      <c r="F529" s="14"/>
    </row>
    <row r="530" spans="1:6" x14ac:dyDescent="0.25">
      <c r="A530" s="86">
        <v>529</v>
      </c>
      <c r="B530" s="87">
        <v>44.831961071729893</v>
      </c>
      <c r="C530" s="14">
        <v>1</v>
      </c>
      <c r="D530" s="86">
        <v>0.11253986058885113</v>
      </c>
      <c r="E530" s="86"/>
      <c r="F530" s="14"/>
    </row>
    <row r="531" spans="1:6" x14ac:dyDescent="0.25">
      <c r="A531" s="86">
        <v>530</v>
      </c>
      <c r="B531" s="87">
        <v>47.126036401430611</v>
      </c>
      <c r="C531" s="14">
        <v>2</v>
      </c>
      <c r="D531" s="86">
        <v>0.71910861924394753</v>
      </c>
      <c r="E531" s="86"/>
      <c r="F531" s="14"/>
    </row>
    <row r="532" spans="1:6" x14ac:dyDescent="0.25">
      <c r="A532" s="86">
        <v>531</v>
      </c>
      <c r="B532" s="87">
        <v>41.561941083607962</v>
      </c>
      <c r="C532" s="14">
        <v>5</v>
      </c>
      <c r="D532" s="86">
        <v>0.58828932234768483</v>
      </c>
      <c r="E532" s="86"/>
      <c r="F532" s="14"/>
    </row>
    <row r="533" spans="1:6" x14ac:dyDescent="0.25">
      <c r="A533" s="86">
        <v>532</v>
      </c>
      <c r="B533" s="87">
        <v>42.79320364218438</v>
      </c>
      <c r="C533" s="14">
        <v>2</v>
      </c>
      <c r="D533" s="86">
        <v>0.97358435477177552</v>
      </c>
      <c r="E533" s="86"/>
      <c r="F533" s="14"/>
    </row>
    <row r="534" spans="1:6" x14ac:dyDescent="0.25">
      <c r="A534" s="86">
        <v>533</v>
      </c>
      <c r="B534" s="87">
        <v>33.518654158222489</v>
      </c>
      <c r="C534" s="14">
        <v>4</v>
      </c>
      <c r="D534" s="86">
        <v>0.90481298638655405</v>
      </c>
      <c r="E534" s="86"/>
      <c r="F534" s="14"/>
    </row>
    <row r="535" spans="1:6" x14ac:dyDescent="0.25">
      <c r="A535" s="86">
        <v>534</v>
      </c>
      <c r="B535" s="87">
        <v>34.241838870337233</v>
      </c>
      <c r="C535" s="14">
        <v>3</v>
      </c>
      <c r="D535" s="86">
        <v>0.34858193690452643</v>
      </c>
      <c r="E535" s="86"/>
      <c r="F535" s="14"/>
    </row>
    <row r="536" spans="1:6" x14ac:dyDescent="0.25">
      <c r="A536" s="86">
        <v>535</v>
      </c>
      <c r="B536" s="87">
        <v>36.692085809016135</v>
      </c>
      <c r="C536" s="14">
        <v>2</v>
      </c>
      <c r="D536" s="86">
        <v>0.25843345841675269</v>
      </c>
      <c r="E536" s="86"/>
      <c r="F536" s="14"/>
    </row>
    <row r="537" spans="1:6" x14ac:dyDescent="0.25">
      <c r="A537" s="86">
        <v>536</v>
      </c>
      <c r="B537" s="87">
        <v>30.825140124186873</v>
      </c>
      <c r="C537" s="14">
        <v>2</v>
      </c>
      <c r="D537" s="86">
        <v>0.44224097232362758</v>
      </c>
      <c r="E537" s="86"/>
      <c r="F537" s="14"/>
    </row>
    <row r="538" spans="1:6" x14ac:dyDescent="0.25">
      <c r="A538" s="86">
        <v>537</v>
      </c>
      <c r="B538" s="87">
        <v>41.190514816087671</v>
      </c>
      <c r="C538" s="14">
        <v>1</v>
      </c>
      <c r="D538" s="86">
        <v>0.11385307916151466</v>
      </c>
      <c r="E538" s="86"/>
      <c r="F538" s="14"/>
    </row>
    <row r="539" spans="1:6" x14ac:dyDescent="0.25">
      <c r="A539" s="86">
        <v>538</v>
      </c>
      <c r="B539" s="87">
        <v>43.940133304538904</v>
      </c>
      <c r="C539" s="14">
        <v>4</v>
      </c>
      <c r="D539" s="86">
        <v>0.3764000931513517</v>
      </c>
      <c r="E539" s="86"/>
      <c r="F539" s="14"/>
    </row>
    <row r="540" spans="1:6" x14ac:dyDescent="0.25">
      <c r="A540" s="86">
        <v>539</v>
      </c>
      <c r="B540" s="87">
        <v>39.510052824305603</v>
      </c>
      <c r="C540" s="14">
        <v>5</v>
      </c>
      <c r="D540" s="86">
        <v>0.58818808976618664</v>
      </c>
      <c r="E540" s="86"/>
      <c r="F540" s="14"/>
    </row>
    <row r="541" spans="1:6" x14ac:dyDescent="0.25">
      <c r="A541" s="86">
        <v>540</v>
      </c>
      <c r="B541" s="87">
        <v>41.966262637623004</v>
      </c>
      <c r="C541" s="14">
        <v>4</v>
      </c>
      <c r="D541" s="86">
        <v>0.37489487676190447</v>
      </c>
      <c r="E541" s="86"/>
      <c r="F541" s="14"/>
    </row>
    <row r="542" spans="1:6" x14ac:dyDescent="0.25">
      <c r="A542" s="86">
        <v>541</v>
      </c>
      <c r="B542" s="87">
        <v>42.666408712073462</v>
      </c>
      <c r="C542" s="14">
        <v>3</v>
      </c>
      <c r="D542" s="86">
        <v>7.1404371085671325E-2</v>
      </c>
      <c r="E542" s="86"/>
      <c r="F542" s="14"/>
    </row>
    <row r="543" spans="1:6" x14ac:dyDescent="0.25">
      <c r="A543" s="86">
        <v>542</v>
      </c>
      <c r="B543" s="87">
        <v>45.626438799779862</v>
      </c>
      <c r="C543" s="14">
        <v>2</v>
      </c>
      <c r="D543" s="86">
        <v>0.3996600532190655</v>
      </c>
      <c r="E543" s="86"/>
      <c r="F543" s="14"/>
    </row>
    <row r="544" spans="1:6" x14ac:dyDescent="0.25">
      <c r="A544" s="86">
        <v>543</v>
      </c>
      <c r="B544" s="87">
        <v>50.260223355842754</v>
      </c>
      <c r="C544" s="14">
        <v>2</v>
      </c>
      <c r="D544" s="86">
        <v>0.49870205833822046</v>
      </c>
      <c r="E544" s="86"/>
      <c r="F544" s="14"/>
    </row>
    <row r="545" spans="1:6" x14ac:dyDescent="0.25">
      <c r="A545" s="86">
        <v>544</v>
      </c>
      <c r="B545" s="87">
        <v>46.687910066219047</v>
      </c>
      <c r="C545" s="14">
        <v>1</v>
      </c>
      <c r="D545" s="86">
        <v>0.25088903614144342</v>
      </c>
      <c r="E545" s="86"/>
      <c r="F545" s="14"/>
    </row>
    <row r="546" spans="1:6" x14ac:dyDescent="0.25">
      <c r="A546" s="86">
        <v>545</v>
      </c>
      <c r="B546" s="87">
        <v>42.29058844827523</v>
      </c>
      <c r="C546" s="14">
        <v>4</v>
      </c>
      <c r="D546" s="86">
        <v>5.6928135163083482E-3</v>
      </c>
      <c r="E546" s="86"/>
      <c r="F546" s="14"/>
    </row>
    <row r="547" spans="1:6" x14ac:dyDescent="0.25">
      <c r="A547" s="86">
        <v>546</v>
      </c>
      <c r="B547" s="87">
        <v>30.630872055888176</v>
      </c>
      <c r="C547" s="14">
        <v>5</v>
      </c>
      <c r="D547" s="86">
        <v>0.62301778113967832</v>
      </c>
      <c r="E547" s="86"/>
      <c r="F547" s="14"/>
    </row>
    <row r="548" spans="1:6" x14ac:dyDescent="0.25">
      <c r="A548" s="86">
        <v>547</v>
      </c>
      <c r="B548" s="87">
        <v>42.792441940371646</v>
      </c>
      <c r="C548" s="14">
        <v>4</v>
      </c>
      <c r="D548" s="86">
        <v>0.74074934860634711</v>
      </c>
      <c r="E548" s="86"/>
      <c r="F548" s="14"/>
    </row>
    <row r="549" spans="1:6" x14ac:dyDescent="0.25">
      <c r="A549" s="86">
        <v>548</v>
      </c>
      <c r="B549" s="87">
        <v>40.245356553321471</v>
      </c>
      <c r="C549" s="14">
        <v>2</v>
      </c>
      <c r="D549" s="86">
        <v>3.4219991625507817E-2</v>
      </c>
      <c r="E549" s="86"/>
      <c r="F549" s="14"/>
    </row>
    <row r="550" spans="1:6" x14ac:dyDescent="0.25">
      <c r="A550" s="86">
        <v>549</v>
      </c>
      <c r="B550" s="87">
        <v>42.349654444813496</v>
      </c>
      <c r="C550" s="14">
        <v>4</v>
      </c>
      <c r="D550" s="86">
        <v>4.5960257571286744E-2</v>
      </c>
      <c r="E550" s="86"/>
      <c r="F550" s="14"/>
    </row>
    <row r="551" spans="1:6" x14ac:dyDescent="0.25">
      <c r="A551" s="86">
        <v>550</v>
      </c>
      <c r="B551" s="87">
        <v>48.397055247158278</v>
      </c>
      <c r="C551" s="14">
        <v>1</v>
      </c>
      <c r="D551" s="86">
        <v>0.47166234500328041</v>
      </c>
      <c r="E551" s="86"/>
      <c r="F551" s="14"/>
    </row>
    <row r="552" spans="1:6" x14ac:dyDescent="0.25">
      <c r="A552" s="86">
        <v>551</v>
      </c>
      <c r="B552" s="87">
        <v>44.347791567241075</v>
      </c>
      <c r="C552" s="14">
        <v>1</v>
      </c>
      <c r="D552" s="86">
        <v>0.46477473781749934</v>
      </c>
      <c r="E552" s="86"/>
      <c r="F552" s="14"/>
    </row>
    <row r="553" spans="1:6" x14ac:dyDescent="0.25">
      <c r="A553" s="86">
        <v>552</v>
      </c>
      <c r="B553" s="87">
        <v>33.349351719487458</v>
      </c>
      <c r="C553" s="14">
        <v>4</v>
      </c>
      <c r="D553" s="86">
        <v>0.89122762597274807</v>
      </c>
      <c r="E553" s="86"/>
      <c r="F553" s="14"/>
    </row>
    <row r="554" spans="1:6" x14ac:dyDescent="0.25">
      <c r="A554" s="86">
        <v>553</v>
      </c>
      <c r="B554" s="87">
        <v>42.698991359764477</v>
      </c>
      <c r="C554" s="14">
        <v>4</v>
      </c>
      <c r="D554" s="86">
        <v>0.18768986329374437</v>
      </c>
      <c r="E554" s="86"/>
      <c r="F554" s="14"/>
    </row>
    <row r="555" spans="1:6" x14ac:dyDescent="0.25">
      <c r="A555" s="86">
        <v>554</v>
      </c>
      <c r="B555" s="87">
        <v>42.029483888079994</v>
      </c>
      <c r="C555" s="14">
        <v>5</v>
      </c>
      <c r="D555" s="86">
        <v>0.50875988573178588</v>
      </c>
      <c r="E555" s="86"/>
      <c r="F555" s="14"/>
    </row>
    <row r="556" spans="1:6" x14ac:dyDescent="0.25">
      <c r="A556" s="86">
        <v>555</v>
      </c>
      <c r="B556" s="87">
        <v>49.903633220645133</v>
      </c>
      <c r="C556" s="14">
        <v>4</v>
      </c>
      <c r="D556" s="86">
        <v>0.88764530786004114</v>
      </c>
      <c r="E556" s="86"/>
      <c r="F556" s="14"/>
    </row>
    <row r="557" spans="1:6" x14ac:dyDescent="0.25">
      <c r="A557" s="86">
        <v>556</v>
      </c>
      <c r="B557" s="87">
        <v>40.065026491327444</v>
      </c>
      <c r="C557" s="14">
        <v>4</v>
      </c>
      <c r="D557" s="86">
        <v>0.23734800562249903</v>
      </c>
      <c r="E557" s="86"/>
      <c r="F557" s="14"/>
    </row>
    <row r="558" spans="1:6" x14ac:dyDescent="0.25">
      <c r="A558" s="86">
        <v>557</v>
      </c>
      <c r="B558" s="87">
        <v>44.658372639212757</v>
      </c>
      <c r="C558" s="14">
        <v>2</v>
      </c>
      <c r="D558" s="86">
        <v>0.19904259291551973</v>
      </c>
      <c r="E558" s="86"/>
      <c r="F558" s="14"/>
    </row>
    <row r="559" spans="1:6" x14ac:dyDescent="0.25">
      <c r="A559" s="86">
        <v>558</v>
      </c>
      <c r="B559" s="87">
        <v>48.590823093371</v>
      </c>
      <c r="C559" s="14">
        <v>2</v>
      </c>
      <c r="D559" s="86">
        <v>0.35984264806464406</v>
      </c>
      <c r="E559" s="86"/>
      <c r="F559" s="14"/>
    </row>
    <row r="560" spans="1:6" x14ac:dyDescent="0.25">
      <c r="A560" s="86">
        <v>559</v>
      </c>
      <c r="B560" s="87">
        <v>51.513461580150761</v>
      </c>
      <c r="C560" s="14">
        <v>2</v>
      </c>
      <c r="D560" s="86">
        <v>0.19890821933975156</v>
      </c>
      <c r="E560" s="86"/>
      <c r="F560" s="14"/>
    </row>
    <row r="561" spans="1:6" x14ac:dyDescent="0.25">
      <c r="A561" s="86">
        <v>560</v>
      </c>
      <c r="B561" s="87">
        <v>46.349794042151188</v>
      </c>
      <c r="C561" s="14">
        <v>2</v>
      </c>
      <c r="D561" s="86">
        <v>0.97696874054698313</v>
      </c>
      <c r="E561" s="86"/>
      <c r="F561" s="14"/>
    </row>
    <row r="562" spans="1:6" x14ac:dyDescent="0.25">
      <c r="A562" s="86">
        <v>561</v>
      </c>
      <c r="B562" s="87">
        <v>40.621557668026071</v>
      </c>
      <c r="C562" s="14">
        <v>3</v>
      </c>
      <c r="D562" s="86">
        <v>0.78001099206956426</v>
      </c>
      <c r="E562" s="86"/>
      <c r="F562" s="14"/>
    </row>
    <row r="563" spans="1:6" x14ac:dyDescent="0.25">
      <c r="A563" s="86">
        <v>562</v>
      </c>
      <c r="B563" s="87">
        <v>50.432436177623458</v>
      </c>
      <c r="C563" s="14">
        <v>2</v>
      </c>
      <c r="D563" s="86">
        <v>0.29285580327689731</v>
      </c>
      <c r="E563" s="86"/>
      <c r="F563" s="14"/>
    </row>
    <row r="564" spans="1:6" x14ac:dyDescent="0.25">
      <c r="A564" s="86">
        <v>563</v>
      </c>
      <c r="B564" s="87">
        <v>37.67835323230247</v>
      </c>
      <c r="C564" s="14">
        <v>5</v>
      </c>
      <c r="D564" s="86">
        <v>0.21678576966396568</v>
      </c>
      <c r="E564" s="86"/>
      <c r="F564" s="14"/>
    </row>
    <row r="565" spans="1:6" x14ac:dyDescent="0.25">
      <c r="A565" s="86">
        <v>564</v>
      </c>
      <c r="B565" s="87">
        <v>47.149740107095568</v>
      </c>
      <c r="C565" s="14">
        <v>4</v>
      </c>
      <c r="D565" s="86">
        <v>0.72789202584300927</v>
      </c>
      <c r="E565" s="86"/>
      <c r="F565" s="14"/>
    </row>
    <row r="566" spans="1:6" x14ac:dyDescent="0.25">
      <c r="A566" s="86">
        <v>565</v>
      </c>
      <c r="B566" s="87">
        <v>36.717426605144283</v>
      </c>
      <c r="C566" s="14">
        <v>2</v>
      </c>
      <c r="D566" s="86">
        <v>0.16287886607419022</v>
      </c>
      <c r="E566" s="86"/>
      <c r="F566" s="14"/>
    </row>
    <row r="567" spans="1:6" x14ac:dyDescent="0.25">
      <c r="A567" s="86">
        <v>566</v>
      </c>
      <c r="B567" s="87">
        <v>42.639192083122907</v>
      </c>
      <c r="C567" s="14">
        <v>4</v>
      </c>
      <c r="D567" s="86">
        <v>0.93737919618778331</v>
      </c>
      <c r="E567" s="86"/>
      <c r="F567" s="14"/>
    </row>
    <row r="568" spans="1:6" x14ac:dyDescent="0.25">
      <c r="A568" s="86">
        <v>567</v>
      </c>
      <c r="B568" s="87">
        <v>46.014417870872421</v>
      </c>
      <c r="C568" s="14">
        <v>5</v>
      </c>
      <c r="D568" s="86">
        <v>0.80679092966215016</v>
      </c>
      <c r="E568" s="86"/>
      <c r="F568" s="14"/>
    </row>
    <row r="569" spans="1:6" x14ac:dyDescent="0.25">
      <c r="A569" s="86">
        <v>568</v>
      </c>
      <c r="B569" s="87">
        <v>45.838726231857436</v>
      </c>
      <c r="C569" s="14">
        <v>3</v>
      </c>
      <c r="D569" s="86">
        <v>0.62031221763745326</v>
      </c>
      <c r="E569" s="86"/>
      <c r="F569" s="14"/>
    </row>
    <row r="570" spans="1:6" x14ac:dyDescent="0.25">
      <c r="A570" s="86">
        <v>569</v>
      </c>
      <c r="B570" s="87">
        <v>43.266152255790075</v>
      </c>
      <c r="C570" s="14">
        <v>2</v>
      </c>
      <c r="D570" s="86">
        <v>0.15541078335750524</v>
      </c>
      <c r="E570" s="86"/>
      <c r="F570" s="14"/>
    </row>
    <row r="571" spans="1:6" x14ac:dyDescent="0.25">
      <c r="A571" s="86">
        <v>570</v>
      </c>
      <c r="B571" s="87">
        <v>38.527400642458815</v>
      </c>
      <c r="C571" s="14">
        <v>4</v>
      </c>
      <c r="D571" s="86">
        <v>0.59225514491647746</v>
      </c>
      <c r="E571" s="86"/>
      <c r="F571" s="14"/>
    </row>
    <row r="572" spans="1:6" x14ac:dyDescent="0.25">
      <c r="A572" s="86">
        <v>571</v>
      </c>
      <c r="B572" s="87">
        <v>39.702206317422679</v>
      </c>
      <c r="C572" s="14">
        <v>4</v>
      </c>
      <c r="D572" s="86">
        <v>0.34119226345155507</v>
      </c>
      <c r="E572" s="86"/>
      <c r="F572" s="14"/>
    </row>
    <row r="573" spans="1:6" x14ac:dyDescent="0.25">
      <c r="A573" s="86">
        <v>572</v>
      </c>
      <c r="B573" s="87">
        <v>42.049742882561986</v>
      </c>
      <c r="C573" s="14">
        <v>4</v>
      </c>
      <c r="D573" s="86">
        <v>0.39837779057351252</v>
      </c>
      <c r="E573" s="86"/>
      <c r="F573" s="14"/>
    </row>
    <row r="574" spans="1:6" x14ac:dyDescent="0.25">
      <c r="A574" s="86">
        <v>573</v>
      </c>
      <c r="B574" s="87">
        <v>44.144587713497458</v>
      </c>
      <c r="C574" s="14">
        <v>2</v>
      </c>
      <c r="D574" s="86">
        <v>0.32382472423569064</v>
      </c>
      <c r="E574" s="86"/>
      <c r="F574" s="14"/>
    </row>
    <row r="575" spans="1:6" x14ac:dyDescent="0.25">
      <c r="A575" s="86">
        <v>574</v>
      </c>
      <c r="B575" s="87">
        <v>37.642496403685072</v>
      </c>
      <c r="C575" s="14">
        <v>4</v>
      </c>
      <c r="D575" s="86">
        <v>0.9861373343277583</v>
      </c>
      <c r="E575" s="86"/>
      <c r="F575" s="14"/>
    </row>
    <row r="576" spans="1:6" x14ac:dyDescent="0.25">
      <c r="A576" s="86">
        <v>575</v>
      </c>
      <c r="B576" s="87">
        <v>44.436063712390023</v>
      </c>
      <c r="C576" s="14">
        <v>5</v>
      </c>
      <c r="D576" s="86">
        <v>0.29538569696908989</v>
      </c>
      <c r="E576" s="86"/>
      <c r="F576" s="14"/>
    </row>
    <row r="577" spans="1:6" x14ac:dyDescent="0.25">
      <c r="A577" s="86">
        <v>576</v>
      </c>
      <c r="B577" s="87">
        <v>43.061777427617926</v>
      </c>
      <c r="C577" s="14">
        <v>2</v>
      </c>
      <c r="D577" s="86">
        <v>0.4609060686220342</v>
      </c>
      <c r="E577" s="86"/>
      <c r="F577" s="14"/>
    </row>
    <row r="578" spans="1:6" x14ac:dyDescent="0.25">
      <c r="A578" s="86">
        <v>577</v>
      </c>
      <c r="B578" s="87">
        <v>41.348494045785628</v>
      </c>
      <c r="C578" s="14">
        <v>2</v>
      </c>
      <c r="D578" s="86">
        <v>0.57362650713646279</v>
      </c>
      <c r="E578" s="86"/>
      <c r="F578" s="14"/>
    </row>
    <row r="579" spans="1:6" x14ac:dyDescent="0.25">
      <c r="A579" s="86">
        <v>578</v>
      </c>
      <c r="B579" s="87">
        <v>40.0827275319607</v>
      </c>
      <c r="C579" s="14">
        <v>4</v>
      </c>
      <c r="D579" s="86">
        <v>0.33595473960510558</v>
      </c>
      <c r="E579" s="86"/>
      <c r="F579" s="14"/>
    </row>
    <row r="580" spans="1:6" x14ac:dyDescent="0.25">
      <c r="A580" s="86">
        <v>579</v>
      </c>
      <c r="B580" s="87">
        <v>37.654024249030044</v>
      </c>
      <c r="C580" s="14">
        <v>5</v>
      </c>
      <c r="D580" s="86">
        <v>0.67298724949514543</v>
      </c>
      <c r="E580" s="86"/>
      <c r="F580" s="14"/>
    </row>
    <row r="581" spans="1:6" x14ac:dyDescent="0.25">
      <c r="A581" s="86">
        <v>580</v>
      </c>
      <c r="B581" s="87">
        <v>51.574397725169547</v>
      </c>
      <c r="C581" s="14">
        <v>2</v>
      </c>
      <c r="D581" s="86">
        <v>0.74000056453022545</v>
      </c>
      <c r="E581" s="86"/>
      <c r="F581" s="14"/>
    </row>
    <row r="582" spans="1:6" x14ac:dyDescent="0.25">
      <c r="A582" s="86">
        <v>581</v>
      </c>
      <c r="B582" s="87">
        <v>40.185057054593926</v>
      </c>
      <c r="C582" s="14">
        <v>5</v>
      </c>
      <c r="D582" s="86">
        <v>0.19301335292625721</v>
      </c>
      <c r="E582" s="86"/>
      <c r="F582" s="14"/>
    </row>
    <row r="583" spans="1:6" x14ac:dyDescent="0.25">
      <c r="A583" s="86">
        <v>582</v>
      </c>
      <c r="B583" s="87">
        <v>43.481344386571436</v>
      </c>
      <c r="C583" s="14">
        <v>2</v>
      </c>
      <c r="D583" s="86">
        <v>0.19212225458547971</v>
      </c>
      <c r="E583" s="86"/>
      <c r="F583" s="14"/>
    </row>
    <row r="584" spans="1:6" x14ac:dyDescent="0.25">
      <c r="A584" s="86">
        <v>583</v>
      </c>
      <c r="B584" s="87">
        <v>48.856691132066771</v>
      </c>
      <c r="C584" s="14">
        <v>2</v>
      </c>
      <c r="D584" s="86">
        <v>0.53533487536410274</v>
      </c>
      <c r="E584" s="86"/>
      <c r="F584" s="14"/>
    </row>
    <row r="585" spans="1:6" x14ac:dyDescent="0.25">
      <c r="A585" s="86">
        <v>584</v>
      </c>
      <c r="B585" s="87">
        <v>44.395852677887888</v>
      </c>
      <c r="C585" s="14">
        <v>4</v>
      </c>
      <c r="D585" s="86">
        <v>0.27414610340753531</v>
      </c>
      <c r="E585" s="86"/>
      <c r="F585" s="14"/>
    </row>
    <row r="586" spans="1:6" x14ac:dyDescent="0.25">
      <c r="A586" s="86">
        <v>585</v>
      </c>
      <c r="B586" s="87">
        <v>43.450609149993397</v>
      </c>
      <c r="C586" s="14">
        <v>2</v>
      </c>
      <c r="D586" s="86">
        <v>0.29166506344038812</v>
      </c>
      <c r="E586" s="86"/>
      <c r="F586" s="14"/>
    </row>
    <row r="587" spans="1:6" x14ac:dyDescent="0.25">
      <c r="A587" s="86">
        <v>586</v>
      </c>
      <c r="B587" s="87">
        <v>46.672363391160616</v>
      </c>
      <c r="C587" s="14">
        <v>5</v>
      </c>
      <c r="D587" s="86">
        <v>0.42039877641064327</v>
      </c>
      <c r="E587" s="86"/>
      <c r="F587" s="14"/>
    </row>
    <row r="588" spans="1:6" x14ac:dyDescent="0.25">
      <c r="A588" s="86">
        <v>587</v>
      </c>
      <c r="B588" s="87">
        <v>42.299473074643174</v>
      </c>
      <c r="C588" s="14">
        <v>2</v>
      </c>
      <c r="D588" s="86">
        <v>0.22047660959556115</v>
      </c>
      <c r="E588" s="86"/>
      <c r="F588" s="14"/>
    </row>
    <row r="589" spans="1:6" x14ac:dyDescent="0.25">
      <c r="A589" s="86">
        <v>588</v>
      </c>
      <c r="B589" s="87">
        <v>43.990007720247377</v>
      </c>
      <c r="C589" s="14">
        <v>1</v>
      </c>
      <c r="D589" s="86">
        <v>0.27369160870768761</v>
      </c>
      <c r="E589" s="86"/>
      <c r="F589" s="14"/>
    </row>
    <row r="590" spans="1:6" x14ac:dyDescent="0.25">
      <c r="A590" s="86">
        <v>589</v>
      </c>
      <c r="B590" s="87">
        <v>40.99925376464671</v>
      </c>
      <c r="C590" s="14">
        <v>1</v>
      </c>
      <c r="D590" s="86">
        <v>0.34344661848129421</v>
      </c>
      <c r="E590" s="86"/>
      <c r="F590" s="14"/>
    </row>
    <row r="591" spans="1:6" x14ac:dyDescent="0.25">
      <c r="A591" s="86">
        <v>590</v>
      </c>
      <c r="B591" s="87">
        <v>36.135838849411812</v>
      </c>
      <c r="C591" s="14">
        <v>4</v>
      </c>
      <c r="D591" s="86">
        <v>0.69517909148035251</v>
      </c>
      <c r="E591" s="86"/>
      <c r="F591" s="14"/>
    </row>
    <row r="592" spans="1:6" x14ac:dyDescent="0.25">
      <c r="A592" s="86">
        <v>591</v>
      </c>
      <c r="B592" s="87">
        <v>44.46000047607231</v>
      </c>
      <c r="C592" s="14">
        <v>4</v>
      </c>
      <c r="D592" s="86">
        <v>0.81202910625263325</v>
      </c>
      <c r="E592" s="86"/>
      <c r="F592" s="14"/>
    </row>
    <row r="593" spans="1:6" x14ac:dyDescent="0.25">
      <c r="A593" s="86">
        <v>592</v>
      </c>
      <c r="B593" s="87">
        <v>45.223657702415949</v>
      </c>
      <c r="C593" s="14">
        <v>3</v>
      </c>
      <c r="D593" s="86">
        <v>6.2644706106742554E-2</v>
      </c>
      <c r="E593" s="86"/>
      <c r="F593" s="14"/>
    </row>
    <row r="594" spans="1:6" x14ac:dyDescent="0.25">
      <c r="A594" s="86">
        <v>593</v>
      </c>
      <c r="B594" s="87">
        <v>41.224780028976966</v>
      </c>
      <c r="C594" s="14">
        <v>2</v>
      </c>
      <c r="D594" s="86">
        <v>0.20690698445808098</v>
      </c>
      <c r="E594" s="86"/>
      <c r="F594" s="14"/>
    </row>
    <row r="595" spans="1:6" x14ac:dyDescent="0.25">
      <c r="A595" s="86">
        <v>594</v>
      </c>
      <c r="B595" s="87">
        <v>47.410173914948246</v>
      </c>
      <c r="C595" s="14">
        <v>3</v>
      </c>
      <c r="D595" s="86">
        <v>0.12376882459348826</v>
      </c>
      <c r="E595" s="86"/>
      <c r="F595" s="14"/>
    </row>
    <row r="596" spans="1:6" x14ac:dyDescent="0.25">
      <c r="A596" s="86">
        <v>595</v>
      </c>
      <c r="B596" s="87">
        <v>36.834467204578687</v>
      </c>
      <c r="C596" s="14">
        <v>4</v>
      </c>
      <c r="D596" s="86">
        <v>0.65997293878772412</v>
      </c>
      <c r="E596" s="86"/>
      <c r="F596" s="14"/>
    </row>
    <row r="597" spans="1:6" x14ac:dyDescent="0.25">
      <c r="A597" s="86">
        <v>596</v>
      </c>
      <c r="B597" s="87">
        <v>38.156065324408701</v>
      </c>
      <c r="C597" s="14">
        <v>2</v>
      </c>
      <c r="D597" s="86">
        <v>0.30926171900992117</v>
      </c>
      <c r="E597" s="86"/>
      <c r="F597" s="14"/>
    </row>
    <row r="598" spans="1:6" x14ac:dyDescent="0.25">
      <c r="A598" s="86">
        <v>597</v>
      </c>
      <c r="B598" s="87">
        <v>52.109044185606763</v>
      </c>
      <c r="C598" s="14">
        <v>4</v>
      </c>
      <c r="D598" s="86">
        <v>0.19316948964229086</v>
      </c>
      <c r="E598" s="86"/>
      <c r="F598" s="14"/>
    </row>
    <row r="599" spans="1:6" x14ac:dyDescent="0.25">
      <c r="A599" s="86">
        <v>598</v>
      </c>
      <c r="B599" s="87">
        <v>45.339538696105592</v>
      </c>
      <c r="C599" s="14">
        <v>4</v>
      </c>
      <c r="D599" s="86">
        <v>0.66838808957099161</v>
      </c>
      <c r="E599" s="86"/>
      <c r="F599" s="14"/>
    </row>
    <row r="600" spans="1:6" x14ac:dyDescent="0.25">
      <c r="A600" s="86">
        <v>599</v>
      </c>
      <c r="B600" s="87">
        <v>44.435665808457998</v>
      </c>
      <c r="C600" s="14">
        <v>4</v>
      </c>
      <c r="D600" s="86">
        <v>0.28335762633495509</v>
      </c>
      <c r="E600" s="86"/>
      <c r="F600" s="14"/>
    </row>
    <row r="601" spans="1:6" x14ac:dyDescent="0.25">
      <c r="A601" s="86">
        <v>600</v>
      </c>
      <c r="B601" s="87">
        <v>48.09528490511002</v>
      </c>
      <c r="C601" s="14">
        <v>2</v>
      </c>
      <c r="D601" s="86">
        <v>0.95928874744097681</v>
      </c>
      <c r="E601" s="86"/>
      <c r="F601" s="14"/>
    </row>
    <row r="602" spans="1:6" x14ac:dyDescent="0.25">
      <c r="A602" s="86">
        <v>601</v>
      </c>
      <c r="B602" s="87">
        <v>46.768218448385596</v>
      </c>
      <c r="C602" s="14">
        <v>4</v>
      </c>
      <c r="D602" s="86">
        <v>0.68438374365795962</v>
      </c>
      <c r="E602" s="86"/>
      <c r="F602" s="14"/>
    </row>
    <row r="603" spans="1:6" x14ac:dyDescent="0.25">
      <c r="A603" s="86">
        <v>602</v>
      </c>
      <c r="B603" s="87">
        <v>42.249996562866727</v>
      </c>
      <c r="C603" s="14">
        <v>3</v>
      </c>
      <c r="D603" s="86">
        <v>0.63721835099730184</v>
      </c>
      <c r="E603" s="86"/>
      <c r="F603" s="14"/>
    </row>
    <row r="604" spans="1:6" x14ac:dyDescent="0.25">
      <c r="A604" s="86">
        <v>603</v>
      </c>
      <c r="B604" s="87">
        <v>44.101830093830358</v>
      </c>
      <c r="C604" s="14">
        <v>4</v>
      </c>
      <c r="D604" s="86">
        <v>0.25206069306281331</v>
      </c>
      <c r="E604" s="86"/>
      <c r="F604" s="14"/>
    </row>
    <row r="605" spans="1:6" x14ac:dyDescent="0.25">
      <c r="A605" s="86">
        <v>604</v>
      </c>
      <c r="B605" s="87">
        <v>45.831984602380544</v>
      </c>
      <c r="C605" s="14">
        <v>2</v>
      </c>
      <c r="D605" s="86">
        <v>0.22565543736481974</v>
      </c>
      <c r="E605" s="86"/>
      <c r="F605" s="14"/>
    </row>
    <row r="606" spans="1:6" x14ac:dyDescent="0.25">
      <c r="A606" s="86">
        <v>605</v>
      </c>
      <c r="B606" s="87">
        <v>37.255745150439907</v>
      </c>
      <c r="C606" s="14">
        <v>5</v>
      </c>
      <c r="D606" s="86">
        <v>0.22932717003990444</v>
      </c>
      <c r="E606" s="86"/>
      <c r="F606" s="14"/>
    </row>
    <row r="607" spans="1:6" x14ac:dyDescent="0.25">
      <c r="A607" s="86">
        <v>606</v>
      </c>
      <c r="B607" s="87">
        <v>43.351224116457161</v>
      </c>
      <c r="C607" s="14">
        <v>1</v>
      </c>
      <c r="D607" s="86">
        <v>0.72711606087305825</v>
      </c>
      <c r="E607" s="86"/>
      <c r="F607" s="14"/>
    </row>
    <row r="608" spans="1:6" x14ac:dyDescent="0.25">
      <c r="A608" s="86">
        <v>607</v>
      </c>
      <c r="B608" s="87">
        <v>48.739809694205178</v>
      </c>
      <c r="C608" s="14">
        <v>5</v>
      </c>
      <c r="D608" s="86">
        <v>0.44306911988763897</v>
      </c>
      <c r="E608" s="86"/>
      <c r="F608" s="14"/>
    </row>
    <row r="609" spans="1:6" x14ac:dyDescent="0.25">
      <c r="A609" s="86">
        <v>608</v>
      </c>
      <c r="B609" s="87">
        <v>40.234226611908525</v>
      </c>
      <c r="C609" s="14">
        <v>4</v>
      </c>
      <c r="D609" s="86">
        <v>0.17308493879903475</v>
      </c>
      <c r="E609" s="86"/>
      <c r="F609" s="14"/>
    </row>
    <row r="610" spans="1:6" x14ac:dyDescent="0.25">
      <c r="A610" s="86">
        <v>609</v>
      </c>
      <c r="B610" s="87">
        <v>47.61420768260723</v>
      </c>
      <c r="C610" s="14">
        <v>2</v>
      </c>
      <c r="D610" s="86">
        <v>3.3517445662305301E-2</v>
      </c>
      <c r="E610" s="86"/>
      <c r="F610" s="14"/>
    </row>
    <row r="611" spans="1:6" x14ac:dyDescent="0.25">
      <c r="A611" s="86">
        <v>610</v>
      </c>
      <c r="B611" s="87">
        <v>51.658821570861619</v>
      </c>
      <c r="C611" s="14">
        <v>4</v>
      </c>
      <c r="D611" s="86">
        <v>0.63316510095653866</v>
      </c>
      <c r="E611" s="86"/>
      <c r="F611" s="14"/>
    </row>
    <row r="612" spans="1:6" x14ac:dyDescent="0.25">
      <c r="A612" s="86">
        <v>611</v>
      </c>
      <c r="B612" s="87">
        <v>44.92267179954797</v>
      </c>
      <c r="C612" s="14">
        <v>4</v>
      </c>
      <c r="D612" s="86">
        <v>0.83102522596317963</v>
      </c>
      <c r="E612" s="86"/>
      <c r="F612" s="14"/>
    </row>
    <row r="613" spans="1:6" x14ac:dyDescent="0.25">
      <c r="A613" s="86">
        <v>612</v>
      </c>
      <c r="B613" s="87">
        <v>48.999595487082843</v>
      </c>
      <c r="C613" s="14">
        <v>4</v>
      </c>
      <c r="D613" s="86">
        <v>0.42788588358237323</v>
      </c>
      <c r="E613" s="86"/>
      <c r="F613" s="14"/>
    </row>
    <row r="614" spans="1:6" x14ac:dyDescent="0.25">
      <c r="A614" s="86">
        <v>613</v>
      </c>
      <c r="B614" s="87">
        <v>49.988966561038978</v>
      </c>
      <c r="C614" s="14">
        <v>4</v>
      </c>
      <c r="D614" s="86">
        <v>0.18491723442169961</v>
      </c>
      <c r="E614" s="86"/>
      <c r="F614" s="14"/>
    </row>
    <row r="615" spans="1:6" x14ac:dyDescent="0.25">
      <c r="A615" s="86">
        <v>614</v>
      </c>
      <c r="B615" s="87">
        <v>36.465235093026422</v>
      </c>
      <c r="C615" s="14">
        <v>4</v>
      </c>
      <c r="D615" s="86">
        <v>0.42716712750784902</v>
      </c>
      <c r="E615" s="86"/>
      <c r="F615" s="14"/>
    </row>
    <row r="616" spans="1:6" x14ac:dyDescent="0.25">
      <c r="A616" s="86">
        <v>615</v>
      </c>
      <c r="B616" s="87">
        <v>46.167212980770273</v>
      </c>
      <c r="C616" s="14">
        <v>4</v>
      </c>
      <c r="D616" s="86">
        <v>0.73082053008351411</v>
      </c>
      <c r="E616" s="86"/>
      <c r="F616" s="14"/>
    </row>
    <row r="617" spans="1:6" x14ac:dyDescent="0.25">
      <c r="A617" s="86">
        <v>616</v>
      </c>
      <c r="B617" s="87">
        <v>46.817172000708524</v>
      </c>
      <c r="C617" s="14">
        <v>1</v>
      </c>
      <c r="D617" s="86">
        <v>0.49057761868402916</v>
      </c>
      <c r="E617" s="86"/>
      <c r="F617" s="14"/>
    </row>
    <row r="618" spans="1:6" x14ac:dyDescent="0.25">
      <c r="A618" s="86">
        <v>617</v>
      </c>
      <c r="B618" s="87">
        <v>47.755406735057477</v>
      </c>
      <c r="C618" s="14">
        <v>2</v>
      </c>
      <c r="D618" s="86">
        <v>0.97385239840810534</v>
      </c>
      <c r="E618" s="86"/>
      <c r="F618" s="14"/>
    </row>
    <row r="619" spans="1:6" x14ac:dyDescent="0.25">
      <c r="A619" s="86">
        <v>618</v>
      </c>
      <c r="B619" s="87">
        <v>42.435198105857125</v>
      </c>
      <c r="C619" s="14">
        <v>1</v>
      </c>
      <c r="D619" s="86">
        <v>0.3192922101698995</v>
      </c>
      <c r="E619" s="86"/>
      <c r="F619" s="14"/>
    </row>
    <row r="620" spans="1:6" x14ac:dyDescent="0.25">
      <c r="A620" s="86">
        <v>619</v>
      </c>
      <c r="B620" s="87">
        <v>47.708715550805209</v>
      </c>
      <c r="C620" s="14">
        <v>1</v>
      </c>
      <c r="D620" s="86">
        <v>0.65807993044384028</v>
      </c>
      <c r="E620" s="86"/>
      <c r="F620" s="14"/>
    </row>
    <row r="621" spans="1:6" x14ac:dyDescent="0.25">
      <c r="A621" s="86">
        <v>620</v>
      </c>
      <c r="B621" s="87">
        <v>45.391300313320244</v>
      </c>
      <c r="C621" s="14">
        <v>4</v>
      </c>
      <c r="D621" s="86">
        <v>0.13151085434629584</v>
      </c>
      <c r="E621" s="86"/>
      <c r="F621" s="14"/>
    </row>
    <row r="622" spans="1:6" x14ac:dyDescent="0.25">
      <c r="A622" s="86">
        <v>621</v>
      </c>
      <c r="B622" s="87">
        <v>43.445618297817418</v>
      </c>
      <c r="C622" s="14">
        <v>2</v>
      </c>
      <c r="D622" s="86">
        <v>0.54117658764759224</v>
      </c>
      <c r="E622" s="86"/>
      <c r="F622" s="14"/>
    </row>
    <row r="623" spans="1:6" x14ac:dyDescent="0.25">
      <c r="A623" s="86">
        <v>622</v>
      </c>
      <c r="B623" s="87">
        <v>38.69772626273334</v>
      </c>
      <c r="C623" s="14">
        <v>4</v>
      </c>
      <c r="D623" s="86">
        <v>0.71866574858103893</v>
      </c>
      <c r="E623" s="86"/>
      <c r="F623" s="14"/>
    </row>
    <row r="624" spans="1:6" x14ac:dyDescent="0.25">
      <c r="A624" s="86">
        <v>623</v>
      </c>
      <c r="B624" s="87">
        <v>44.628097834327491</v>
      </c>
      <c r="C624" s="14">
        <v>2</v>
      </c>
      <c r="D624" s="86">
        <v>0.76924875000654691</v>
      </c>
      <c r="E624" s="86"/>
      <c r="F624" s="14"/>
    </row>
    <row r="625" spans="1:6" x14ac:dyDescent="0.25">
      <c r="A625" s="86">
        <v>624</v>
      </c>
      <c r="B625" s="87">
        <v>42.174087861320004</v>
      </c>
      <c r="C625" s="14">
        <v>2</v>
      </c>
      <c r="D625" s="86">
        <v>0.52457677921729051</v>
      </c>
      <c r="E625" s="86"/>
      <c r="F625" s="14"/>
    </row>
    <row r="626" spans="1:6" x14ac:dyDescent="0.25">
      <c r="A626" s="86">
        <v>625</v>
      </c>
      <c r="B626" s="87">
        <v>38.53139673480473</v>
      </c>
      <c r="C626" s="14">
        <v>5</v>
      </c>
      <c r="D626" s="86">
        <v>0.30802214565876829</v>
      </c>
      <c r="E626" s="86"/>
      <c r="F626" s="14"/>
    </row>
    <row r="627" spans="1:6" x14ac:dyDescent="0.25">
      <c r="A627" s="86">
        <v>626</v>
      </c>
      <c r="B627" s="87">
        <v>42.413637397083221</v>
      </c>
      <c r="C627" s="14">
        <v>2</v>
      </c>
      <c r="D627" s="86">
        <v>0.9886185991596298</v>
      </c>
      <c r="E627" s="86"/>
      <c r="F627" s="14"/>
    </row>
    <row r="628" spans="1:6" x14ac:dyDescent="0.25">
      <c r="A628" s="86">
        <v>627</v>
      </c>
      <c r="B628" s="87">
        <v>42.698604824516224</v>
      </c>
      <c r="C628" s="14">
        <v>5</v>
      </c>
      <c r="D628" s="86">
        <v>0.6532547672148088</v>
      </c>
      <c r="E628" s="86"/>
      <c r="F628" s="14"/>
    </row>
    <row r="629" spans="1:6" x14ac:dyDescent="0.25">
      <c r="A629" s="86">
        <v>628</v>
      </c>
      <c r="B629" s="87">
        <v>39.807969182555098</v>
      </c>
      <c r="C629" s="14">
        <v>2</v>
      </c>
      <c r="D629" s="86">
        <v>0.8022871117414434</v>
      </c>
      <c r="E629" s="86"/>
      <c r="F629" s="14"/>
    </row>
    <row r="630" spans="1:6" x14ac:dyDescent="0.25">
      <c r="A630" s="86">
        <v>629</v>
      </c>
      <c r="B630" s="87">
        <v>48.29477119926014</v>
      </c>
      <c r="C630" s="14">
        <v>4</v>
      </c>
      <c r="D630" s="86">
        <v>0.60662598214812136</v>
      </c>
      <c r="E630" s="86"/>
      <c r="F630" s="14"/>
    </row>
    <row r="631" spans="1:6" x14ac:dyDescent="0.25">
      <c r="A631" s="86">
        <v>630</v>
      </c>
      <c r="B631" s="87">
        <v>38.594339452509303</v>
      </c>
      <c r="C631" s="14">
        <v>5</v>
      </c>
      <c r="D631" s="86">
        <v>9.5863300829062248E-2</v>
      </c>
      <c r="E631" s="86"/>
      <c r="F631" s="14"/>
    </row>
    <row r="632" spans="1:6" x14ac:dyDescent="0.25">
      <c r="A632" s="86">
        <v>631</v>
      </c>
      <c r="B632" s="87">
        <v>42.299086539394921</v>
      </c>
      <c r="C632" s="14">
        <v>2</v>
      </c>
      <c r="D632" s="86">
        <v>0.46229156170712915</v>
      </c>
      <c r="E632" s="86"/>
      <c r="F632" s="14"/>
    </row>
    <row r="633" spans="1:6" x14ac:dyDescent="0.25">
      <c r="A633" s="86">
        <v>632</v>
      </c>
      <c r="B633" s="87">
        <v>44.328368171016336</v>
      </c>
      <c r="C633" s="14">
        <v>2</v>
      </c>
      <c r="D633" s="86">
        <v>0.33376268335072645</v>
      </c>
      <c r="E633" s="86"/>
      <c r="F633" s="14"/>
    </row>
    <row r="634" spans="1:6" x14ac:dyDescent="0.25">
      <c r="A634" s="86">
        <v>633</v>
      </c>
      <c r="B634" s="87">
        <v>46.457330421952065</v>
      </c>
      <c r="C634" s="14">
        <v>4</v>
      </c>
      <c r="D634" s="86">
        <v>0.56090083421881964</v>
      </c>
      <c r="E634" s="86"/>
      <c r="F634" s="14"/>
    </row>
    <row r="635" spans="1:6" x14ac:dyDescent="0.25">
      <c r="A635" s="86">
        <v>634</v>
      </c>
      <c r="B635" s="87">
        <v>45.313959157618228</v>
      </c>
      <c r="C635" s="14">
        <v>2</v>
      </c>
      <c r="D635" s="86">
        <v>0.35043633630088622</v>
      </c>
      <c r="E635" s="86"/>
      <c r="F635" s="14"/>
    </row>
    <row r="636" spans="1:6" x14ac:dyDescent="0.25">
      <c r="A636" s="86">
        <v>635</v>
      </c>
      <c r="B636" s="87">
        <v>42.656063209840795</v>
      </c>
      <c r="C636" s="14">
        <v>2</v>
      </c>
      <c r="D636" s="86">
        <v>0.48738710774191984</v>
      </c>
      <c r="E636" s="86"/>
      <c r="F636" s="14"/>
    </row>
    <row r="637" spans="1:6" x14ac:dyDescent="0.25">
      <c r="A637" s="86">
        <v>636</v>
      </c>
      <c r="B637" s="87">
        <v>47.963965238857782</v>
      </c>
      <c r="C637" s="14">
        <v>2</v>
      </c>
      <c r="D637" s="86">
        <v>0.40785162287252574</v>
      </c>
      <c r="E637" s="86"/>
      <c r="F637" s="14"/>
    </row>
    <row r="638" spans="1:6" x14ac:dyDescent="0.25">
      <c r="A638" s="86">
        <v>637</v>
      </c>
      <c r="B638" s="87">
        <v>45.223657702415949</v>
      </c>
      <c r="C638" s="14">
        <v>2</v>
      </c>
      <c r="D638" s="86">
        <v>1.7371504667422544E-2</v>
      </c>
      <c r="E638" s="86"/>
      <c r="F638" s="14"/>
    </row>
    <row r="639" spans="1:6" x14ac:dyDescent="0.25">
      <c r="A639" s="86">
        <v>638</v>
      </c>
      <c r="B639" s="87">
        <v>40.750137481489219</v>
      </c>
      <c r="C639" s="14">
        <v>2</v>
      </c>
      <c r="D639" s="86">
        <v>0.47596766630081655</v>
      </c>
      <c r="E639" s="86"/>
      <c r="F639" s="14"/>
    </row>
    <row r="640" spans="1:6" x14ac:dyDescent="0.25">
      <c r="A640" s="86">
        <v>639</v>
      </c>
      <c r="B640" s="87">
        <v>43.718296178092714</v>
      </c>
      <c r="C640" s="14">
        <v>2</v>
      </c>
      <c r="D640" s="86">
        <v>2.2869514816345471E-2</v>
      </c>
      <c r="E640" s="86"/>
      <c r="F640" s="14"/>
    </row>
    <row r="641" spans="1:6" x14ac:dyDescent="0.25">
      <c r="A641" s="86">
        <v>640</v>
      </c>
      <c r="B641" s="87">
        <v>47.91598939333926</v>
      </c>
      <c r="C641" s="14">
        <v>5</v>
      </c>
      <c r="D641" s="86">
        <v>0.12616144005381846</v>
      </c>
      <c r="E641" s="86"/>
      <c r="F641" s="14"/>
    </row>
    <row r="642" spans="1:6" x14ac:dyDescent="0.25">
      <c r="A642" s="86">
        <v>641</v>
      </c>
      <c r="B642" s="87">
        <v>49.741584002156742</v>
      </c>
      <c r="C642" s="14">
        <v>4</v>
      </c>
      <c r="D642" s="86">
        <v>0.90025825303322582</v>
      </c>
      <c r="E642" s="86"/>
      <c r="F642" s="14"/>
    </row>
    <row r="643" spans="1:6" x14ac:dyDescent="0.25">
      <c r="A643" s="86">
        <v>642</v>
      </c>
      <c r="B643" s="87">
        <v>51.310325938509777</v>
      </c>
      <c r="C643" s="14">
        <v>4</v>
      </c>
      <c r="D643" s="86">
        <v>0.5174896249515839</v>
      </c>
      <c r="E643" s="86"/>
      <c r="F643" s="14"/>
    </row>
    <row r="644" spans="1:6" x14ac:dyDescent="0.25">
      <c r="A644" s="86">
        <v>643</v>
      </c>
      <c r="B644" s="87">
        <v>43.336274297296768</v>
      </c>
      <c r="C644" s="14">
        <v>2</v>
      </c>
      <c r="D644" s="86">
        <v>0.50940987298312335</v>
      </c>
      <c r="E644" s="86"/>
      <c r="F644" s="14"/>
    </row>
    <row r="645" spans="1:6" x14ac:dyDescent="0.25">
      <c r="A645" s="86">
        <v>644</v>
      </c>
      <c r="B645" s="87">
        <v>46.531056336214533</v>
      </c>
      <c r="C645" s="14">
        <v>5</v>
      </c>
      <c r="D645" s="86">
        <v>0.86171397242985937</v>
      </c>
      <c r="E645" s="86"/>
      <c r="F645" s="14"/>
    </row>
    <row r="646" spans="1:6" x14ac:dyDescent="0.25">
      <c r="A646" s="86">
        <v>645</v>
      </c>
      <c r="B646" s="87">
        <v>43.505940533912508</v>
      </c>
      <c r="C646" s="14">
        <v>5</v>
      </c>
      <c r="D646" s="86">
        <v>0.52413098554028481</v>
      </c>
      <c r="E646" s="86"/>
      <c r="F646" s="14"/>
    </row>
    <row r="647" spans="1:6" x14ac:dyDescent="0.25">
      <c r="A647" s="86">
        <v>646</v>
      </c>
      <c r="B647" s="87">
        <v>38.701045918394811</v>
      </c>
      <c r="C647" s="14">
        <v>1</v>
      </c>
      <c r="D647" s="86">
        <v>1.1475673149206722E-2</v>
      </c>
      <c r="E647" s="86"/>
      <c r="F647" s="14"/>
    </row>
    <row r="648" spans="1:6" x14ac:dyDescent="0.25">
      <c r="A648" s="86">
        <v>647</v>
      </c>
      <c r="B648" s="87">
        <v>42.230260527838254</v>
      </c>
      <c r="C648" s="14">
        <v>4</v>
      </c>
      <c r="D648" s="86">
        <v>0.47046928095566487</v>
      </c>
      <c r="E648" s="86"/>
      <c r="F648" s="14"/>
    </row>
    <row r="649" spans="1:6" x14ac:dyDescent="0.25">
      <c r="A649" s="86">
        <v>648</v>
      </c>
      <c r="B649" s="87">
        <v>58.631667338311672</v>
      </c>
      <c r="C649" s="14">
        <v>2</v>
      </c>
      <c r="D649" s="86">
        <v>0.52599102768385297</v>
      </c>
      <c r="E649" s="86"/>
      <c r="F649" s="14"/>
    </row>
    <row r="650" spans="1:6" x14ac:dyDescent="0.25">
      <c r="A650" s="86">
        <v>649</v>
      </c>
      <c r="B650" s="87">
        <v>38.719838352670195</v>
      </c>
      <c r="C650" s="14">
        <v>4</v>
      </c>
      <c r="D650" s="86">
        <v>0.17153662329049679</v>
      </c>
      <c r="E650" s="86"/>
      <c r="F650" s="14"/>
    </row>
    <row r="651" spans="1:6" x14ac:dyDescent="0.25">
      <c r="A651" s="86">
        <v>650</v>
      </c>
      <c r="B651" s="87">
        <v>39.001656654698309</v>
      </c>
      <c r="C651" s="14">
        <v>5</v>
      </c>
      <c r="D651" s="86">
        <v>0.41864544300207662</v>
      </c>
      <c r="E651" s="86"/>
      <c r="F651" s="14"/>
    </row>
    <row r="652" spans="1:6" x14ac:dyDescent="0.25">
      <c r="A652" s="86">
        <v>651</v>
      </c>
      <c r="B652" s="87">
        <v>37.242409684375161</v>
      </c>
      <c r="C652" s="14">
        <v>5</v>
      </c>
      <c r="D652" s="86">
        <v>0.43635407829160222</v>
      </c>
      <c r="E652" s="86"/>
      <c r="F652" s="14"/>
    </row>
    <row r="653" spans="1:6" x14ac:dyDescent="0.25">
      <c r="A653" s="86">
        <v>652</v>
      </c>
      <c r="B653" s="87">
        <v>45.090575890179025</v>
      </c>
      <c r="C653" s="14">
        <v>2</v>
      </c>
      <c r="D653" s="86">
        <v>0.87373798395428648</v>
      </c>
      <c r="E653" s="86"/>
      <c r="F653" s="14"/>
    </row>
    <row r="654" spans="1:6" x14ac:dyDescent="0.25">
      <c r="A654" s="86">
        <v>653</v>
      </c>
      <c r="B654" s="87">
        <v>39.62671257283364</v>
      </c>
      <c r="C654" s="14">
        <v>2</v>
      </c>
      <c r="D654" s="86">
        <v>0.5148301340777961</v>
      </c>
      <c r="E654" s="86"/>
      <c r="F654" s="14"/>
    </row>
    <row r="655" spans="1:6" x14ac:dyDescent="0.25">
      <c r="A655" s="86">
        <v>654</v>
      </c>
      <c r="B655" s="87">
        <v>40.470547441480448</v>
      </c>
      <c r="C655" s="14">
        <v>1</v>
      </c>
      <c r="D655" s="86">
        <v>0.32217715648295375</v>
      </c>
      <c r="E655" s="86"/>
      <c r="F655" s="14"/>
    </row>
    <row r="656" spans="1:6" x14ac:dyDescent="0.25">
      <c r="A656" s="86">
        <v>655</v>
      </c>
      <c r="B656" s="87">
        <v>49.963659870962147</v>
      </c>
      <c r="C656" s="14">
        <v>2</v>
      </c>
      <c r="D656" s="86">
        <v>7.3005863969297646E-3</v>
      </c>
      <c r="E656" s="86"/>
      <c r="F656" s="14"/>
    </row>
    <row r="657" spans="1:6" x14ac:dyDescent="0.25">
      <c r="A657" s="86">
        <v>656</v>
      </c>
      <c r="B657" s="87">
        <v>43.180000370164635</v>
      </c>
      <c r="C657" s="14">
        <v>4</v>
      </c>
      <c r="D657" s="86">
        <v>0.1033662876214374</v>
      </c>
      <c r="E657" s="86"/>
      <c r="F657" s="14"/>
    </row>
    <row r="658" spans="1:6" x14ac:dyDescent="0.25">
      <c r="A658" s="86">
        <v>657</v>
      </c>
      <c r="B658" s="87">
        <v>44.360490387014579</v>
      </c>
      <c r="C658" s="14">
        <v>4</v>
      </c>
      <c r="D658" s="86">
        <v>0.74101851086178849</v>
      </c>
      <c r="E658" s="86"/>
      <c r="F658" s="14"/>
    </row>
    <row r="659" spans="1:6" x14ac:dyDescent="0.25">
      <c r="A659" s="86">
        <v>658</v>
      </c>
      <c r="B659" s="87">
        <v>45.036017576756421</v>
      </c>
      <c r="C659" s="14">
        <v>1</v>
      </c>
      <c r="D659" s="86">
        <v>0.9395925935784164</v>
      </c>
      <c r="E659" s="86"/>
      <c r="F659" s="14"/>
    </row>
    <row r="660" spans="1:6" x14ac:dyDescent="0.25">
      <c r="A660" s="86">
        <v>659</v>
      </c>
      <c r="B660" s="87">
        <v>36.446317603229545</v>
      </c>
      <c r="C660" s="14">
        <v>2</v>
      </c>
      <c r="D660" s="86">
        <v>0.77579657120767809</v>
      </c>
      <c r="E660" s="86"/>
      <c r="F660" s="14"/>
    </row>
    <row r="661" spans="1:6" x14ac:dyDescent="0.25">
      <c r="A661" s="86">
        <v>660</v>
      </c>
      <c r="B661" s="87">
        <v>46.911009116563946</v>
      </c>
      <c r="C661" s="14">
        <v>2</v>
      </c>
      <c r="D661" s="86">
        <v>5.3435708598204568E-2</v>
      </c>
      <c r="E661" s="86"/>
      <c r="F661" s="14"/>
    </row>
    <row r="662" spans="1:6" x14ac:dyDescent="0.25">
      <c r="A662" s="86">
        <v>661</v>
      </c>
      <c r="B662" s="87">
        <v>50.076391739246901</v>
      </c>
      <c r="C662" s="14">
        <v>1</v>
      </c>
      <c r="D662" s="86">
        <v>0.37291287446546928</v>
      </c>
      <c r="E662" s="86"/>
      <c r="F662" s="14"/>
    </row>
    <row r="663" spans="1:6" x14ac:dyDescent="0.25">
      <c r="A663" s="86">
        <v>662</v>
      </c>
      <c r="B663" s="87">
        <v>47.251540985933389</v>
      </c>
      <c r="C663" s="14">
        <v>2</v>
      </c>
      <c r="D663" s="86">
        <v>0.30814898314011807</v>
      </c>
      <c r="E663" s="86"/>
      <c r="F663" s="14"/>
    </row>
    <row r="664" spans="1:6" x14ac:dyDescent="0.25">
      <c r="A664" s="86">
        <v>663</v>
      </c>
      <c r="B664" s="87">
        <v>35.169250617735088</v>
      </c>
      <c r="C664" s="14">
        <v>2</v>
      </c>
      <c r="D664" s="86">
        <v>7.4467738867965649E-2</v>
      </c>
      <c r="E664" s="86"/>
      <c r="F664" s="14"/>
    </row>
    <row r="665" spans="1:6" x14ac:dyDescent="0.25">
      <c r="A665" s="86">
        <v>664</v>
      </c>
      <c r="B665" s="87">
        <v>46.020841177203692</v>
      </c>
      <c r="C665" s="14">
        <v>2</v>
      </c>
      <c r="D665" s="86">
        <v>0.55998386450414173</v>
      </c>
      <c r="E665" s="86"/>
      <c r="F665" s="14"/>
    </row>
    <row r="666" spans="1:6" x14ac:dyDescent="0.25">
      <c r="A666" s="86">
        <v>665</v>
      </c>
      <c r="B666" s="87">
        <v>43.089698914962355</v>
      </c>
      <c r="C666" s="14">
        <v>2</v>
      </c>
      <c r="D666" s="86">
        <v>0.37866231445815823</v>
      </c>
      <c r="E666" s="86"/>
      <c r="F666" s="14"/>
    </row>
    <row r="667" spans="1:6" x14ac:dyDescent="0.25">
      <c r="A667" s="86">
        <v>666</v>
      </c>
      <c r="B667" s="87">
        <v>32.675961842294782</v>
      </c>
      <c r="C667" s="14">
        <v>2</v>
      </c>
      <c r="D667" s="86">
        <v>0.33322925172465423</v>
      </c>
      <c r="E667" s="86"/>
      <c r="F667" s="14"/>
    </row>
    <row r="668" spans="1:6" x14ac:dyDescent="0.25">
      <c r="A668" s="86">
        <v>667</v>
      </c>
      <c r="B668" s="87">
        <v>47.205048753647134</v>
      </c>
      <c r="C668" s="14">
        <v>2</v>
      </c>
      <c r="D668" s="86">
        <v>0.92490526577555066</v>
      </c>
      <c r="E668" s="86"/>
      <c r="F668" s="14"/>
    </row>
    <row r="669" spans="1:6" x14ac:dyDescent="0.25">
      <c r="A669" s="86">
        <v>668</v>
      </c>
      <c r="B669" s="87">
        <v>41.515636434603948</v>
      </c>
      <c r="C669" s="14">
        <v>2</v>
      </c>
      <c r="D669" s="86">
        <v>0.56207234161197306</v>
      </c>
      <c r="E669" s="86"/>
      <c r="F669" s="14"/>
    </row>
    <row r="670" spans="1:6" x14ac:dyDescent="0.25">
      <c r="A670" s="86">
        <v>669</v>
      </c>
      <c r="B670" s="87">
        <v>46.065031251026085</v>
      </c>
      <c r="C670" s="14">
        <v>3</v>
      </c>
      <c r="D670" s="86">
        <v>0.30013651031788502</v>
      </c>
      <c r="E670" s="86"/>
      <c r="F670" s="14"/>
    </row>
    <row r="671" spans="1:6" x14ac:dyDescent="0.25">
      <c r="A671" s="86">
        <v>670</v>
      </c>
      <c r="B671" s="87">
        <v>40.179230604160693</v>
      </c>
      <c r="C671" s="14">
        <v>5</v>
      </c>
      <c r="D671" s="86">
        <v>0.43608952464529016</v>
      </c>
      <c r="E671" s="86"/>
      <c r="F671" s="14"/>
    </row>
    <row r="672" spans="1:6" x14ac:dyDescent="0.25">
      <c r="A672" s="86">
        <v>671</v>
      </c>
      <c r="B672" s="87">
        <v>45.104360419252771</v>
      </c>
      <c r="C672" s="14">
        <v>2</v>
      </c>
      <c r="D672" s="86">
        <v>0.407108141847209</v>
      </c>
      <c r="E672" s="86"/>
      <c r="F672" s="14"/>
    </row>
    <row r="673" spans="1:6" x14ac:dyDescent="0.25">
      <c r="A673" s="86">
        <v>672</v>
      </c>
      <c r="B673" s="87">
        <v>41.600173967133742</v>
      </c>
      <c r="C673" s="14">
        <v>5</v>
      </c>
      <c r="D673" s="86">
        <v>0.2505561397057825</v>
      </c>
      <c r="E673" s="86"/>
      <c r="F673" s="14"/>
    </row>
    <row r="674" spans="1:6" x14ac:dyDescent="0.25">
      <c r="A674" s="86">
        <v>673</v>
      </c>
      <c r="B674" s="87">
        <v>37.988854723487748</v>
      </c>
      <c r="C674" s="14">
        <v>2</v>
      </c>
      <c r="D674" s="86">
        <v>0.47374769298415564</v>
      </c>
      <c r="E674" s="86"/>
      <c r="F674" s="14"/>
    </row>
    <row r="675" spans="1:6" x14ac:dyDescent="0.25">
      <c r="A675" s="86">
        <v>674</v>
      </c>
      <c r="B675" s="87">
        <v>51.256029104813933</v>
      </c>
      <c r="C675" s="14">
        <v>2</v>
      </c>
      <c r="D675" s="86">
        <v>0.79365287016510699</v>
      </c>
      <c r="E675" s="86"/>
      <c r="F675" s="14"/>
    </row>
    <row r="676" spans="1:6" x14ac:dyDescent="0.25">
      <c r="A676" s="86">
        <v>675</v>
      </c>
      <c r="B676" s="87">
        <v>51.313372745760716</v>
      </c>
      <c r="C676" s="14">
        <v>2</v>
      </c>
      <c r="D676" s="86">
        <v>0.80713384548540623</v>
      </c>
      <c r="E676" s="86"/>
      <c r="F676" s="14"/>
    </row>
    <row r="677" spans="1:6" x14ac:dyDescent="0.25">
      <c r="A677" s="86">
        <v>676</v>
      </c>
      <c r="B677" s="87">
        <v>40.34938000983675</v>
      </c>
      <c r="C677" s="14">
        <v>2</v>
      </c>
      <c r="D677" s="86">
        <v>0.65078466115949896</v>
      </c>
      <c r="E677" s="86"/>
      <c r="F677" s="14"/>
    </row>
    <row r="678" spans="1:6" x14ac:dyDescent="0.25">
      <c r="A678" s="86">
        <v>677</v>
      </c>
      <c r="B678" s="87">
        <v>39.670283053390449</v>
      </c>
      <c r="C678" s="14">
        <v>1</v>
      </c>
      <c r="D678" s="86">
        <v>0.33389829233788659</v>
      </c>
      <c r="E678" s="86"/>
      <c r="F678" s="14"/>
    </row>
    <row r="679" spans="1:6" x14ac:dyDescent="0.25">
      <c r="A679" s="86">
        <v>678</v>
      </c>
      <c r="B679" s="87">
        <v>46.876823484461056</v>
      </c>
      <c r="C679" s="14">
        <v>4</v>
      </c>
      <c r="D679" s="86">
        <v>0.88390728272655583</v>
      </c>
      <c r="E679" s="86"/>
      <c r="F679" s="14"/>
    </row>
    <row r="680" spans="1:6" x14ac:dyDescent="0.25">
      <c r="A680" s="86">
        <v>679</v>
      </c>
      <c r="B680" s="87">
        <v>41.755055230503785</v>
      </c>
      <c r="C680" s="14">
        <v>4</v>
      </c>
      <c r="D680" s="86">
        <v>0.85476968711147761</v>
      </c>
      <c r="E680" s="86"/>
      <c r="F680" s="14"/>
    </row>
    <row r="681" spans="1:6" x14ac:dyDescent="0.25">
      <c r="A681" s="86">
        <v>680</v>
      </c>
      <c r="B681" s="87">
        <v>40.030420217924984</v>
      </c>
      <c r="C681" s="14">
        <v>5</v>
      </c>
      <c r="D681" s="86">
        <v>7.9016658308388443E-3</v>
      </c>
      <c r="E681" s="86"/>
      <c r="F681" s="14"/>
    </row>
    <row r="682" spans="1:6" x14ac:dyDescent="0.25">
      <c r="A682" s="86">
        <v>681</v>
      </c>
      <c r="B682" s="87">
        <v>48.941853942204034</v>
      </c>
      <c r="C682" s="14">
        <v>4</v>
      </c>
      <c r="D682" s="86">
        <v>0.15653455760583423</v>
      </c>
      <c r="E682" s="86"/>
      <c r="F682" s="14"/>
    </row>
    <row r="683" spans="1:6" x14ac:dyDescent="0.25">
      <c r="A683" s="86">
        <v>682</v>
      </c>
      <c r="B683" s="87">
        <v>43.633377794656553</v>
      </c>
      <c r="C683" s="14">
        <v>2</v>
      </c>
      <c r="D683" s="86">
        <v>0.16412141184291051</v>
      </c>
      <c r="E683" s="86"/>
      <c r="F683" s="14"/>
    </row>
    <row r="684" spans="1:6" x14ac:dyDescent="0.25">
      <c r="A684" s="86">
        <v>683</v>
      </c>
      <c r="B684" s="87">
        <v>35.012885741132777</v>
      </c>
      <c r="C684" s="14">
        <v>4</v>
      </c>
      <c r="D684" s="86">
        <v>0.70048823341952282</v>
      </c>
      <c r="E684" s="86"/>
      <c r="F684" s="14"/>
    </row>
    <row r="685" spans="1:6" x14ac:dyDescent="0.25">
      <c r="A685" s="86">
        <v>684</v>
      </c>
      <c r="B685" s="87">
        <v>44.426502649337635</v>
      </c>
      <c r="C685" s="14">
        <v>4</v>
      </c>
      <c r="D685" s="86">
        <v>0.88851485640243288</v>
      </c>
      <c r="E685" s="86"/>
      <c r="F685" s="14"/>
    </row>
    <row r="686" spans="1:6" x14ac:dyDescent="0.25">
      <c r="A686" s="86">
        <v>685</v>
      </c>
      <c r="B686" s="87">
        <v>42.260825234159711</v>
      </c>
      <c r="C686" s="14">
        <v>2</v>
      </c>
      <c r="D686" s="86">
        <v>0.74111600891370055</v>
      </c>
      <c r="E686" s="86"/>
      <c r="F686" s="14"/>
    </row>
    <row r="687" spans="1:6" x14ac:dyDescent="0.25">
      <c r="A687" s="86">
        <v>686</v>
      </c>
      <c r="B687" s="87">
        <v>47.387084118206985</v>
      </c>
      <c r="C687" s="14">
        <v>4</v>
      </c>
      <c r="D687" s="86">
        <v>9.6989366052290804E-2</v>
      </c>
      <c r="E687" s="86"/>
      <c r="F687" s="14"/>
    </row>
    <row r="688" spans="1:6" x14ac:dyDescent="0.25">
      <c r="A688" s="86">
        <v>687</v>
      </c>
      <c r="B688" s="87">
        <v>43.839094127513818</v>
      </c>
      <c r="C688" s="14">
        <v>2</v>
      </c>
      <c r="D688" s="86">
        <v>6.0780876228721747E-2</v>
      </c>
      <c r="E688" s="86"/>
      <c r="F688" s="14"/>
    </row>
    <row r="689" spans="1:6" x14ac:dyDescent="0.25">
      <c r="A689" s="86">
        <v>688</v>
      </c>
      <c r="B689" s="87">
        <v>50.0473561208928</v>
      </c>
      <c r="C689" s="14">
        <v>4</v>
      </c>
      <c r="D689" s="86">
        <v>0.30507888949331874</v>
      </c>
      <c r="E689" s="86"/>
      <c r="F689" s="14"/>
    </row>
    <row r="690" spans="1:6" x14ac:dyDescent="0.25">
      <c r="A690" s="86">
        <v>689</v>
      </c>
      <c r="B690" s="87">
        <v>48.152185167389689</v>
      </c>
      <c r="C690" s="14">
        <v>2</v>
      </c>
      <c r="D690" s="86">
        <v>0.48785520988851694</v>
      </c>
      <c r="E690" s="86"/>
      <c r="F690" s="14"/>
    </row>
    <row r="691" spans="1:6" x14ac:dyDescent="0.25">
      <c r="A691" s="86">
        <v>690</v>
      </c>
      <c r="B691" s="87">
        <v>30.606133799999952</v>
      </c>
      <c r="C691" s="14">
        <v>3</v>
      </c>
      <c r="D691" s="86">
        <v>0.87760406065500163</v>
      </c>
      <c r="E691" s="86"/>
      <c r="F691" s="14"/>
    </row>
    <row r="692" spans="1:6" x14ac:dyDescent="0.25">
      <c r="A692" s="86">
        <v>691</v>
      </c>
      <c r="B692" s="87">
        <v>42.648389348294586</v>
      </c>
      <c r="C692" s="14">
        <v>2</v>
      </c>
      <c r="D692" s="86">
        <v>0.34764977452908519</v>
      </c>
      <c r="E692" s="86"/>
      <c r="F692" s="14"/>
    </row>
    <row r="693" spans="1:6" x14ac:dyDescent="0.25">
      <c r="A693" s="86">
        <v>692</v>
      </c>
      <c r="B693" s="87">
        <v>42.523652149946429</v>
      </c>
      <c r="C693" s="14">
        <v>4</v>
      </c>
      <c r="D693" s="86">
        <v>0.62897618358249296</v>
      </c>
      <c r="E693" s="86"/>
      <c r="F693" s="14"/>
    </row>
    <row r="694" spans="1:6" x14ac:dyDescent="0.25">
      <c r="A694" s="86">
        <v>693</v>
      </c>
      <c r="B694" s="87">
        <v>39.131953139411053</v>
      </c>
      <c r="C694" s="14">
        <v>4</v>
      </c>
      <c r="D694" s="86">
        <v>0.24751170020719704</v>
      </c>
      <c r="E694" s="86"/>
      <c r="F694" s="14"/>
    </row>
    <row r="695" spans="1:6" x14ac:dyDescent="0.25">
      <c r="A695" s="86">
        <v>694</v>
      </c>
      <c r="B695" s="87">
        <v>44.332330157310935</v>
      </c>
      <c r="C695" s="14">
        <v>5</v>
      </c>
      <c r="D695" s="86">
        <v>0.15091545619814073</v>
      </c>
      <c r="E695" s="86"/>
      <c r="F695" s="14"/>
    </row>
    <row r="696" spans="1:6" x14ac:dyDescent="0.25">
      <c r="A696" s="86">
        <v>695</v>
      </c>
      <c r="B696" s="87">
        <v>42.379349446826382</v>
      </c>
      <c r="C696" s="14">
        <v>2</v>
      </c>
      <c r="D696" s="86">
        <v>0.14901633033525985</v>
      </c>
      <c r="E696" s="86"/>
      <c r="F696" s="14"/>
    </row>
    <row r="697" spans="1:6" x14ac:dyDescent="0.25">
      <c r="A697" s="86">
        <v>696</v>
      </c>
      <c r="B697" s="87">
        <v>42.746876255812822</v>
      </c>
      <c r="C697" s="14">
        <v>2</v>
      </c>
      <c r="D697" s="86">
        <v>0.83092286489811296</v>
      </c>
      <c r="E697" s="86"/>
      <c r="F697" s="14"/>
    </row>
    <row r="698" spans="1:6" x14ac:dyDescent="0.25">
      <c r="A698" s="86">
        <v>697</v>
      </c>
      <c r="B698" s="87">
        <v>42.739981149105006</v>
      </c>
      <c r="C698" s="14">
        <v>4</v>
      </c>
      <c r="D698" s="86">
        <v>0.78694475087605775</v>
      </c>
      <c r="E698" s="86"/>
      <c r="F698" s="14"/>
    </row>
    <row r="699" spans="1:6" x14ac:dyDescent="0.25">
      <c r="A699" s="86">
        <v>698</v>
      </c>
      <c r="B699" s="87">
        <v>41.283317381719826</v>
      </c>
      <c r="C699" s="14">
        <v>4</v>
      </c>
      <c r="D699" s="86">
        <v>0.14202446490246101</v>
      </c>
      <c r="E699" s="86"/>
      <c r="F699" s="14"/>
    </row>
    <row r="700" spans="1:6" x14ac:dyDescent="0.25">
      <c r="A700" s="86">
        <v>699</v>
      </c>
      <c r="B700" s="87">
        <v>36.9735971565824</v>
      </c>
      <c r="C700" s="14">
        <v>2</v>
      </c>
      <c r="D700" s="86">
        <v>0.40149244273564233</v>
      </c>
      <c r="E700" s="86"/>
      <c r="F700" s="14"/>
    </row>
    <row r="701" spans="1:6" x14ac:dyDescent="0.25">
      <c r="A701" s="86">
        <v>700</v>
      </c>
      <c r="B701" s="87">
        <v>51.75638761499431</v>
      </c>
      <c r="C701" s="14">
        <v>4</v>
      </c>
      <c r="D701" s="86">
        <v>1.1999282740668971E-3</v>
      </c>
      <c r="E701" s="86"/>
      <c r="F701" s="14"/>
    </row>
    <row r="702" spans="1:6" x14ac:dyDescent="0.25">
      <c r="A702" s="86">
        <v>701</v>
      </c>
      <c r="B702" s="87">
        <v>45.719536951190094</v>
      </c>
      <c r="C702" s="14">
        <v>4</v>
      </c>
      <c r="D702" s="86">
        <v>0.97105909739437091</v>
      </c>
      <c r="E702" s="86"/>
      <c r="F702" s="14"/>
    </row>
    <row r="703" spans="1:6" x14ac:dyDescent="0.25">
      <c r="A703" s="86">
        <v>702</v>
      </c>
      <c r="B703" s="87">
        <v>42.225622104859212</v>
      </c>
      <c r="C703" s="14">
        <v>1</v>
      </c>
      <c r="D703" s="86">
        <v>0.67426165855560305</v>
      </c>
      <c r="E703" s="86"/>
      <c r="F703" s="14"/>
    </row>
    <row r="704" spans="1:6" x14ac:dyDescent="0.25">
      <c r="A704" s="86">
        <v>703</v>
      </c>
      <c r="B704" s="87">
        <v>41.084331309655681</v>
      </c>
      <c r="C704" s="14">
        <v>5</v>
      </c>
      <c r="D704" s="86">
        <v>0.17448196820080109</v>
      </c>
      <c r="E704" s="86"/>
      <c r="F704" s="14"/>
    </row>
    <row r="705" spans="1:6" x14ac:dyDescent="0.25">
      <c r="A705" s="86">
        <v>704</v>
      </c>
      <c r="B705" s="87">
        <v>45.949070676550036</v>
      </c>
      <c r="C705" s="14">
        <v>2</v>
      </c>
      <c r="D705" s="86">
        <v>0.88650819373704015</v>
      </c>
      <c r="E705" s="86"/>
      <c r="F705" s="14"/>
    </row>
    <row r="706" spans="1:6" x14ac:dyDescent="0.25">
      <c r="A706" s="86">
        <v>705</v>
      </c>
      <c r="B706" s="87">
        <v>42.858653154660715</v>
      </c>
      <c r="C706" s="14">
        <v>2</v>
      </c>
      <c r="D706" s="86">
        <v>0.19175474837501794</v>
      </c>
      <c r="E706" s="86"/>
      <c r="F706" s="14"/>
    </row>
    <row r="707" spans="1:6" x14ac:dyDescent="0.25">
      <c r="A707" s="86">
        <v>706</v>
      </c>
      <c r="B707" s="87">
        <v>42.07971641732729</v>
      </c>
      <c r="C707" s="14">
        <v>5</v>
      </c>
      <c r="D707" s="86">
        <v>0.44455412672423356</v>
      </c>
      <c r="E707" s="86"/>
      <c r="F707" s="14"/>
    </row>
    <row r="708" spans="1:6" x14ac:dyDescent="0.25">
      <c r="A708" s="86">
        <v>707</v>
      </c>
      <c r="B708" s="87">
        <v>46.513412139000138</v>
      </c>
      <c r="C708" s="14">
        <v>2</v>
      </c>
      <c r="D708" s="86">
        <v>0.48405559801421905</v>
      </c>
      <c r="E708" s="86"/>
      <c r="F708" s="14"/>
    </row>
    <row r="709" spans="1:6" x14ac:dyDescent="0.25">
      <c r="A709" s="86">
        <v>708</v>
      </c>
      <c r="B709" s="87">
        <v>39.570795701700263</v>
      </c>
      <c r="C709" s="14">
        <v>2</v>
      </c>
      <c r="D709" s="86">
        <v>0.61444407670791101</v>
      </c>
      <c r="E709" s="86"/>
      <c r="F709" s="14"/>
    </row>
    <row r="710" spans="1:6" x14ac:dyDescent="0.25">
      <c r="A710" s="86">
        <v>709</v>
      </c>
      <c r="B710" s="87">
        <v>35.399443726753816</v>
      </c>
      <c r="C710" s="14">
        <v>4</v>
      </c>
      <c r="D710" s="86">
        <v>0.12213313803803194</v>
      </c>
      <c r="E710" s="86"/>
      <c r="F710" s="14"/>
    </row>
    <row r="711" spans="1:6" x14ac:dyDescent="0.25">
      <c r="A711" s="86">
        <v>710</v>
      </c>
      <c r="B711" s="87">
        <v>35.9526438791072</v>
      </c>
      <c r="C711" s="14">
        <v>2</v>
      </c>
      <c r="D711" s="86">
        <v>0.29644418804663275</v>
      </c>
      <c r="E711" s="86"/>
      <c r="F711" s="14"/>
    </row>
    <row r="712" spans="1:6" x14ac:dyDescent="0.25">
      <c r="A712" s="86">
        <v>711</v>
      </c>
      <c r="B712" s="87">
        <v>38.753398707165616</v>
      </c>
      <c r="C712" s="14">
        <v>2</v>
      </c>
      <c r="D712" s="86">
        <v>0.83886678174083007</v>
      </c>
      <c r="E712" s="86"/>
      <c r="F712" s="14"/>
    </row>
    <row r="713" spans="1:6" x14ac:dyDescent="0.25">
      <c r="A713" s="86">
        <v>712</v>
      </c>
      <c r="B713" s="87">
        <v>37.631616573315114</v>
      </c>
      <c r="C713" s="14">
        <v>2</v>
      </c>
      <c r="D713" s="86">
        <v>0.55561522416842135</v>
      </c>
      <c r="E713" s="86"/>
      <c r="F713" s="14"/>
    </row>
    <row r="714" spans="1:6" x14ac:dyDescent="0.25">
      <c r="A714" s="86">
        <v>713</v>
      </c>
      <c r="B714" s="87">
        <v>43.523630205861991</v>
      </c>
      <c r="C714" s="14">
        <v>1</v>
      </c>
      <c r="D714" s="86">
        <v>0.12734141404641175</v>
      </c>
      <c r="E714" s="86"/>
      <c r="F714" s="14"/>
    </row>
    <row r="715" spans="1:6" x14ac:dyDescent="0.25">
      <c r="A715" s="86">
        <v>714</v>
      </c>
      <c r="B715" s="87">
        <v>46.573393314582063</v>
      </c>
      <c r="C715" s="14">
        <v>5</v>
      </c>
      <c r="D715" s="86">
        <v>0.491926194962093</v>
      </c>
      <c r="E715" s="86"/>
      <c r="F715" s="14"/>
    </row>
    <row r="716" spans="1:6" x14ac:dyDescent="0.25">
      <c r="A716" s="86">
        <v>715</v>
      </c>
      <c r="B716" s="87">
        <v>54.859083315357566</v>
      </c>
      <c r="C716" s="14">
        <v>2</v>
      </c>
      <c r="D716" s="86">
        <v>0.79757245470542071</v>
      </c>
      <c r="E716" s="86"/>
      <c r="F716" s="14"/>
    </row>
    <row r="717" spans="1:6" x14ac:dyDescent="0.25">
      <c r="A717" s="86">
        <v>716</v>
      </c>
      <c r="B717" s="87">
        <v>45.124437514794408</v>
      </c>
      <c r="C717" s="14">
        <v>4</v>
      </c>
      <c r="D717" s="86">
        <v>0.47120180930746469</v>
      </c>
      <c r="E717" s="86"/>
      <c r="F717" s="14"/>
    </row>
    <row r="718" spans="1:6" x14ac:dyDescent="0.25">
      <c r="A718" s="86">
        <v>717</v>
      </c>
      <c r="B718" s="87">
        <v>52.331006367574446</v>
      </c>
      <c r="C718" s="14">
        <v>5</v>
      </c>
      <c r="D718" s="86">
        <v>0.56555007913398969</v>
      </c>
      <c r="E718" s="86"/>
      <c r="F718" s="14"/>
    </row>
    <row r="719" spans="1:6" x14ac:dyDescent="0.25">
      <c r="A719" s="86">
        <v>718</v>
      </c>
      <c r="B719" s="87">
        <v>41.421833424799843</v>
      </c>
      <c r="C719" s="14">
        <v>5</v>
      </c>
      <c r="D719" s="86">
        <v>0.93633011836981606</v>
      </c>
      <c r="E719" s="86"/>
      <c r="F719" s="14"/>
    </row>
    <row r="720" spans="1:6" x14ac:dyDescent="0.25">
      <c r="A720" s="86">
        <v>719</v>
      </c>
      <c r="B720" s="87">
        <v>47.385390184324933</v>
      </c>
      <c r="C720" s="14">
        <v>4</v>
      </c>
      <c r="D720" s="86">
        <v>0.42869914406843046</v>
      </c>
      <c r="E720" s="86"/>
      <c r="F720" s="14"/>
    </row>
    <row r="721" spans="1:6" x14ac:dyDescent="0.25">
      <c r="A721" s="86">
        <v>720</v>
      </c>
      <c r="B721" s="87">
        <v>38.674420461000409</v>
      </c>
      <c r="C721" s="14">
        <v>2</v>
      </c>
      <c r="D721" s="86">
        <v>6.1282333480326523E-2</v>
      </c>
      <c r="E721" s="86"/>
      <c r="F721" s="14"/>
    </row>
    <row r="722" spans="1:6" x14ac:dyDescent="0.25">
      <c r="A722" s="86">
        <v>721</v>
      </c>
      <c r="B722" s="87">
        <v>43.489410467707785</v>
      </c>
      <c r="C722" s="14">
        <v>5</v>
      </c>
      <c r="D722" s="86">
        <v>0.89887314678338037</v>
      </c>
      <c r="E722" s="86"/>
      <c r="F722" s="14"/>
    </row>
    <row r="723" spans="1:6" x14ac:dyDescent="0.25">
      <c r="A723" s="86">
        <v>722</v>
      </c>
      <c r="B723" s="87">
        <v>48.436959327198565</v>
      </c>
      <c r="C723" s="14">
        <v>2</v>
      </c>
      <c r="D723" s="86">
        <v>0.673952936906002</v>
      </c>
      <c r="E723" s="86"/>
      <c r="F723" s="14"/>
    </row>
    <row r="724" spans="1:6" x14ac:dyDescent="0.25">
      <c r="A724" s="86">
        <v>723</v>
      </c>
      <c r="B724" s="87">
        <v>46.682384885905776</v>
      </c>
      <c r="C724" s="14">
        <v>5</v>
      </c>
      <c r="D724" s="86">
        <v>0.87547581136061015</v>
      </c>
      <c r="E724" s="86"/>
      <c r="F724" s="14"/>
    </row>
    <row r="725" spans="1:6" x14ac:dyDescent="0.25">
      <c r="A725" s="86">
        <v>724</v>
      </c>
      <c r="B725" s="87">
        <v>35.303310136776417</v>
      </c>
      <c r="C725" s="14">
        <v>5</v>
      </c>
      <c r="D725" s="86">
        <v>0.54745175760784937</v>
      </c>
      <c r="E725" s="86"/>
      <c r="F725" s="14"/>
    </row>
    <row r="726" spans="1:6" x14ac:dyDescent="0.25">
      <c r="A726" s="86">
        <v>725</v>
      </c>
      <c r="B726" s="87">
        <v>45.776482688204851</v>
      </c>
      <c r="C726" s="14">
        <v>3</v>
      </c>
      <c r="D726" s="86">
        <v>0.51643510747876209</v>
      </c>
      <c r="E726" s="86"/>
      <c r="F726" s="14"/>
    </row>
    <row r="727" spans="1:6" x14ac:dyDescent="0.25">
      <c r="A727" s="86">
        <v>726</v>
      </c>
      <c r="B727" s="87">
        <v>51.967958819994237</v>
      </c>
      <c r="C727" s="14">
        <v>4</v>
      </c>
      <c r="D727" s="86">
        <v>0.4050985517612089</v>
      </c>
      <c r="E727" s="86"/>
      <c r="F727" s="14"/>
    </row>
    <row r="728" spans="1:6" x14ac:dyDescent="0.25">
      <c r="A728" s="86">
        <v>727</v>
      </c>
      <c r="B728" s="87">
        <v>46.706009010784328</v>
      </c>
      <c r="C728" s="14">
        <v>2</v>
      </c>
      <c r="D728" s="86">
        <v>0.47796526110395199</v>
      </c>
      <c r="E728" s="86"/>
      <c r="F728" s="14"/>
    </row>
    <row r="729" spans="1:6" x14ac:dyDescent="0.25">
      <c r="A729" s="86">
        <v>728</v>
      </c>
      <c r="B729" s="87">
        <v>45.074727945000632</v>
      </c>
      <c r="C729" s="14">
        <v>4</v>
      </c>
      <c r="D729" s="86">
        <v>0.61464203031406284</v>
      </c>
      <c r="E729" s="86"/>
      <c r="F729" s="14"/>
    </row>
    <row r="730" spans="1:6" x14ac:dyDescent="0.25">
      <c r="A730" s="86">
        <v>729</v>
      </c>
      <c r="B730" s="87">
        <v>43.344323325407458</v>
      </c>
      <c r="C730" s="14">
        <v>4</v>
      </c>
      <c r="D730" s="86">
        <v>0.77441592228955436</v>
      </c>
      <c r="E730" s="86"/>
      <c r="F730" s="14"/>
    </row>
    <row r="731" spans="1:6" x14ac:dyDescent="0.25">
      <c r="A731" s="86">
        <v>730</v>
      </c>
      <c r="B731" s="87">
        <v>41.729390426888131</v>
      </c>
      <c r="C731" s="14">
        <v>3</v>
      </c>
      <c r="D731" s="86">
        <v>6.9065426804818419E-2</v>
      </c>
      <c r="E731" s="86"/>
      <c r="F731" s="14"/>
    </row>
    <row r="732" spans="1:6" x14ac:dyDescent="0.25">
      <c r="A732" s="86">
        <v>731</v>
      </c>
      <c r="B732" s="87">
        <v>44.485159373260103</v>
      </c>
      <c r="C732" s="14">
        <v>5</v>
      </c>
      <c r="D732" s="86">
        <v>0.39090875519958124</v>
      </c>
      <c r="E732" s="86"/>
      <c r="F732" s="14"/>
    </row>
    <row r="733" spans="1:6" x14ac:dyDescent="0.25">
      <c r="A733" s="86">
        <v>732</v>
      </c>
      <c r="B733" s="87">
        <v>39.064525475958362</v>
      </c>
      <c r="C733" s="14">
        <v>5</v>
      </c>
      <c r="D733" s="86">
        <v>0.91749347786743685</v>
      </c>
      <c r="E733" s="86"/>
      <c r="F733" s="14"/>
    </row>
    <row r="734" spans="1:6" x14ac:dyDescent="0.25">
      <c r="A734" s="86">
        <v>733</v>
      </c>
      <c r="B734" s="87">
        <v>49.846539690741338</v>
      </c>
      <c r="C734" s="14">
        <v>2</v>
      </c>
      <c r="D734" s="86">
        <v>4.0951353255466172E-2</v>
      </c>
      <c r="E734" s="86"/>
      <c r="F734" s="14"/>
    </row>
    <row r="735" spans="1:6" x14ac:dyDescent="0.25">
      <c r="A735" s="86">
        <v>734</v>
      </c>
      <c r="B735" s="87">
        <v>36.431845268787583</v>
      </c>
      <c r="C735" s="14">
        <v>1</v>
      </c>
      <c r="D735" s="86">
        <v>0.39778849154435447</v>
      </c>
      <c r="E735" s="86"/>
      <c r="F735" s="14"/>
    </row>
    <row r="736" spans="1:6" x14ac:dyDescent="0.25">
      <c r="A736" s="86">
        <v>735</v>
      </c>
      <c r="B736" s="87">
        <v>50.571543392259628</v>
      </c>
      <c r="C736" s="14">
        <v>4</v>
      </c>
      <c r="D736" s="86">
        <v>0.32729624429013959</v>
      </c>
      <c r="E736" s="86"/>
      <c r="F736" s="14"/>
    </row>
    <row r="737" spans="1:6" x14ac:dyDescent="0.25">
      <c r="A737" s="86">
        <v>736</v>
      </c>
      <c r="B737" s="87">
        <v>37.617985521472292</v>
      </c>
      <c r="C737" s="14">
        <v>1</v>
      </c>
      <c r="D737" s="86">
        <v>0.58089832506616601</v>
      </c>
      <c r="E737" s="86"/>
      <c r="F737" s="14"/>
    </row>
    <row r="738" spans="1:6" x14ac:dyDescent="0.25">
      <c r="A738" s="86">
        <v>737</v>
      </c>
      <c r="B738" s="87">
        <v>39.391954937280389</v>
      </c>
      <c r="C738" s="14">
        <v>2</v>
      </c>
      <c r="D738" s="86">
        <v>0.54957810994893219</v>
      </c>
      <c r="E738" s="86"/>
      <c r="F738" s="14"/>
    </row>
    <row r="739" spans="1:6" x14ac:dyDescent="0.25">
      <c r="A739" s="86">
        <v>738</v>
      </c>
      <c r="B739" s="87">
        <v>44.712220409899601</v>
      </c>
      <c r="C739" s="14">
        <v>4</v>
      </c>
      <c r="D739" s="86">
        <v>0.27275528467695553</v>
      </c>
      <c r="E739" s="86"/>
      <c r="F739" s="14"/>
    </row>
    <row r="740" spans="1:6" x14ac:dyDescent="0.25">
      <c r="A740" s="86">
        <v>739</v>
      </c>
      <c r="B740" s="87">
        <v>42.226781710603973</v>
      </c>
      <c r="C740" s="14">
        <v>2</v>
      </c>
      <c r="D740" s="86">
        <v>0.63391646943712621</v>
      </c>
      <c r="E740" s="86"/>
      <c r="F740" s="14"/>
    </row>
    <row r="741" spans="1:6" x14ac:dyDescent="0.25">
      <c r="A741" s="86">
        <v>740</v>
      </c>
      <c r="B741" s="87">
        <v>41.520831923087826</v>
      </c>
      <c r="C741" s="14">
        <v>2</v>
      </c>
      <c r="D741" s="86">
        <v>0.41245988699427227</v>
      </c>
      <c r="E741" s="86"/>
      <c r="F741" s="14"/>
    </row>
    <row r="742" spans="1:6" x14ac:dyDescent="0.25">
      <c r="A742" s="86">
        <v>741</v>
      </c>
      <c r="B742" s="87">
        <v>49.111895345384255</v>
      </c>
      <c r="C742" s="14">
        <v>3</v>
      </c>
      <c r="D742" s="86">
        <v>0.62753175030942321</v>
      </c>
      <c r="E742" s="86"/>
      <c r="F742" s="14"/>
    </row>
    <row r="743" spans="1:6" x14ac:dyDescent="0.25">
      <c r="A743" s="86">
        <v>742</v>
      </c>
      <c r="B743" s="87">
        <v>44.232325530509115</v>
      </c>
      <c r="C743" s="14">
        <v>4</v>
      </c>
      <c r="D743" s="86">
        <v>0.27424152632702492</v>
      </c>
      <c r="E743" s="86"/>
      <c r="F743" s="14"/>
    </row>
    <row r="744" spans="1:6" x14ac:dyDescent="0.25">
      <c r="A744" s="86">
        <v>743</v>
      </c>
      <c r="B744" s="87">
        <v>43.705546199242235</v>
      </c>
      <c r="C744" s="14">
        <v>3</v>
      </c>
      <c r="D744" s="86">
        <v>0.62370399105929208</v>
      </c>
      <c r="E744" s="86"/>
      <c r="F744" s="14"/>
    </row>
    <row r="745" spans="1:6" x14ac:dyDescent="0.25">
      <c r="A745" s="86">
        <v>744</v>
      </c>
      <c r="B745" s="87">
        <v>45.039757873717463</v>
      </c>
      <c r="C745" s="14">
        <v>4</v>
      </c>
      <c r="D745" s="86">
        <v>0.21244006720550734</v>
      </c>
      <c r="E745" s="86"/>
      <c r="F745" s="14"/>
    </row>
    <row r="746" spans="1:6" x14ac:dyDescent="0.25">
      <c r="A746" s="86">
        <v>745</v>
      </c>
      <c r="B746" s="87">
        <v>39.338647179072723</v>
      </c>
      <c r="C746" s="14">
        <v>2</v>
      </c>
      <c r="D746" s="86">
        <v>0.8789172062895606</v>
      </c>
      <c r="E746" s="86"/>
      <c r="F746" s="14"/>
    </row>
    <row r="747" spans="1:6" x14ac:dyDescent="0.25">
      <c r="A747" s="86">
        <v>746</v>
      </c>
      <c r="B747" s="87">
        <v>50.094126885931473</v>
      </c>
      <c r="C747" s="14">
        <v>4</v>
      </c>
      <c r="D747" s="86">
        <v>0.36759009108540031</v>
      </c>
      <c r="E747" s="86"/>
      <c r="F747" s="14"/>
    </row>
    <row r="748" spans="1:6" x14ac:dyDescent="0.25">
      <c r="A748" s="86">
        <v>747</v>
      </c>
      <c r="B748" s="87">
        <v>51.898132364265621</v>
      </c>
      <c r="C748" s="14">
        <v>5</v>
      </c>
      <c r="D748" s="86">
        <v>0.37264406373996939</v>
      </c>
      <c r="E748" s="86"/>
      <c r="F748" s="14"/>
    </row>
    <row r="749" spans="1:6" x14ac:dyDescent="0.25">
      <c r="A749" s="86">
        <v>748</v>
      </c>
      <c r="B749" s="87">
        <v>53.291978469467722</v>
      </c>
      <c r="C749" s="14">
        <v>2</v>
      </c>
      <c r="D749" s="86">
        <v>0.15709045358148599</v>
      </c>
      <c r="E749" s="86"/>
      <c r="F749" s="14"/>
    </row>
    <row r="750" spans="1:6" x14ac:dyDescent="0.25">
      <c r="A750" s="86">
        <v>749</v>
      </c>
      <c r="B750" s="87">
        <v>44.254812787010451</v>
      </c>
      <c r="C750" s="14">
        <v>4</v>
      </c>
      <c r="D750" s="86">
        <v>0.20912417679539463</v>
      </c>
      <c r="E750" s="86"/>
      <c r="F750" s="14"/>
    </row>
    <row r="751" spans="1:6" x14ac:dyDescent="0.25">
      <c r="A751" s="86">
        <v>750</v>
      </c>
      <c r="B751" s="87">
        <v>51.624738256912678</v>
      </c>
      <c r="C751" s="14">
        <v>2</v>
      </c>
      <c r="D751" s="86">
        <v>0.50615547754500789</v>
      </c>
      <c r="E751" s="86"/>
      <c r="F751" s="14"/>
    </row>
    <row r="752" spans="1:6" x14ac:dyDescent="0.25">
      <c r="A752" s="86">
        <v>751</v>
      </c>
      <c r="B752" s="87">
        <v>34.263030096888542</v>
      </c>
      <c r="C752" s="14">
        <v>5</v>
      </c>
      <c r="D752" s="86">
        <v>3.4972306595483449E-2</v>
      </c>
      <c r="E752" s="86"/>
      <c r="F752" s="14"/>
    </row>
    <row r="753" spans="1:6" x14ac:dyDescent="0.25">
      <c r="A753" s="86">
        <v>752</v>
      </c>
      <c r="B753" s="87">
        <v>41.790923427804955</v>
      </c>
      <c r="C753" s="14">
        <v>5</v>
      </c>
      <c r="D753" s="86">
        <v>0.51669600084423251</v>
      </c>
      <c r="E753" s="86"/>
      <c r="F753" s="14"/>
    </row>
    <row r="754" spans="1:6" x14ac:dyDescent="0.25">
      <c r="A754" s="86">
        <v>753</v>
      </c>
      <c r="B754" s="87">
        <v>45.823458089551423</v>
      </c>
      <c r="C754" s="14">
        <v>2</v>
      </c>
      <c r="D754" s="86">
        <v>0.22128050791201526</v>
      </c>
      <c r="E754" s="86"/>
      <c r="F754" s="14"/>
    </row>
    <row r="755" spans="1:6" x14ac:dyDescent="0.25">
      <c r="A755" s="86">
        <v>754</v>
      </c>
      <c r="B755" s="87">
        <v>41.29669832251966</v>
      </c>
      <c r="C755" s="14">
        <v>2</v>
      </c>
      <c r="D755" s="86">
        <v>0.52788317491560843</v>
      </c>
      <c r="E755" s="86"/>
      <c r="F755" s="14"/>
    </row>
    <row r="756" spans="1:6" x14ac:dyDescent="0.25">
      <c r="A756" s="86">
        <v>755</v>
      </c>
      <c r="B756" s="87">
        <v>47.307264589442639</v>
      </c>
      <c r="C756" s="14">
        <v>2</v>
      </c>
      <c r="D756" s="86">
        <v>0.31243468862937551</v>
      </c>
      <c r="E756" s="86"/>
      <c r="F756" s="14"/>
    </row>
    <row r="757" spans="1:6" x14ac:dyDescent="0.25">
      <c r="A757" s="86">
        <v>756</v>
      </c>
      <c r="B757" s="87">
        <v>41.427460923267063</v>
      </c>
      <c r="C757" s="14">
        <v>2</v>
      </c>
      <c r="D757" s="86">
        <v>0.96352644596776404</v>
      </c>
      <c r="E757" s="86"/>
      <c r="F757" s="14"/>
    </row>
    <row r="758" spans="1:6" x14ac:dyDescent="0.25">
      <c r="A758" s="86">
        <v>757</v>
      </c>
      <c r="B758" s="87">
        <v>39.815472513844725</v>
      </c>
      <c r="C758" s="14">
        <v>2</v>
      </c>
      <c r="D758" s="86">
        <v>0.46625344668624058</v>
      </c>
      <c r="E758" s="86"/>
      <c r="F758" s="14"/>
    </row>
    <row r="759" spans="1:6" x14ac:dyDescent="0.25">
      <c r="A759" s="86">
        <v>758</v>
      </c>
      <c r="B759" s="87">
        <v>43.320937942888122</v>
      </c>
      <c r="C759" s="14">
        <v>4</v>
      </c>
      <c r="D759" s="86">
        <v>0.40047829674172719</v>
      </c>
      <c r="E759" s="86"/>
      <c r="F759" s="14"/>
    </row>
    <row r="760" spans="1:6" x14ac:dyDescent="0.25">
      <c r="A760" s="86">
        <v>759</v>
      </c>
      <c r="B760" s="87">
        <v>40.742514779019984</v>
      </c>
      <c r="C760" s="14">
        <v>2</v>
      </c>
      <c r="D760" s="86">
        <v>0.57807345389647946</v>
      </c>
      <c r="E760" s="86"/>
      <c r="F760" s="14"/>
    </row>
    <row r="761" spans="1:6" x14ac:dyDescent="0.25">
      <c r="A761" s="86">
        <v>760</v>
      </c>
      <c r="B761" s="87">
        <v>44.263890681002522</v>
      </c>
      <c r="C761" s="14">
        <v>2</v>
      </c>
      <c r="D761" s="86">
        <v>0.41116132128777649</v>
      </c>
      <c r="E761" s="86"/>
      <c r="F761" s="14"/>
    </row>
    <row r="762" spans="1:6" x14ac:dyDescent="0.25">
      <c r="A762" s="86">
        <v>761</v>
      </c>
      <c r="B762" s="87">
        <v>49.819277587055694</v>
      </c>
      <c r="C762" s="14">
        <v>4</v>
      </c>
      <c r="D762" s="86">
        <v>0.93292302139674499</v>
      </c>
      <c r="E762" s="86"/>
      <c r="F762" s="14"/>
    </row>
    <row r="763" spans="1:6" x14ac:dyDescent="0.25">
      <c r="A763" s="86">
        <v>762</v>
      </c>
      <c r="B763" s="87">
        <v>44.082628386939177</v>
      </c>
      <c r="C763" s="14">
        <v>2</v>
      </c>
      <c r="D763" s="86">
        <v>0.66160259690818846</v>
      </c>
      <c r="E763" s="86"/>
      <c r="F763" s="14"/>
    </row>
    <row r="764" spans="1:6" x14ac:dyDescent="0.25">
      <c r="A764" s="86">
        <v>763</v>
      </c>
      <c r="B764" s="87">
        <v>38.140751707367599</v>
      </c>
      <c r="C764" s="14">
        <v>5</v>
      </c>
      <c r="D764" s="86">
        <v>0.85924739802365901</v>
      </c>
      <c r="E764" s="86"/>
      <c r="F764" s="14"/>
    </row>
    <row r="765" spans="1:6" x14ac:dyDescent="0.25">
      <c r="A765" s="86">
        <v>764</v>
      </c>
      <c r="B765" s="87">
        <v>47.712887857749593</v>
      </c>
      <c r="C765" s="14">
        <v>4</v>
      </c>
      <c r="D765" s="86">
        <v>0.72617459513398397</v>
      </c>
      <c r="E765" s="86"/>
      <c r="F765" s="14"/>
    </row>
    <row r="766" spans="1:6" x14ac:dyDescent="0.25">
      <c r="A766" s="86">
        <v>765</v>
      </c>
      <c r="B766" s="87">
        <v>43.912893938220805</v>
      </c>
      <c r="C766" s="14">
        <v>1</v>
      </c>
      <c r="D766" s="86">
        <v>0.15155271075277166</v>
      </c>
      <c r="E766" s="86"/>
      <c r="F766" s="14"/>
    </row>
    <row r="767" spans="1:6" x14ac:dyDescent="0.25">
      <c r="A767" s="86">
        <v>766</v>
      </c>
      <c r="B767" s="87">
        <v>48.128833890921669</v>
      </c>
      <c r="C767" s="14">
        <v>2</v>
      </c>
      <c r="D767" s="86">
        <v>0.44551897966398601</v>
      </c>
      <c r="E767" s="86"/>
      <c r="F767" s="14"/>
    </row>
    <row r="768" spans="1:6" x14ac:dyDescent="0.25">
      <c r="A768" s="86">
        <v>767</v>
      </c>
      <c r="B768" s="87">
        <v>49.044626843504375</v>
      </c>
      <c r="C768" s="14">
        <v>1</v>
      </c>
      <c r="D768" s="86">
        <v>0.98411551186101598</v>
      </c>
      <c r="E768" s="86"/>
      <c r="F768" s="14"/>
    </row>
    <row r="769" spans="1:6" x14ac:dyDescent="0.25">
      <c r="A769" s="86">
        <v>768</v>
      </c>
      <c r="B769" s="87">
        <v>42.780573034513509</v>
      </c>
      <c r="C769" s="14">
        <v>4</v>
      </c>
      <c r="D769" s="86">
        <v>0.98748508868199047</v>
      </c>
      <c r="E769" s="86"/>
      <c r="F769" s="14"/>
    </row>
    <row r="770" spans="1:6" x14ac:dyDescent="0.25">
      <c r="A770" s="86">
        <v>769</v>
      </c>
      <c r="B770" s="87">
        <v>37.515121670701774</v>
      </c>
      <c r="C770" s="14">
        <v>2</v>
      </c>
      <c r="D770" s="86">
        <v>0.64177633317690475</v>
      </c>
      <c r="E770" s="86"/>
      <c r="F770" s="14"/>
    </row>
    <row r="771" spans="1:6" x14ac:dyDescent="0.25">
      <c r="A771" s="86">
        <v>770</v>
      </c>
      <c r="B771" s="87">
        <v>44.344619704468641</v>
      </c>
      <c r="C771" s="14">
        <v>2</v>
      </c>
      <c r="D771" s="86">
        <v>0.71267256769728748</v>
      </c>
      <c r="E771" s="86"/>
      <c r="F771" s="14"/>
    </row>
    <row r="772" spans="1:6" x14ac:dyDescent="0.25">
      <c r="A772" s="86">
        <v>771</v>
      </c>
      <c r="B772" s="87">
        <v>37.542270087549696</v>
      </c>
      <c r="C772" s="14">
        <v>1</v>
      </c>
      <c r="D772" s="86">
        <v>0.34897725590347384</v>
      </c>
      <c r="E772" s="86"/>
      <c r="F772" s="14"/>
    </row>
    <row r="773" spans="1:6" x14ac:dyDescent="0.25">
      <c r="A773" s="86">
        <v>772</v>
      </c>
      <c r="B773" s="87">
        <v>43.246615172727616</v>
      </c>
      <c r="C773" s="14">
        <v>4</v>
      </c>
      <c r="D773" s="86">
        <v>0.58468549056667496</v>
      </c>
      <c r="E773" s="86"/>
      <c r="F773" s="14"/>
    </row>
    <row r="774" spans="1:6" x14ac:dyDescent="0.25">
      <c r="A774" s="86">
        <v>773</v>
      </c>
      <c r="B774" s="87">
        <v>43.604467231823946</v>
      </c>
      <c r="C774" s="14">
        <v>2</v>
      </c>
      <c r="D774" s="86">
        <v>0.37614933031703357</v>
      </c>
      <c r="E774" s="86"/>
      <c r="F774" s="14"/>
    </row>
    <row r="775" spans="1:6" x14ac:dyDescent="0.25">
      <c r="A775" s="86">
        <v>774</v>
      </c>
      <c r="B775" s="87">
        <v>37.204381437157281</v>
      </c>
      <c r="C775" s="14">
        <v>2</v>
      </c>
      <c r="D775" s="86">
        <v>0.78254602270187468</v>
      </c>
      <c r="E775" s="86"/>
      <c r="F775" s="14"/>
    </row>
    <row r="776" spans="1:6" x14ac:dyDescent="0.25">
      <c r="A776" s="86">
        <v>775</v>
      </c>
      <c r="B776" s="87">
        <v>41.226405750756385</v>
      </c>
      <c r="C776" s="14">
        <v>5</v>
      </c>
      <c r="D776" s="86">
        <v>0.89939343853872633</v>
      </c>
      <c r="E776" s="86"/>
      <c r="F776" s="14"/>
    </row>
    <row r="777" spans="1:6" x14ac:dyDescent="0.25">
      <c r="A777" s="86">
        <v>776</v>
      </c>
      <c r="B777" s="87">
        <v>42.014670493124868</v>
      </c>
      <c r="C777" s="14">
        <v>2</v>
      </c>
      <c r="D777" s="86">
        <v>0.21454014930539622</v>
      </c>
      <c r="E777" s="86"/>
      <c r="F777" s="14"/>
    </row>
    <row r="778" spans="1:6" x14ac:dyDescent="0.25">
      <c r="A778" s="86">
        <v>777</v>
      </c>
      <c r="B778" s="87">
        <v>41.973294168536086</v>
      </c>
      <c r="C778" s="14">
        <v>2</v>
      </c>
      <c r="D778" s="86">
        <v>0.96140467769969062</v>
      </c>
      <c r="E778" s="86"/>
      <c r="F778" s="14"/>
    </row>
    <row r="779" spans="1:6" x14ac:dyDescent="0.25">
      <c r="A779" s="86">
        <v>778</v>
      </c>
      <c r="B779" s="87">
        <v>48.961271654086886</v>
      </c>
      <c r="C779" s="14">
        <v>5</v>
      </c>
      <c r="D779" s="86">
        <v>0.62048048231707298</v>
      </c>
      <c r="E779" s="86"/>
      <c r="F779" s="14"/>
    </row>
    <row r="780" spans="1:6" x14ac:dyDescent="0.25">
      <c r="A780" s="86">
        <v>779</v>
      </c>
      <c r="B780" s="87">
        <v>44.990804321394535</v>
      </c>
      <c r="C780" s="14">
        <v>1</v>
      </c>
      <c r="D780" s="86">
        <v>0.11400736630833652</v>
      </c>
      <c r="E780" s="86"/>
      <c r="F780" s="14"/>
    </row>
    <row r="781" spans="1:6" x14ac:dyDescent="0.25">
      <c r="A781" s="86">
        <v>780</v>
      </c>
      <c r="B781" s="87">
        <v>46.402641368666082</v>
      </c>
      <c r="C781" s="14">
        <v>4</v>
      </c>
      <c r="D781" s="86">
        <v>0.85071051885489801</v>
      </c>
      <c r="E781" s="86"/>
      <c r="F781" s="14"/>
    </row>
    <row r="782" spans="1:6" x14ac:dyDescent="0.25">
      <c r="A782" s="86">
        <v>781</v>
      </c>
      <c r="B782" s="87">
        <v>29.563307174947113</v>
      </c>
      <c r="C782" s="14">
        <v>4</v>
      </c>
      <c r="D782" s="86">
        <v>0.94878866284766517</v>
      </c>
      <c r="E782" s="86"/>
      <c r="F782" s="14"/>
    </row>
    <row r="783" spans="1:6" x14ac:dyDescent="0.25">
      <c r="A783" s="86">
        <v>782</v>
      </c>
      <c r="B783" s="87">
        <v>47.000457920483314</v>
      </c>
      <c r="C783" s="14">
        <v>4</v>
      </c>
      <c r="D783" s="86">
        <v>0.84730333264906377</v>
      </c>
      <c r="E783" s="86"/>
      <c r="F783" s="14"/>
    </row>
    <row r="784" spans="1:6" x14ac:dyDescent="0.25">
      <c r="A784" s="86">
        <v>783</v>
      </c>
      <c r="B784" s="87">
        <v>47.340620307630161</v>
      </c>
      <c r="C784" s="14">
        <v>5</v>
      </c>
      <c r="D784" s="86">
        <v>0.30633290528919377</v>
      </c>
      <c r="E784" s="86"/>
      <c r="F784" s="14"/>
    </row>
    <row r="785" spans="1:6" x14ac:dyDescent="0.25">
      <c r="A785" s="86">
        <v>784</v>
      </c>
      <c r="B785" s="87">
        <v>37.952690940408502</v>
      </c>
      <c r="C785" s="14">
        <v>1</v>
      </c>
      <c r="D785" s="86">
        <v>0.98395121027390842</v>
      </c>
      <c r="E785" s="86"/>
      <c r="F785" s="14"/>
    </row>
    <row r="786" spans="1:6" x14ac:dyDescent="0.25">
      <c r="A786" s="86">
        <v>785</v>
      </c>
      <c r="B786" s="87">
        <v>47.47830643679481</v>
      </c>
      <c r="C786" s="14">
        <v>1</v>
      </c>
      <c r="D786" s="86">
        <v>0.56653656791733287</v>
      </c>
      <c r="E786" s="86"/>
      <c r="F786" s="14"/>
    </row>
    <row r="787" spans="1:6" x14ac:dyDescent="0.25">
      <c r="A787" s="86">
        <v>786</v>
      </c>
      <c r="B787" s="87">
        <v>42.334221456592786</v>
      </c>
      <c r="C787" s="14">
        <v>2</v>
      </c>
      <c r="D787" s="86">
        <v>0.83299753477801597</v>
      </c>
      <c r="E787" s="86"/>
      <c r="F787" s="14"/>
    </row>
    <row r="788" spans="1:6" x14ac:dyDescent="0.25">
      <c r="A788" s="86">
        <v>787</v>
      </c>
      <c r="B788" s="87">
        <v>35.030643625184894</v>
      </c>
      <c r="C788" s="14">
        <v>4</v>
      </c>
      <c r="D788" s="86">
        <v>0.48557117206386102</v>
      </c>
      <c r="E788" s="86"/>
      <c r="F788" s="14"/>
    </row>
    <row r="789" spans="1:6" x14ac:dyDescent="0.25">
      <c r="A789" s="86">
        <v>788</v>
      </c>
      <c r="B789" s="87">
        <v>39.331644069869071</v>
      </c>
      <c r="C789" s="14">
        <v>4</v>
      </c>
      <c r="D789" s="86">
        <v>0.74157568853382683</v>
      </c>
      <c r="E789" s="86"/>
      <c r="F789" s="14"/>
    </row>
    <row r="790" spans="1:6" x14ac:dyDescent="0.25">
      <c r="A790" s="86">
        <v>789</v>
      </c>
      <c r="B790" s="87">
        <v>44.895102741400478</v>
      </c>
      <c r="C790" s="14">
        <v>2</v>
      </c>
      <c r="D790" s="86">
        <v>0.20574934947911627</v>
      </c>
      <c r="E790" s="86"/>
      <c r="F790" s="14"/>
    </row>
    <row r="791" spans="1:6" x14ac:dyDescent="0.25">
      <c r="A791" s="86">
        <v>790</v>
      </c>
      <c r="B791" s="87">
        <v>39.141741576138884</v>
      </c>
      <c r="C791" s="14">
        <v>4</v>
      </c>
      <c r="D791" s="86">
        <v>0.76727024107605901</v>
      </c>
      <c r="E791" s="86"/>
      <c r="F791" s="14"/>
    </row>
    <row r="792" spans="1:6" x14ac:dyDescent="0.25">
      <c r="A792" s="86">
        <v>791</v>
      </c>
      <c r="B792" s="87">
        <v>43.998204541247105</v>
      </c>
      <c r="C792" s="14">
        <v>1</v>
      </c>
      <c r="D792" s="86">
        <v>9.9898964653019839E-2</v>
      </c>
      <c r="E792" s="86"/>
      <c r="F792" s="14"/>
    </row>
    <row r="793" spans="1:6" x14ac:dyDescent="0.25">
      <c r="A793" s="86">
        <v>792</v>
      </c>
      <c r="B793" s="87">
        <v>37.966049143840792</v>
      </c>
      <c r="C793" s="14">
        <v>4</v>
      </c>
      <c r="D793" s="86">
        <v>0.46581770030577829</v>
      </c>
      <c r="E793" s="86"/>
      <c r="F793" s="14"/>
    </row>
    <row r="794" spans="1:6" x14ac:dyDescent="0.25">
      <c r="A794" s="86">
        <v>793</v>
      </c>
      <c r="B794" s="87">
        <v>40.465329215629026</v>
      </c>
      <c r="C794" s="14">
        <v>4</v>
      </c>
      <c r="D794" s="86">
        <v>0.80771039901397668</v>
      </c>
      <c r="E794" s="86"/>
      <c r="F794" s="14"/>
    </row>
    <row r="795" spans="1:6" x14ac:dyDescent="0.25">
      <c r="A795" s="86">
        <v>794</v>
      </c>
      <c r="B795" s="87">
        <v>38.208997916051885</v>
      </c>
      <c r="C795" s="14">
        <v>4</v>
      </c>
      <c r="D795" s="86">
        <v>0.81070172118569683</v>
      </c>
      <c r="E795" s="86"/>
      <c r="F795" s="14"/>
    </row>
    <row r="796" spans="1:6" x14ac:dyDescent="0.25">
      <c r="A796" s="86">
        <v>795</v>
      </c>
      <c r="B796" s="87">
        <v>40.002083773622871</v>
      </c>
      <c r="C796" s="14">
        <v>4</v>
      </c>
      <c r="D796" s="86">
        <v>0.93134398458862944</v>
      </c>
      <c r="E796" s="86"/>
      <c r="F796" s="14"/>
    </row>
    <row r="797" spans="1:6" x14ac:dyDescent="0.25">
      <c r="A797" s="86">
        <v>796</v>
      </c>
      <c r="B797" s="87">
        <v>43.031553781809635</v>
      </c>
      <c r="C797" s="14">
        <v>2</v>
      </c>
      <c r="D797" s="86">
        <v>0.54045683064499539</v>
      </c>
      <c r="E797" s="86"/>
      <c r="F797" s="14"/>
    </row>
    <row r="798" spans="1:6" x14ac:dyDescent="0.25">
      <c r="A798" s="86">
        <v>797</v>
      </c>
      <c r="B798" s="87">
        <v>47.311141310608946</v>
      </c>
      <c r="C798" s="14">
        <v>4</v>
      </c>
      <c r="D798" s="86">
        <v>0.69806328006346108</v>
      </c>
      <c r="E798" s="86"/>
      <c r="F798" s="14"/>
    </row>
    <row r="799" spans="1:6" x14ac:dyDescent="0.25">
      <c r="A799" s="86">
        <v>798</v>
      </c>
      <c r="B799" s="87">
        <v>43.902781494005467</v>
      </c>
      <c r="C799" s="14">
        <v>4</v>
      </c>
      <c r="D799" s="86">
        <v>0.25911489997870429</v>
      </c>
      <c r="E799" s="86"/>
      <c r="F799" s="14"/>
    </row>
    <row r="800" spans="1:6" x14ac:dyDescent="0.25">
      <c r="A800" s="86">
        <v>799</v>
      </c>
      <c r="B800" s="87">
        <v>47.828666533285286</v>
      </c>
      <c r="C800" s="14">
        <v>2</v>
      </c>
      <c r="D800" s="86">
        <v>0.97960382585146932</v>
      </c>
      <c r="E800" s="86"/>
      <c r="F800" s="14"/>
    </row>
    <row r="801" spans="1:6" x14ac:dyDescent="0.25">
      <c r="A801" s="86">
        <v>800</v>
      </c>
      <c r="B801" s="87">
        <v>37.015297488658689</v>
      </c>
      <c r="C801" s="14">
        <v>5</v>
      </c>
      <c r="D801" s="86">
        <v>0.67628175743704566</v>
      </c>
      <c r="E801" s="86"/>
      <c r="F801" s="14"/>
    </row>
    <row r="802" spans="1:6" x14ac:dyDescent="0.25">
      <c r="A802" s="86">
        <v>801</v>
      </c>
      <c r="B802" s="87">
        <v>40.89188223076053</v>
      </c>
      <c r="C802" s="14">
        <v>4</v>
      </c>
      <c r="D802" s="86">
        <v>0.73071968129364573</v>
      </c>
      <c r="E802" s="86"/>
      <c r="F802" s="14"/>
    </row>
    <row r="803" spans="1:6" x14ac:dyDescent="0.25">
      <c r="A803" s="86">
        <v>802</v>
      </c>
      <c r="B803" s="87">
        <v>38.001473962474847</v>
      </c>
      <c r="C803" s="14">
        <v>2</v>
      </c>
      <c r="D803" s="86">
        <v>0.59077123370085194</v>
      </c>
      <c r="E803" s="86"/>
      <c r="F803" s="14"/>
    </row>
    <row r="804" spans="1:6" x14ac:dyDescent="0.25">
      <c r="A804" s="86">
        <v>803</v>
      </c>
      <c r="B804" s="87">
        <v>45.045993596766493</v>
      </c>
      <c r="C804" s="14">
        <v>4</v>
      </c>
      <c r="D804" s="86">
        <v>0.25796444964992893</v>
      </c>
      <c r="E804" s="86"/>
      <c r="F804" s="14"/>
    </row>
    <row r="805" spans="1:6" x14ac:dyDescent="0.25">
      <c r="A805" s="86">
        <v>804</v>
      </c>
      <c r="B805" s="87">
        <v>42.94243466971966</v>
      </c>
      <c r="C805" s="14">
        <v>4</v>
      </c>
      <c r="D805" s="86">
        <v>0.95803948488671098</v>
      </c>
      <c r="E805" s="86"/>
      <c r="F805" s="14"/>
    </row>
    <row r="806" spans="1:6" x14ac:dyDescent="0.25">
      <c r="A806" s="86">
        <v>805</v>
      </c>
      <c r="B806" s="87">
        <v>46.657851266325451</v>
      </c>
      <c r="C806" s="14">
        <v>3</v>
      </c>
      <c r="D806" s="86">
        <v>0.37394455970590057</v>
      </c>
      <c r="E806" s="86"/>
      <c r="F806" s="14"/>
    </row>
    <row r="807" spans="1:6" x14ac:dyDescent="0.25">
      <c r="A807" s="86">
        <v>806</v>
      </c>
      <c r="B807" s="87">
        <v>46.011666649399558</v>
      </c>
      <c r="C807" s="14">
        <v>2</v>
      </c>
      <c r="D807" s="86">
        <v>0.95164586745868895</v>
      </c>
      <c r="E807" s="86"/>
      <c r="F807" s="14"/>
    </row>
    <row r="808" spans="1:6" x14ac:dyDescent="0.25">
      <c r="A808" s="86">
        <v>807</v>
      </c>
      <c r="B808" s="87">
        <v>44.994942522287602</v>
      </c>
      <c r="C808" s="14">
        <v>3</v>
      </c>
      <c r="D808" s="86">
        <v>0.39017413712234139</v>
      </c>
      <c r="E808" s="86"/>
      <c r="F808" s="14"/>
    </row>
    <row r="809" spans="1:6" x14ac:dyDescent="0.25">
      <c r="A809" s="86">
        <v>808</v>
      </c>
      <c r="B809" s="87">
        <v>43.733371052774601</v>
      </c>
      <c r="C809" s="14">
        <v>5</v>
      </c>
      <c r="D809" s="86">
        <v>0.64247637751485931</v>
      </c>
      <c r="E809" s="86"/>
      <c r="F809" s="14"/>
    </row>
    <row r="810" spans="1:6" x14ac:dyDescent="0.25">
      <c r="A810" s="86">
        <v>809</v>
      </c>
      <c r="B810" s="87">
        <v>52.63591446634382</v>
      </c>
      <c r="C810" s="14">
        <v>4</v>
      </c>
      <c r="D810" s="86">
        <v>0.47267124729790067</v>
      </c>
      <c r="E810" s="86"/>
      <c r="F810" s="14"/>
    </row>
    <row r="811" spans="1:6" x14ac:dyDescent="0.25">
      <c r="A811" s="86">
        <v>810</v>
      </c>
      <c r="B811" s="87">
        <v>40.126599282637471</v>
      </c>
      <c r="C811" s="14">
        <v>2</v>
      </c>
      <c r="D811" s="86">
        <v>0.79974653885409996</v>
      </c>
      <c r="E811" s="86"/>
      <c r="F811" s="14"/>
    </row>
    <row r="812" spans="1:6" x14ac:dyDescent="0.25">
      <c r="A812" s="86">
        <v>811</v>
      </c>
      <c r="B812" s="87">
        <v>41.863660266579245</v>
      </c>
      <c r="C812" s="14">
        <v>4</v>
      </c>
      <c r="D812" s="86">
        <v>0.41450768020523554</v>
      </c>
      <c r="E812" s="86"/>
      <c r="F812" s="14"/>
    </row>
    <row r="813" spans="1:6" x14ac:dyDescent="0.25">
      <c r="A813" s="86">
        <v>812</v>
      </c>
      <c r="B813" s="87">
        <v>38.854568624054082</v>
      </c>
      <c r="C813" s="14">
        <v>2</v>
      </c>
      <c r="D813" s="86">
        <v>0.62148409560994433</v>
      </c>
      <c r="E813" s="86"/>
      <c r="F813" s="14"/>
    </row>
    <row r="814" spans="1:6" x14ac:dyDescent="0.25">
      <c r="A814" s="86">
        <v>813</v>
      </c>
      <c r="B814" s="87">
        <v>46.547768301359611</v>
      </c>
      <c r="C814" s="14">
        <v>4</v>
      </c>
      <c r="D814" s="86">
        <v>7.4733940069242832E-2</v>
      </c>
      <c r="E814" s="86"/>
      <c r="F814" s="14"/>
    </row>
    <row r="815" spans="1:6" x14ac:dyDescent="0.25">
      <c r="A815" s="86">
        <v>814</v>
      </c>
      <c r="B815" s="87">
        <v>41.504040377156343</v>
      </c>
      <c r="C815" s="14">
        <v>2</v>
      </c>
      <c r="D815" s="86">
        <v>0.11474279703492551</v>
      </c>
      <c r="E815" s="86"/>
      <c r="F815" s="14"/>
    </row>
    <row r="816" spans="1:6" x14ac:dyDescent="0.25">
      <c r="A816" s="86">
        <v>815</v>
      </c>
      <c r="B816" s="87">
        <v>47.504647677094908</v>
      </c>
      <c r="C816" s="14">
        <v>2</v>
      </c>
      <c r="D816" s="86">
        <v>0.62261762595016723</v>
      </c>
      <c r="E816" s="86"/>
      <c r="F816" s="14"/>
    </row>
    <row r="817" spans="1:6" x14ac:dyDescent="0.25">
      <c r="A817" s="86">
        <v>816</v>
      </c>
      <c r="B817" s="87">
        <v>44.050545961334137</v>
      </c>
      <c r="C817" s="14">
        <v>4</v>
      </c>
      <c r="D817" s="86">
        <v>5.9237248071128956E-2</v>
      </c>
      <c r="E817" s="86"/>
      <c r="F817" s="14"/>
    </row>
    <row r="818" spans="1:6" x14ac:dyDescent="0.25">
      <c r="A818" s="86">
        <v>817</v>
      </c>
      <c r="B818" s="87">
        <v>45.475690052960999</v>
      </c>
      <c r="C818" s="14">
        <v>4</v>
      </c>
      <c r="D818" s="86">
        <v>0.38500075676545031</v>
      </c>
      <c r="E818" s="86"/>
      <c r="F818" s="14"/>
    </row>
    <row r="819" spans="1:6" x14ac:dyDescent="0.25">
      <c r="A819" s="86">
        <v>818</v>
      </c>
      <c r="B819" s="87">
        <v>47.369678663351806</v>
      </c>
      <c r="C819" s="14">
        <v>2</v>
      </c>
      <c r="D819" s="86">
        <v>0.28762693410427498</v>
      </c>
      <c r="E819" s="86"/>
      <c r="F819" s="14"/>
    </row>
    <row r="820" spans="1:6" x14ac:dyDescent="0.25">
      <c r="A820" s="86">
        <v>819</v>
      </c>
      <c r="B820" s="87">
        <v>44.931323367898585</v>
      </c>
      <c r="C820" s="14">
        <v>2</v>
      </c>
      <c r="D820" s="86">
        <v>0.69358315461922504</v>
      </c>
      <c r="E820" s="86"/>
      <c r="F820" s="14"/>
    </row>
    <row r="821" spans="1:6" x14ac:dyDescent="0.25">
      <c r="A821" s="86">
        <v>820</v>
      </c>
      <c r="B821" s="87">
        <v>42.794738414493622</v>
      </c>
      <c r="C821" s="14">
        <v>1</v>
      </c>
      <c r="D821" s="86">
        <v>7.7854109627134127E-2</v>
      </c>
      <c r="E821" s="86"/>
      <c r="F821" s="14"/>
    </row>
    <row r="822" spans="1:6" x14ac:dyDescent="0.25">
      <c r="A822" s="86">
        <v>821</v>
      </c>
      <c r="B822" s="87">
        <v>43.593297500017798</v>
      </c>
      <c r="C822" s="14">
        <v>2</v>
      </c>
      <c r="D822" s="86">
        <v>0.23346016753203713</v>
      </c>
      <c r="E822" s="86"/>
      <c r="F822" s="14"/>
    </row>
    <row r="823" spans="1:6" x14ac:dyDescent="0.25">
      <c r="A823" s="86">
        <v>822</v>
      </c>
      <c r="B823" s="87">
        <v>39.743457586489967</v>
      </c>
      <c r="C823" s="14">
        <v>2</v>
      </c>
      <c r="D823" s="86">
        <v>0.8337794932508189</v>
      </c>
      <c r="E823" s="86"/>
      <c r="F823" s="14"/>
    </row>
    <row r="824" spans="1:6" x14ac:dyDescent="0.25">
      <c r="A824" s="86">
        <v>823</v>
      </c>
      <c r="B824" s="87">
        <v>37.817801507451804</v>
      </c>
      <c r="C824" s="14">
        <v>2</v>
      </c>
      <c r="D824" s="86">
        <v>0.50673822193080043</v>
      </c>
      <c r="E824" s="86"/>
      <c r="F824" s="14"/>
    </row>
    <row r="825" spans="1:6" x14ac:dyDescent="0.25">
      <c r="A825" s="86">
        <v>824</v>
      </c>
      <c r="B825" s="87">
        <v>45.980993940582266</v>
      </c>
      <c r="C825" s="14">
        <v>5</v>
      </c>
      <c r="D825" s="86">
        <v>8.1886425010476049E-2</v>
      </c>
      <c r="E825" s="86"/>
      <c r="F825" s="14"/>
    </row>
    <row r="826" spans="1:6" x14ac:dyDescent="0.25">
      <c r="A826" s="86">
        <v>825</v>
      </c>
      <c r="B826" s="87">
        <v>46.848469987133285</v>
      </c>
      <c r="C826" s="14">
        <v>2</v>
      </c>
      <c r="D826" s="86">
        <v>0.829958925050442</v>
      </c>
      <c r="E826" s="86"/>
      <c r="F826" s="14"/>
    </row>
    <row r="827" spans="1:6" x14ac:dyDescent="0.25">
      <c r="A827" s="86">
        <v>826</v>
      </c>
      <c r="B827" s="87">
        <v>38.350549397699069</v>
      </c>
      <c r="C827" s="14">
        <v>2</v>
      </c>
      <c r="D827" s="86">
        <v>0.92825938298850952</v>
      </c>
      <c r="E827" s="86"/>
      <c r="F827" s="14"/>
    </row>
    <row r="828" spans="1:6" x14ac:dyDescent="0.25">
      <c r="A828" s="86">
        <v>827</v>
      </c>
      <c r="B828" s="87">
        <v>36.956953403539956</v>
      </c>
      <c r="C828" s="14">
        <v>1</v>
      </c>
      <c r="D828" s="86">
        <v>8.5041041005283757E-2</v>
      </c>
      <c r="E828" s="86"/>
      <c r="F828" s="14"/>
    </row>
    <row r="829" spans="1:6" x14ac:dyDescent="0.25">
      <c r="A829" s="86">
        <v>828</v>
      </c>
      <c r="B829" s="87">
        <v>53.439589459565468</v>
      </c>
      <c r="C829" s="14">
        <v>2</v>
      </c>
      <c r="D829" s="86">
        <v>0.33152846066524855</v>
      </c>
      <c r="E829" s="86"/>
      <c r="F829" s="14"/>
    </row>
    <row r="830" spans="1:6" x14ac:dyDescent="0.25">
      <c r="A830" s="86">
        <v>829</v>
      </c>
      <c r="B830" s="87">
        <v>44.870466803666204</v>
      </c>
      <c r="C830" s="14">
        <v>5</v>
      </c>
      <c r="D830" s="86">
        <v>0.33683089785792308</v>
      </c>
      <c r="E830" s="86"/>
      <c r="F830" s="14"/>
    </row>
    <row r="831" spans="1:6" x14ac:dyDescent="0.25">
      <c r="A831" s="86">
        <v>830</v>
      </c>
      <c r="B831" s="87">
        <v>42.022463725850685</v>
      </c>
      <c r="C831" s="14">
        <v>2</v>
      </c>
      <c r="D831" s="86">
        <v>5.7457697943131159E-2</v>
      </c>
      <c r="E831" s="86"/>
      <c r="F831" s="14"/>
    </row>
    <row r="832" spans="1:6" x14ac:dyDescent="0.25">
      <c r="A832" s="86">
        <v>831</v>
      </c>
      <c r="B832" s="87">
        <v>43.719842319085728</v>
      </c>
      <c r="C832" s="14">
        <v>2</v>
      </c>
      <c r="D832" s="86">
        <v>5.5479840378782286E-2</v>
      </c>
      <c r="E832" s="86"/>
      <c r="F832" s="14"/>
    </row>
    <row r="833" spans="1:6" x14ac:dyDescent="0.25">
      <c r="A833" s="86">
        <v>832</v>
      </c>
      <c r="B833" s="87">
        <v>50.775179255986586</v>
      </c>
      <c r="C833" s="14">
        <v>4</v>
      </c>
      <c r="D833" s="86">
        <v>0.89364409013990931</v>
      </c>
      <c r="E833" s="86"/>
      <c r="F833" s="14"/>
    </row>
    <row r="834" spans="1:6" x14ac:dyDescent="0.25">
      <c r="A834" s="86">
        <v>833</v>
      </c>
      <c r="B834" s="87">
        <v>41.567523107340094</v>
      </c>
      <c r="C834" s="14">
        <v>4</v>
      </c>
      <c r="D834" s="86">
        <v>0.67215068459330085</v>
      </c>
      <c r="E834" s="86"/>
      <c r="F834" s="14"/>
    </row>
    <row r="835" spans="1:6" x14ac:dyDescent="0.25">
      <c r="A835" s="86">
        <v>834</v>
      </c>
      <c r="B835" s="87">
        <v>49.110280992288608</v>
      </c>
      <c r="C835" s="14">
        <v>4</v>
      </c>
      <c r="D835" s="86">
        <v>0.80010074112486074</v>
      </c>
      <c r="E835" s="86"/>
      <c r="F835" s="14"/>
    </row>
    <row r="836" spans="1:6" x14ac:dyDescent="0.25">
      <c r="A836" s="86">
        <v>835</v>
      </c>
      <c r="B836" s="87">
        <v>42.517888227273943</v>
      </c>
      <c r="C836" s="14">
        <v>2</v>
      </c>
      <c r="D836" s="86">
        <v>0.66743881535008065</v>
      </c>
      <c r="E836" s="86"/>
      <c r="F836" s="14"/>
    </row>
    <row r="837" spans="1:6" x14ac:dyDescent="0.25">
      <c r="A837" s="86">
        <v>836</v>
      </c>
      <c r="B837" s="87">
        <v>38.484438386483816</v>
      </c>
      <c r="C837" s="14">
        <v>4</v>
      </c>
      <c r="D837" s="86">
        <v>0.5665513659558753</v>
      </c>
      <c r="E837" s="86"/>
      <c r="F837" s="14"/>
    </row>
    <row r="838" spans="1:6" x14ac:dyDescent="0.25">
      <c r="A838" s="86">
        <v>837</v>
      </c>
      <c r="B838" s="87">
        <v>38.447512901591836</v>
      </c>
      <c r="C838" s="14">
        <v>2</v>
      </c>
      <c r="D838" s="86">
        <v>0.98708961229850745</v>
      </c>
      <c r="E838" s="86"/>
      <c r="F838" s="14"/>
    </row>
    <row r="839" spans="1:6" x14ac:dyDescent="0.25">
      <c r="A839" s="86">
        <v>838</v>
      </c>
      <c r="B839" s="87">
        <v>46.501668288663495</v>
      </c>
      <c r="C839" s="14">
        <v>2</v>
      </c>
      <c r="D839" s="86">
        <v>0.77898505700769782</v>
      </c>
      <c r="E839" s="86"/>
      <c r="F839" s="14"/>
    </row>
    <row r="840" spans="1:6" x14ac:dyDescent="0.25">
      <c r="A840" s="86">
        <v>839</v>
      </c>
      <c r="B840" s="87">
        <v>44.719524789223215</v>
      </c>
      <c r="C840" s="14">
        <v>4</v>
      </c>
      <c r="D840" s="86">
        <v>0.55501792160353913</v>
      </c>
      <c r="E840" s="86"/>
      <c r="F840" s="14"/>
    </row>
    <row r="841" spans="1:6" x14ac:dyDescent="0.25">
      <c r="A841" s="86">
        <v>840</v>
      </c>
      <c r="B841" s="87">
        <v>45.989679614984198</v>
      </c>
      <c r="C841" s="14">
        <v>3</v>
      </c>
      <c r="D841" s="86">
        <v>0.85964606730471138</v>
      </c>
      <c r="E841" s="86"/>
      <c r="F841" s="14"/>
    </row>
    <row r="842" spans="1:6" x14ac:dyDescent="0.25">
      <c r="A842" s="86">
        <v>841</v>
      </c>
      <c r="B842" s="87">
        <v>38.280541043030098</v>
      </c>
      <c r="C842" s="14">
        <v>1</v>
      </c>
      <c r="D842" s="86">
        <v>0.49597392415369679</v>
      </c>
      <c r="E842" s="86"/>
      <c r="F842" s="14"/>
    </row>
    <row r="843" spans="1:6" x14ac:dyDescent="0.25">
      <c r="A843" s="86">
        <v>842</v>
      </c>
      <c r="B843" s="87">
        <v>43.468281768917223</v>
      </c>
      <c r="C843" s="14">
        <v>2</v>
      </c>
      <c r="D843" s="86">
        <v>0.56981449297183806</v>
      </c>
      <c r="E843" s="86"/>
      <c r="F843" s="14"/>
    </row>
    <row r="844" spans="1:6" x14ac:dyDescent="0.25">
      <c r="A844" s="86">
        <v>843</v>
      </c>
      <c r="B844" s="87">
        <v>39.253598055773182</v>
      </c>
      <c r="C844" s="14">
        <v>5</v>
      </c>
      <c r="D844" s="86">
        <v>0.82090972120073924</v>
      </c>
      <c r="E844" s="86"/>
      <c r="F844" s="14"/>
    </row>
    <row r="845" spans="1:6" x14ac:dyDescent="0.25">
      <c r="A845" s="86">
        <v>844</v>
      </c>
      <c r="B845" s="87">
        <v>44.14065414891229</v>
      </c>
      <c r="C845" s="14">
        <v>4</v>
      </c>
      <c r="D845" s="86">
        <v>7.5946817240157838E-4</v>
      </c>
      <c r="E845" s="86"/>
      <c r="F845" s="14"/>
    </row>
    <row r="846" spans="1:6" x14ac:dyDescent="0.25">
      <c r="A846" s="86">
        <v>845</v>
      </c>
      <c r="B846" s="87">
        <v>41.151253066680511</v>
      </c>
      <c r="C846" s="14">
        <v>5</v>
      </c>
      <c r="D846" s="86">
        <v>0.18927478460341096</v>
      </c>
      <c r="E846" s="86"/>
      <c r="F846" s="14"/>
    </row>
    <row r="847" spans="1:6" x14ac:dyDescent="0.25">
      <c r="A847" s="86">
        <v>846</v>
      </c>
      <c r="B847" s="87">
        <v>43.459061766377999</v>
      </c>
      <c r="C847" s="14">
        <v>4</v>
      </c>
      <c r="D847" s="86">
        <v>0.25837210826766888</v>
      </c>
      <c r="E847" s="86"/>
      <c r="F847" s="14"/>
    </row>
    <row r="848" spans="1:6" x14ac:dyDescent="0.25">
      <c r="A848" s="86">
        <v>847</v>
      </c>
      <c r="B848" s="87">
        <v>50.321136763493996</v>
      </c>
      <c r="C848" s="14">
        <v>3</v>
      </c>
      <c r="D848" s="86">
        <v>0.14931831242623439</v>
      </c>
      <c r="E848" s="86"/>
      <c r="F848" s="14"/>
    </row>
    <row r="849" spans="1:6" x14ac:dyDescent="0.25">
      <c r="A849" s="86">
        <v>848</v>
      </c>
      <c r="B849" s="87">
        <v>41.07732820045203</v>
      </c>
      <c r="C849" s="14">
        <v>5</v>
      </c>
      <c r="D849" s="86">
        <v>0.56562045674201911</v>
      </c>
      <c r="E849" s="86"/>
      <c r="F849" s="14"/>
    </row>
    <row r="850" spans="1:6" x14ac:dyDescent="0.25">
      <c r="A850" s="86">
        <v>849</v>
      </c>
      <c r="B850" s="87">
        <v>44.174055341834901</v>
      </c>
      <c r="C850" s="14">
        <v>4</v>
      </c>
      <c r="D850" s="86">
        <v>0.47983633385094382</v>
      </c>
      <c r="E850" s="86"/>
      <c r="F850" s="14"/>
    </row>
    <row r="851" spans="1:6" x14ac:dyDescent="0.25">
      <c r="A851" s="86">
        <v>850</v>
      </c>
      <c r="B851" s="87">
        <v>50.768767318339087</v>
      </c>
      <c r="C851" s="14">
        <v>5</v>
      </c>
      <c r="D851" s="86">
        <v>0.64394336598011903</v>
      </c>
      <c r="E851" s="86"/>
      <c r="F851" s="14"/>
    </row>
    <row r="852" spans="1:6" x14ac:dyDescent="0.25">
      <c r="A852" s="86">
        <v>851</v>
      </c>
      <c r="B852" s="87">
        <v>41.438710235859617</v>
      </c>
      <c r="C852" s="14">
        <v>4</v>
      </c>
      <c r="D852" s="86">
        <v>0.5129088384902053</v>
      </c>
      <c r="E852" s="86"/>
      <c r="F852" s="14"/>
    </row>
    <row r="853" spans="1:6" x14ac:dyDescent="0.25">
      <c r="A853" s="86">
        <v>852</v>
      </c>
      <c r="B853" s="87">
        <v>32.795514920842834</v>
      </c>
      <c r="C853" s="14">
        <v>4</v>
      </c>
      <c r="D853" s="86">
        <v>8.5733920175668832E-2</v>
      </c>
      <c r="E853" s="86"/>
      <c r="F853" s="14"/>
    </row>
    <row r="854" spans="1:6" x14ac:dyDescent="0.25">
      <c r="A854" s="86">
        <v>853</v>
      </c>
      <c r="B854" s="87">
        <v>43.590216586715542</v>
      </c>
      <c r="C854" s="14">
        <v>2</v>
      </c>
      <c r="D854" s="86">
        <v>0.92974582365720071</v>
      </c>
      <c r="E854" s="86"/>
      <c r="F854" s="14"/>
    </row>
    <row r="855" spans="1:6" x14ac:dyDescent="0.25">
      <c r="A855" s="86">
        <v>854</v>
      </c>
      <c r="B855" s="87">
        <v>37.34148776344955</v>
      </c>
      <c r="C855" s="14">
        <v>2</v>
      </c>
      <c r="D855" s="86">
        <v>0.93131746878497745</v>
      </c>
      <c r="E855" s="86"/>
      <c r="F855" s="14"/>
    </row>
    <row r="856" spans="1:6" x14ac:dyDescent="0.25">
      <c r="A856" s="86">
        <v>855</v>
      </c>
      <c r="B856" s="87">
        <v>47.464618541533127</v>
      </c>
      <c r="C856" s="14">
        <v>4</v>
      </c>
      <c r="D856" s="86">
        <v>0.52861165628417739</v>
      </c>
      <c r="E856" s="86"/>
      <c r="F856" s="14"/>
    </row>
    <row r="857" spans="1:6" x14ac:dyDescent="0.25">
      <c r="A857" s="86">
        <v>856</v>
      </c>
      <c r="B857" s="87">
        <v>39.226699749968247</v>
      </c>
      <c r="C857" s="14">
        <v>4</v>
      </c>
      <c r="D857" s="86">
        <v>0.23520832803168246</v>
      </c>
      <c r="E857" s="86"/>
      <c r="F857" s="14"/>
    </row>
    <row r="858" spans="1:6" x14ac:dyDescent="0.25">
      <c r="A858" s="86">
        <v>857</v>
      </c>
      <c r="B858" s="87">
        <v>47.460628133529099</v>
      </c>
      <c r="C858" s="14">
        <v>1</v>
      </c>
      <c r="D858" s="86">
        <v>0.75359569519843039</v>
      </c>
      <c r="E858" s="86"/>
      <c r="F858" s="14"/>
    </row>
    <row r="859" spans="1:6" x14ac:dyDescent="0.25">
      <c r="A859" s="86">
        <v>858</v>
      </c>
      <c r="B859" s="87">
        <v>41.929115463397466</v>
      </c>
      <c r="C859" s="14">
        <v>1</v>
      </c>
      <c r="D859" s="86">
        <v>0.53568744664416845</v>
      </c>
      <c r="E859" s="86"/>
      <c r="F859" s="14"/>
    </row>
    <row r="860" spans="1:6" x14ac:dyDescent="0.25">
      <c r="A860" s="86">
        <v>859</v>
      </c>
      <c r="B860" s="87">
        <v>43.11341967365297</v>
      </c>
      <c r="C860" s="14">
        <v>4</v>
      </c>
      <c r="D860" s="86">
        <v>0.86873840270325953</v>
      </c>
      <c r="E860" s="86"/>
      <c r="F860" s="14"/>
    </row>
    <row r="861" spans="1:6" x14ac:dyDescent="0.25">
      <c r="A861" s="86">
        <v>860</v>
      </c>
      <c r="B861" s="87">
        <v>33.938795235706493</v>
      </c>
      <c r="C861" s="14">
        <v>2</v>
      </c>
      <c r="D861" s="86">
        <v>0.51643833604509248</v>
      </c>
      <c r="E861" s="86"/>
      <c r="F861" s="14"/>
    </row>
    <row r="862" spans="1:6" x14ac:dyDescent="0.25">
      <c r="A862" s="86">
        <v>861</v>
      </c>
      <c r="B862" s="87">
        <v>33.636069924221374</v>
      </c>
      <c r="C862" s="14">
        <v>2</v>
      </c>
      <c r="D862" s="86">
        <v>0.15165861128684044</v>
      </c>
      <c r="E862" s="86"/>
      <c r="F862" s="14"/>
    </row>
    <row r="863" spans="1:6" x14ac:dyDescent="0.25">
      <c r="A863" s="86">
        <v>862</v>
      </c>
      <c r="B863" s="87">
        <v>47.907928996544797</v>
      </c>
      <c r="C863" s="14">
        <v>4</v>
      </c>
      <c r="D863" s="86">
        <v>0.9889533472290275</v>
      </c>
      <c r="E863" s="86"/>
      <c r="F863" s="14"/>
    </row>
    <row r="864" spans="1:6" x14ac:dyDescent="0.25">
      <c r="A864" s="86">
        <v>863</v>
      </c>
      <c r="B864" s="87">
        <v>59.100239008665085</v>
      </c>
      <c r="C864" s="14">
        <v>2</v>
      </c>
      <c r="D864" s="86">
        <v>0.26491080995607452</v>
      </c>
      <c r="E864" s="86"/>
      <c r="F864" s="14"/>
    </row>
    <row r="865" spans="1:6" x14ac:dyDescent="0.25">
      <c r="A865" s="86">
        <v>864</v>
      </c>
      <c r="B865" s="87">
        <v>41.557154867739882</v>
      </c>
      <c r="C865" s="14">
        <v>2</v>
      </c>
      <c r="D865" s="86">
        <v>0.45632129920737541</v>
      </c>
      <c r="E865" s="86"/>
      <c r="F865" s="14"/>
    </row>
    <row r="866" spans="1:6" x14ac:dyDescent="0.25">
      <c r="A866" s="86">
        <v>865</v>
      </c>
      <c r="B866" s="87">
        <v>39.555288817035034</v>
      </c>
      <c r="C866" s="14">
        <v>1</v>
      </c>
      <c r="D866" s="86">
        <v>0.96743109454820397</v>
      </c>
      <c r="E866" s="86"/>
      <c r="F866" s="14"/>
    </row>
    <row r="867" spans="1:6" x14ac:dyDescent="0.25">
      <c r="A867" s="86">
        <v>866</v>
      </c>
      <c r="B867" s="87">
        <v>38.334019331494346</v>
      </c>
      <c r="C867" s="14">
        <v>5</v>
      </c>
      <c r="D867" s="86">
        <v>0.79973716904815595</v>
      </c>
      <c r="E867" s="86"/>
      <c r="F867" s="14"/>
    </row>
    <row r="868" spans="1:6" x14ac:dyDescent="0.25">
      <c r="A868" s="86">
        <v>867</v>
      </c>
      <c r="B868" s="87">
        <v>45.080980721075321</v>
      </c>
      <c r="C868" s="14">
        <v>4</v>
      </c>
      <c r="D868" s="86">
        <v>7.7533474374368416E-2</v>
      </c>
      <c r="E868" s="86"/>
      <c r="F868" s="14"/>
    </row>
    <row r="869" spans="1:6" x14ac:dyDescent="0.25">
      <c r="A869" s="86">
        <v>868</v>
      </c>
      <c r="B869" s="87">
        <v>42.833778474567225</v>
      </c>
      <c r="C869" s="14">
        <v>4</v>
      </c>
      <c r="D869" s="86">
        <v>0.20009859203697899</v>
      </c>
      <c r="E869" s="86"/>
      <c r="F869" s="14"/>
    </row>
    <row r="870" spans="1:6" x14ac:dyDescent="0.25">
      <c r="A870" s="86">
        <v>869</v>
      </c>
      <c r="B870" s="87">
        <v>40.771698190263123</v>
      </c>
      <c r="C870" s="14">
        <v>1</v>
      </c>
      <c r="D870" s="86">
        <v>0.30629635498130892</v>
      </c>
      <c r="E870" s="86"/>
      <c r="F870" s="14"/>
    </row>
    <row r="871" spans="1:6" x14ac:dyDescent="0.25">
      <c r="A871" s="86">
        <v>870</v>
      </c>
      <c r="B871" s="87">
        <v>48.18416527484078</v>
      </c>
      <c r="C871" s="14">
        <v>2</v>
      </c>
      <c r="D871" s="86">
        <v>0.39172872382658552</v>
      </c>
      <c r="E871" s="86"/>
      <c r="F871" s="14"/>
    </row>
    <row r="872" spans="1:6" x14ac:dyDescent="0.25">
      <c r="A872" s="86">
        <v>871</v>
      </c>
      <c r="B872" s="87">
        <v>44.975905661311117</v>
      </c>
      <c r="C872" s="14">
        <v>1</v>
      </c>
      <c r="D872" s="86">
        <v>0.36308773657191173</v>
      </c>
      <c r="E872" s="86"/>
      <c r="F872" s="14"/>
    </row>
    <row r="873" spans="1:6" x14ac:dyDescent="0.25">
      <c r="A873" s="86">
        <v>872</v>
      </c>
      <c r="B873" s="87">
        <v>36.890526184259215</v>
      </c>
      <c r="C873" s="14">
        <v>2</v>
      </c>
      <c r="D873" s="86">
        <v>0.89714195156152032</v>
      </c>
      <c r="E873" s="86"/>
      <c r="F873" s="14"/>
    </row>
    <row r="874" spans="1:6" x14ac:dyDescent="0.25">
      <c r="A874" s="86">
        <v>873</v>
      </c>
      <c r="B874" s="87">
        <v>45.641814944581711</v>
      </c>
      <c r="C874" s="14">
        <v>2</v>
      </c>
      <c r="D874" s="86">
        <v>0.44080038570454494</v>
      </c>
      <c r="E874" s="86"/>
      <c r="F874" s="14"/>
    </row>
    <row r="875" spans="1:6" x14ac:dyDescent="0.25">
      <c r="A875" s="86">
        <v>874</v>
      </c>
      <c r="B875" s="87">
        <v>48.087576937512495</v>
      </c>
      <c r="C875" s="14">
        <v>5</v>
      </c>
      <c r="D875" s="86">
        <v>0.55741512211064104</v>
      </c>
      <c r="E875" s="86"/>
      <c r="F875" s="14"/>
    </row>
    <row r="876" spans="1:6" x14ac:dyDescent="0.25">
      <c r="A876" s="86">
        <v>875</v>
      </c>
      <c r="B876" s="87">
        <v>46.524189651216147</v>
      </c>
      <c r="C876" s="14">
        <v>4</v>
      </c>
      <c r="D876" s="86">
        <v>0.85301494109319187</v>
      </c>
      <c r="E876" s="86"/>
      <c r="F876" s="14"/>
    </row>
    <row r="877" spans="1:6" x14ac:dyDescent="0.25">
      <c r="A877" s="86">
        <v>876</v>
      </c>
      <c r="B877" s="87">
        <v>38.761618265532888</v>
      </c>
      <c r="C877" s="14">
        <v>5</v>
      </c>
      <c r="D877" s="86">
        <v>0.84820757132152369</v>
      </c>
      <c r="E877" s="86"/>
      <c r="F877" s="14"/>
    </row>
    <row r="878" spans="1:6" x14ac:dyDescent="0.25">
      <c r="A878" s="86">
        <v>877</v>
      </c>
      <c r="B878" s="87">
        <v>38.402163222024683</v>
      </c>
      <c r="C878" s="14">
        <v>2</v>
      </c>
      <c r="D878" s="86">
        <v>0.37231757525971876</v>
      </c>
      <c r="E878" s="86"/>
      <c r="F878" s="14"/>
    </row>
    <row r="879" spans="1:6" x14ac:dyDescent="0.25">
      <c r="A879" s="86">
        <v>878</v>
      </c>
      <c r="B879" s="87">
        <v>40.773807081102859</v>
      </c>
      <c r="C879" s="14">
        <v>4</v>
      </c>
      <c r="D879" s="86">
        <v>0.72970234634215259</v>
      </c>
      <c r="E879" s="86"/>
      <c r="F879" s="14"/>
    </row>
    <row r="880" spans="1:6" x14ac:dyDescent="0.25">
      <c r="A880" s="86">
        <v>879</v>
      </c>
      <c r="B880" s="87">
        <v>38.065377333958168</v>
      </c>
      <c r="C880" s="14">
        <v>4</v>
      </c>
      <c r="D880" s="86">
        <v>0.52250666652901545</v>
      </c>
      <c r="E880" s="86"/>
      <c r="F880" s="14"/>
    </row>
    <row r="881" spans="1:6" x14ac:dyDescent="0.25">
      <c r="A881" s="86">
        <v>880</v>
      </c>
      <c r="B881" s="87">
        <v>44.982527919608401</v>
      </c>
      <c r="C881" s="14">
        <v>2</v>
      </c>
      <c r="D881" s="86">
        <v>3.6636671322597181E-2</v>
      </c>
      <c r="E881" s="86"/>
      <c r="F881" s="14"/>
    </row>
    <row r="882" spans="1:6" x14ac:dyDescent="0.25">
      <c r="A882" s="86">
        <v>881</v>
      </c>
      <c r="B882" s="87">
        <v>38.507391759019811</v>
      </c>
      <c r="C882" s="14">
        <v>4</v>
      </c>
      <c r="D882" s="86">
        <v>0.74665147528738818</v>
      </c>
      <c r="E882" s="86"/>
      <c r="F882" s="14"/>
    </row>
    <row r="883" spans="1:6" x14ac:dyDescent="0.25">
      <c r="A883" s="86">
        <v>882</v>
      </c>
      <c r="B883" s="87">
        <v>36.8320115688839</v>
      </c>
      <c r="C883" s="14">
        <v>2</v>
      </c>
      <c r="D883" s="86">
        <v>0.66510705776122736</v>
      </c>
      <c r="E883" s="86"/>
      <c r="F883" s="14"/>
    </row>
    <row r="884" spans="1:6" x14ac:dyDescent="0.25">
      <c r="A884" s="86">
        <v>883</v>
      </c>
      <c r="B884" s="87">
        <v>45.343801952520153</v>
      </c>
      <c r="C884" s="14">
        <v>4</v>
      </c>
      <c r="D884" s="86">
        <v>0.47427420775965567</v>
      </c>
      <c r="E884" s="86"/>
      <c r="F884" s="14"/>
    </row>
    <row r="885" spans="1:6" x14ac:dyDescent="0.25">
      <c r="A885" s="86">
        <v>884</v>
      </c>
      <c r="B885" s="87">
        <v>46.560569439287065</v>
      </c>
      <c r="C885" s="14">
        <v>4</v>
      </c>
      <c r="D885" s="86">
        <v>4.7374879949527493E-2</v>
      </c>
      <c r="E885" s="86"/>
      <c r="F885" s="14"/>
    </row>
    <row r="886" spans="1:6" x14ac:dyDescent="0.25">
      <c r="A886" s="86">
        <v>885</v>
      </c>
      <c r="B886" s="87">
        <v>37.584413798293099</v>
      </c>
      <c r="C886" s="14">
        <v>4</v>
      </c>
      <c r="D886" s="86">
        <v>0.72536843119626271</v>
      </c>
      <c r="E886" s="86"/>
      <c r="F886" s="14"/>
    </row>
    <row r="887" spans="1:6" x14ac:dyDescent="0.25">
      <c r="A887" s="86">
        <v>886</v>
      </c>
      <c r="B887" s="87">
        <v>44.360092483082553</v>
      </c>
      <c r="C887" s="14">
        <v>2</v>
      </c>
      <c r="D887" s="86">
        <v>0.69022697853271886</v>
      </c>
      <c r="E887" s="86"/>
      <c r="F887" s="14"/>
    </row>
    <row r="888" spans="1:6" x14ac:dyDescent="0.25">
      <c r="A888" s="86">
        <v>887</v>
      </c>
      <c r="B888" s="87">
        <v>43.03997229214292</v>
      </c>
      <c r="C888" s="14">
        <v>2</v>
      </c>
      <c r="D888" s="86">
        <v>0.14962425325388329</v>
      </c>
      <c r="E888" s="86"/>
      <c r="F888" s="14"/>
    </row>
    <row r="889" spans="1:6" x14ac:dyDescent="0.25">
      <c r="A889" s="86">
        <v>888</v>
      </c>
      <c r="B889" s="87">
        <v>36.962512689904543</v>
      </c>
      <c r="C889" s="14">
        <v>5</v>
      </c>
      <c r="D889" s="86">
        <v>0.93156357632581088</v>
      </c>
      <c r="E889" s="86"/>
      <c r="F889" s="14"/>
    </row>
    <row r="890" spans="1:6" x14ac:dyDescent="0.25">
      <c r="A890" s="86">
        <v>889</v>
      </c>
      <c r="B890" s="87">
        <v>40.330877476997557</v>
      </c>
      <c r="C890" s="14">
        <v>1</v>
      </c>
      <c r="D890" s="86">
        <v>0.94595748930820855</v>
      </c>
      <c r="E890" s="86"/>
      <c r="F890" s="14"/>
    </row>
    <row r="891" spans="1:6" x14ac:dyDescent="0.25">
      <c r="A891" s="86">
        <v>890</v>
      </c>
      <c r="B891" s="87">
        <v>42.687872787035303</v>
      </c>
      <c r="C891" s="14">
        <v>2</v>
      </c>
      <c r="D891" s="86">
        <v>0.58315166665081608</v>
      </c>
      <c r="E891" s="86"/>
      <c r="F891" s="14"/>
    </row>
    <row r="892" spans="1:6" x14ac:dyDescent="0.25">
      <c r="A892" s="86">
        <v>891</v>
      </c>
      <c r="B892" s="87">
        <v>50.943572200019844</v>
      </c>
      <c r="C892" s="14">
        <v>4</v>
      </c>
      <c r="D892" s="86">
        <v>0.27859365631441846</v>
      </c>
      <c r="E892" s="86"/>
      <c r="F892" s="14"/>
    </row>
    <row r="893" spans="1:6" x14ac:dyDescent="0.25">
      <c r="A893" s="86">
        <v>892</v>
      </c>
      <c r="B893" s="87">
        <v>42.556683860646444</v>
      </c>
      <c r="C893" s="14">
        <v>2</v>
      </c>
      <c r="D893" s="86">
        <v>0.21772995951854968</v>
      </c>
      <c r="E893" s="86"/>
      <c r="F893" s="14"/>
    </row>
    <row r="894" spans="1:6" x14ac:dyDescent="0.25">
      <c r="A894" s="86">
        <v>893</v>
      </c>
      <c r="B894" s="87">
        <v>47.27739905717317</v>
      </c>
      <c r="C894" s="14">
        <v>2</v>
      </c>
      <c r="D894" s="86">
        <v>1.9198861515660748E-2</v>
      </c>
      <c r="E894" s="86"/>
      <c r="F894" s="14"/>
    </row>
    <row r="895" spans="1:6" x14ac:dyDescent="0.25">
      <c r="A895" s="86">
        <v>894</v>
      </c>
      <c r="B895" s="87">
        <v>43.410301481679198</v>
      </c>
      <c r="C895" s="14">
        <v>2</v>
      </c>
      <c r="D895" s="86">
        <v>0.94889371293300329</v>
      </c>
      <c r="E895" s="86"/>
      <c r="F895" s="14"/>
    </row>
    <row r="896" spans="1:6" x14ac:dyDescent="0.25">
      <c r="A896" s="86">
        <v>895</v>
      </c>
      <c r="B896" s="87">
        <v>39.707913396676304</v>
      </c>
      <c r="C896" s="14">
        <v>2</v>
      </c>
      <c r="D896" s="86">
        <v>0.94191385813949191</v>
      </c>
      <c r="E896" s="86"/>
      <c r="F896" s="14"/>
    </row>
    <row r="897" spans="1:6" x14ac:dyDescent="0.25">
      <c r="A897" s="86">
        <v>896</v>
      </c>
      <c r="B897" s="87">
        <v>41.953757085473626</v>
      </c>
      <c r="C897" s="14">
        <v>4</v>
      </c>
      <c r="D897" s="86">
        <v>0.9247700396102887</v>
      </c>
      <c r="E897" s="86"/>
      <c r="F897" s="14"/>
    </row>
    <row r="898" spans="1:6" x14ac:dyDescent="0.25">
      <c r="A898" s="86">
        <v>897</v>
      </c>
      <c r="B898" s="87">
        <v>40.006659668841166</v>
      </c>
      <c r="C898" s="14">
        <v>2</v>
      </c>
      <c r="D898" s="86">
        <v>0.64405310020786999</v>
      </c>
      <c r="E898" s="86"/>
      <c r="F898" s="14"/>
    </row>
    <row r="899" spans="1:6" x14ac:dyDescent="0.25">
      <c r="A899" s="86">
        <v>898</v>
      </c>
      <c r="B899" s="87">
        <v>38.361736182530876</v>
      </c>
      <c r="C899" s="14">
        <v>1</v>
      </c>
      <c r="D899" s="86">
        <v>0.90899529506611043</v>
      </c>
      <c r="E899" s="86"/>
      <c r="F899" s="14"/>
    </row>
    <row r="900" spans="1:6" x14ac:dyDescent="0.25">
      <c r="A900" s="86">
        <v>899</v>
      </c>
      <c r="B900" s="87">
        <v>33.587048159795813</v>
      </c>
      <c r="C900" s="14">
        <v>2</v>
      </c>
      <c r="D900" s="86">
        <v>0.53331119483051981</v>
      </c>
      <c r="E900" s="86"/>
      <c r="F900" s="14"/>
    </row>
    <row r="901" spans="1:6" x14ac:dyDescent="0.25">
      <c r="A901" s="86">
        <v>900</v>
      </c>
      <c r="B901" s="87">
        <v>40.946935081927222</v>
      </c>
      <c r="C901" s="14">
        <v>4</v>
      </c>
      <c r="D901" s="86">
        <v>0.4601783397158733</v>
      </c>
      <c r="E901" s="86"/>
      <c r="F901" s="14"/>
    </row>
    <row r="902" spans="1:6" x14ac:dyDescent="0.25">
      <c r="A902" s="86">
        <v>901</v>
      </c>
      <c r="B902" s="87">
        <v>44.970533958228771</v>
      </c>
      <c r="C902" s="14">
        <v>5</v>
      </c>
      <c r="D902" s="86">
        <v>0.72930013950344319</v>
      </c>
      <c r="E902" s="86"/>
      <c r="F902" s="14"/>
    </row>
    <row r="903" spans="1:6" x14ac:dyDescent="0.25">
      <c r="A903" s="86">
        <v>902</v>
      </c>
      <c r="B903" s="87">
        <v>49.885807124490384</v>
      </c>
      <c r="C903" s="14">
        <v>2</v>
      </c>
      <c r="D903" s="86">
        <v>0.4474514294077705</v>
      </c>
      <c r="E903" s="86"/>
      <c r="F903" s="14"/>
    </row>
    <row r="904" spans="1:6" x14ac:dyDescent="0.25">
      <c r="A904" s="86">
        <v>903</v>
      </c>
      <c r="B904" s="87">
        <v>39.178729588791612</v>
      </c>
      <c r="C904" s="14">
        <v>3</v>
      </c>
      <c r="D904" s="86">
        <v>0.13642676796494713</v>
      </c>
      <c r="E904" s="86"/>
      <c r="F904" s="14"/>
    </row>
    <row r="905" spans="1:6" x14ac:dyDescent="0.25">
      <c r="A905" s="86">
        <v>904</v>
      </c>
      <c r="B905" s="87">
        <v>42.191533106568386</v>
      </c>
      <c r="C905" s="14">
        <v>2</v>
      </c>
      <c r="D905" s="86">
        <v>0.30907512048537811</v>
      </c>
      <c r="E905" s="86"/>
      <c r="F905" s="14"/>
    </row>
    <row r="906" spans="1:6" x14ac:dyDescent="0.25">
      <c r="A906" s="86">
        <v>905</v>
      </c>
      <c r="B906" s="87">
        <v>44.917317149491282</v>
      </c>
      <c r="C906" s="14">
        <v>2</v>
      </c>
      <c r="D906" s="86">
        <v>0.55109067286595326</v>
      </c>
      <c r="E906" s="86"/>
      <c r="F906" s="14"/>
    </row>
    <row r="907" spans="1:6" x14ac:dyDescent="0.25">
      <c r="A907" s="86">
        <v>906</v>
      </c>
      <c r="B907" s="87">
        <v>38.558130194694968</v>
      </c>
      <c r="C907" s="14">
        <v>4</v>
      </c>
      <c r="D907" s="86">
        <v>0.95858383124826907</v>
      </c>
      <c r="E907" s="86"/>
      <c r="F907" s="14"/>
    </row>
    <row r="908" spans="1:6" x14ac:dyDescent="0.25">
      <c r="A908" s="86">
        <v>907</v>
      </c>
      <c r="B908" s="87">
        <v>40.645943494717358</v>
      </c>
      <c r="C908" s="14">
        <v>2</v>
      </c>
      <c r="D908" s="86">
        <v>0.35983288047325979</v>
      </c>
      <c r="E908" s="86"/>
      <c r="F908" s="14"/>
    </row>
    <row r="909" spans="1:6" x14ac:dyDescent="0.25">
      <c r="A909" s="86">
        <v>908</v>
      </c>
      <c r="B909" s="87">
        <v>41.012094692967366</v>
      </c>
      <c r="C909" s="14">
        <v>4</v>
      </c>
      <c r="D909" s="86">
        <v>0.98599272672423666</v>
      </c>
      <c r="E909" s="86"/>
      <c r="F909" s="14"/>
    </row>
    <row r="910" spans="1:6" x14ac:dyDescent="0.25">
      <c r="A910" s="86">
        <v>909</v>
      </c>
      <c r="B910" s="87">
        <v>43.344709860655712</v>
      </c>
      <c r="C910" s="14">
        <v>2</v>
      </c>
      <c r="D910" s="86">
        <v>0.8354857684873932</v>
      </c>
      <c r="E910" s="86"/>
      <c r="F910" s="14"/>
    </row>
    <row r="911" spans="1:6" x14ac:dyDescent="0.25">
      <c r="A911" s="86">
        <v>910</v>
      </c>
      <c r="B911" s="87">
        <v>37.012955539801624</v>
      </c>
      <c r="C911" s="14">
        <v>2</v>
      </c>
      <c r="D911" s="86">
        <v>0.44300199708294907</v>
      </c>
      <c r="E911" s="86"/>
      <c r="F911" s="14"/>
    </row>
    <row r="912" spans="1:6" x14ac:dyDescent="0.25">
      <c r="A912" s="86">
        <v>911</v>
      </c>
      <c r="B912" s="87">
        <v>45.487809069862124</v>
      </c>
      <c r="C912" s="14">
        <v>4</v>
      </c>
      <c r="D912" s="86">
        <v>0.96243634654307297</v>
      </c>
      <c r="E912" s="86"/>
      <c r="F912" s="14"/>
    </row>
    <row r="913" spans="1:6" x14ac:dyDescent="0.25">
      <c r="A913" s="86">
        <v>912</v>
      </c>
      <c r="B913" s="87">
        <v>39.180781636212487</v>
      </c>
      <c r="C913" s="14">
        <v>3</v>
      </c>
      <c r="D913" s="86">
        <v>0.10053064580803461</v>
      </c>
      <c r="E913" s="86"/>
      <c r="F913" s="14"/>
    </row>
    <row r="914" spans="1:6" x14ac:dyDescent="0.25">
      <c r="A914" s="86">
        <v>913</v>
      </c>
      <c r="B914" s="87">
        <v>43.392651600122917</v>
      </c>
      <c r="C914" s="14">
        <v>3</v>
      </c>
      <c r="D914" s="86">
        <v>0.42764511899494417</v>
      </c>
      <c r="E914" s="86"/>
      <c r="F914" s="14"/>
    </row>
    <row r="915" spans="1:6" x14ac:dyDescent="0.25">
      <c r="A915" s="86">
        <v>914</v>
      </c>
      <c r="B915" s="87">
        <v>41.280475210776785</v>
      </c>
      <c r="C915" s="14">
        <v>2</v>
      </c>
      <c r="D915" s="86">
        <v>0.25520170529463926</v>
      </c>
      <c r="E915" s="86"/>
      <c r="F915" s="14"/>
    </row>
    <row r="916" spans="1:6" x14ac:dyDescent="0.25">
      <c r="A916" s="86">
        <v>915</v>
      </c>
      <c r="B916" s="87">
        <v>45.048074065896799</v>
      </c>
      <c r="C916" s="14">
        <v>2</v>
      </c>
      <c r="D916" s="86">
        <v>0.40760263939448638</v>
      </c>
      <c r="E916" s="86"/>
      <c r="F916" s="14"/>
    </row>
    <row r="917" spans="1:6" x14ac:dyDescent="0.25">
      <c r="A917" s="86">
        <v>916</v>
      </c>
      <c r="B917" s="87">
        <v>45.028957624133909</v>
      </c>
      <c r="C917" s="14">
        <v>4</v>
      </c>
      <c r="D917" s="86">
        <v>0.14100340884271656</v>
      </c>
      <c r="E917" s="86"/>
      <c r="F917" s="14"/>
    </row>
    <row r="918" spans="1:6" x14ac:dyDescent="0.25">
      <c r="A918" s="86">
        <v>917</v>
      </c>
      <c r="B918" s="87">
        <v>45.960462097689742</v>
      </c>
      <c r="C918" s="14">
        <v>1</v>
      </c>
      <c r="D918" s="86">
        <v>0.20516300782041652</v>
      </c>
      <c r="E918" s="86"/>
      <c r="F918" s="14"/>
    </row>
    <row r="919" spans="1:6" x14ac:dyDescent="0.25">
      <c r="A919" s="86">
        <v>918</v>
      </c>
      <c r="B919" s="87">
        <v>46.3154037737404</v>
      </c>
      <c r="C919" s="14">
        <v>5</v>
      </c>
      <c r="D919" s="86">
        <v>0.77392468719050611</v>
      </c>
      <c r="E919" s="86"/>
      <c r="F919" s="14"/>
    </row>
    <row r="920" spans="1:6" x14ac:dyDescent="0.25">
      <c r="A920" s="86">
        <v>919</v>
      </c>
      <c r="B920" s="87">
        <v>40.457496192510007</v>
      </c>
      <c r="C920" s="14">
        <v>2</v>
      </c>
      <c r="D920" s="86">
        <v>0.5941341024708503</v>
      </c>
      <c r="E920" s="86"/>
      <c r="F920" s="14"/>
    </row>
    <row r="921" spans="1:6" x14ac:dyDescent="0.25">
      <c r="A921" s="86">
        <v>920</v>
      </c>
      <c r="B921" s="87">
        <v>41.410578427865403</v>
      </c>
      <c r="C921" s="14">
        <v>4</v>
      </c>
      <c r="D921" s="86">
        <v>0.22243387412960658</v>
      </c>
      <c r="E921" s="86"/>
      <c r="F921" s="14"/>
    </row>
    <row r="922" spans="1:6" x14ac:dyDescent="0.25">
      <c r="A922" s="86">
        <v>921</v>
      </c>
      <c r="B922" s="87">
        <v>43.266533106696443</v>
      </c>
      <c r="C922" s="14">
        <v>1</v>
      </c>
      <c r="D922" s="86">
        <v>6.4269986227959208E-2</v>
      </c>
      <c r="E922" s="86"/>
      <c r="F922" s="14"/>
    </row>
    <row r="923" spans="1:6" x14ac:dyDescent="0.25">
      <c r="A923" s="86">
        <v>922</v>
      </c>
      <c r="B923" s="87">
        <v>46.00799456454115</v>
      </c>
      <c r="C923" s="14">
        <v>2</v>
      </c>
      <c r="D923" s="86">
        <v>0.23480490015962341</v>
      </c>
      <c r="E923" s="86"/>
      <c r="F923" s="14"/>
    </row>
    <row r="924" spans="1:6" x14ac:dyDescent="0.25">
      <c r="A924" s="86">
        <v>923</v>
      </c>
      <c r="B924" s="87">
        <v>43.717136572347954</v>
      </c>
      <c r="C924" s="14">
        <v>5</v>
      </c>
      <c r="D924" s="86">
        <v>0.13966096478045664</v>
      </c>
      <c r="E924" s="86"/>
      <c r="F924" s="14"/>
    </row>
    <row r="925" spans="1:6" x14ac:dyDescent="0.25">
      <c r="A925" s="86">
        <v>924</v>
      </c>
      <c r="B925" s="87">
        <v>36.703931977506727</v>
      </c>
      <c r="C925" s="14">
        <v>2</v>
      </c>
      <c r="D925" s="86">
        <v>0.52844330725607969</v>
      </c>
      <c r="E925" s="86"/>
      <c r="F925" s="14"/>
    </row>
    <row r="926" spans="1:6" x14ac:dyDescent="0.25">
      <c r="A926" s="86">
        <v>925</v>
      </c>
      <c r="B926" s="87">
        <v>45.854915237548994</v>
      </c>
      <c r="C926" s="14">
        <v>1</v>
      </c>
      <c r="D926" s="86">
        <v>0.41232560673707142</v>
      </c>
      <c r="E926" s="86"/>
      <c r="F926" s="14"/>
    </row>
    <row r="927" spans="1:6" x14ac:dyDescent="0.25">
      <c r="A927" s="86">
        <v>926</v>
      </c>
      <c r="B927" s="87">
        <v>43.116477849587682</v>
      </c>
      <c r="C927" s="14">
        <v>2</v>
      </c>
      <c r="D927" s="86">
        <v>0.72761021207427468</v>
      </c>
      <c r="E927" s="86"/>
      <c r="F927" s="14"/>
    </row>
    <row r="928" spans="1:6" x14ac:dyDescent="0.25">
      <c r="A928" s="86">
        <v>927</v>
      </c>
      <c r="B928" s="87">
        <v>43.969345137491473</v>
      </c>
      <c r="C928" s="14">
        <v>2</v>
      </c>
      <c r="D928" s="86">
        <v>0.90417904929041881</v>
      </c>
      <c r="E928" s="86"/>
      <c r="F928" s="14"/>
    </row>
    <row r="929" spans="1:6" x14ac:dyDescent="0.25">
      <c r="A929" s="86">
        <v>928</v>
      </c>
      <c r="B929" s="87">
        <v>43.31940317057888</v>
      </c>
      <c r="C929" s="14">
        <v>4</v>
      </c>
      <c r="D929" s="86">
        <v>0.2028202539628382</v>
      </c>
      <c r="E929" s="86"/>
      <c r="F929" s="14"/>
    </row>
    <row r="930" spans="1:6" x14ac:dyDescent="0.25">
      <c r="A930" s="86">
        <v>929</v>
      </c>
      <c r="B930" s="87">
        <v>39.545585645435494</v>
      </c>
      <c r="C930" s="14">
        <v>2</v>
      </c>
      <c r="D930" s="86">
        <v>4.7555414900916859E-2</v>
      </c>
      <c r="E930" s="86"/>
      <c r="F930" s="14"/>
    </row>
    <row r="931" spans="1:6" x14ac:dyDescent="0.25">
      <c r="A931" s="86">
        <v>930</v>
      </c>
      <c r="B931" s="87">
        <v>47.854337021242827</v>
      </c>
      <c r="C931" s="14">
        <v>4</v>
      </c>
      <c r="D931" s="86">
        <v>0.38856114832581268</v>
      </c>
      <c r="E931" s="86"/>
      <c r="F931" s="14"/>
    </row>
    <row r="932" spans="1:6" x14ac:dyDescent="0.25">
      <c r="A932" s="86">
        <v>931</v>
      </c>
      <c r="B932" s="87">
        <v>55.920099834445864</v>
      </c>
      <c r="C932" s="14">
        <v>4</v>
      </c>
      <c r="D932" s="86">
        <v>0.14416951196679506</v>
      </c>
      <c r="E932" s="86"/>
      <c r="F932" s="14"/>
    </row>
    <row r="933" spans="1:6" x14ac:dyDescent="0.25">
      <c r="A933" s="86">
        <v>932</v>
      </c>
      <c r="B933" s="87">
        <v>45.783622221613768</v>
      </c>
      <c r="C933" s="14">
        <v>3</v>
      </c>
      <c r="D933" s="86">
        <v>0.13394824640707492</v>
      </c>
      <c r="E933" s="86"/>
      <c r="F933" s="14"/>
    </row>
    <row r="934" spans="1:6" x14ac:dyDescent="0.25">
      <c r="A934" s="86">
        <v>933</v>
      </c>
      <c r="B934" s="87">
        <v>43.113800524559338</v>
      </c>
      <c r="C934" s="14">
        <v>4</v>
      </c>
      <c r="D934" s="86">
        <v>0.90395547719585334</v>
      </c>
      <c r="E934" s="86"/>
      <c r="F934" s="14"/>
    </row>
    <row r="935" spans="1:6" x14ac:dyDescent="0.25">
      <c r="A935" s="86">
        <v>934</v>
      </c>
      <c r="B935" s="87">
        <v>37.811253145599039</v>
      </c>
      <c r="C935" s="14">
        <v>4</v>
      </c>
      <c r="D935" s="86">
        <v>0.76173072559432387</v>
      </c>
      <c r="E935" s="86"/>
      <c r="F935" s="14"/>
    </row>
    <row r="936" spans="1:6" x14ac:dyDescent="0.25">
      <c r="A936" s="86">
        <v>935</v>
      </c>
      <c r="B936" s="87">
        <v>30.695082381833345</v>
      </c>
      <c r="C936" s="14">
        <v>1</v>
      </c>
      <c r="D936" s="86">
        <v>0.27147191254499048</v>
      </c>
      <c r="E936" s="86"/>
      <c r="F936" s="14"/>
    </row>
    <row r="937" spans="1:6" x14ac:dyDescent="0.25">
      <c r="A937" s="86">
        <v>936</v>
      </c>
      <c r="B937" s="87">
        <v>51.269512363767717</v>
      </c>
      <c r="C937" s="14">
        <v>5</v>
      </c>
      <c r="D937" s="86">
        <v>0.13876877148190914</v>
      </c>
      <c r="E937" s="86"/>
      <c r="F937" s="14"/>
    </row>
    <row r="938" spans="1:6" x14ac:dyDescent="0.25">
      <c r="A938" s="86">
        <v>937</v>
      </c>
      <c r="B938" s="87">
        <v>43.160099489221466</v>
      </c>
      <c r="C938" s="14">
        <v>4</v>
      </c>
      <c r="D938" s="86">
        <v>0.29404948626119887</v>
      </c>
      <c r="E938" s="86"/>
      <c r="F938" s="14"/>
    </row>
    <row r="939" spans="1:6" x14ac:dyDescent="0.25">
      <c r="A939" s="86">
        <v>938</v>
      </c>
      <c r="B939" s="87">
        <v>40.706453314094688</v>
      </c>
      <c r="C939" s="14">
        <v>2</v>
      </c>
      <c r="D939" s="86">
        <v>0.51263416316644483</v>
      </c>
      <c r="E939" s="86"/>
      <c r="F939" s="14"/>
    </row>
    <row r="940" spans="1:6" x14ac:dyDescent="0.25">
      <c r="A940" s="86">
        <v>939</v>
      </c>
      <c r="B940" s="87">
        <v>48.678884917870164</v>
      </c>
      <c r="C940" s="14">
        <v>2</v>
      </c>
      <c r="D940" s="86">
        <v>0.50664030492328405</v>
      </c>
      <c r="E940" s="86"/>
      <c r="F940" s="14"/>
    </row>
    <row r="941" spans="1:6" x14ac:dyDescent="0.25">
      <c r="A941" s="86">
        <v>940</v>
      </c>
      <c r="B941" s="87">
        <v>41.47962044441374</v>
      </c>
      <c r="C941" s="14">
        <v>2</v>
      </c>
      <c r="D941" s="86">
        <v>0.36575969682886655</v>
      </c>
      <c r="E941" s="86"/>
      <c r="F941" s="14"/>
    </row>
    <row r="942" spans="1:6" x14ac:dyDescent="0.25">
      <c r="A942" s="86">
        <v>941</v>
      </c>
      <c r="B942" s="87">
        <v>44.329163978880388</v>
      </c>
      <c r="C942" s="14">
        <v>2</v>
      </c>
      <c r="D942" s="86">
        <v>5.3958141605934151E-2</v>
      </c>
      <c r="E942" s="86"/>
      <c r="F942" s="14"/>
    </row>
    <row r="943" spans="1:6" x14ac:dyDescent="0.25">
      <c r="A943" s="86">
        <v>942</v>
      </c>
      <c r="B943" s="87">
        <v>43.48864876589505</v>
      </c>
      <c r="C943" s="14">
        <v>4</v>
      </c>
      <c r="D943" s="86">
        <v>0.59238439124607822</v>
      </c>
      <c r="E943" s="86"/>
      <c r="F943" s="14"/>
    </row>
    <row r="944" spans="1:6" x14ac:dyDescent="0.25">
      <c r="A944" s="86">
        <v>943</v>
      </c>
      <c r="B944" s="87">
        <v>48.074753062217496</v>
      </c>
      <c r="C944" s="14">
        <v>3</v>
      </c>
      <c r="D944" s="86">
        <v>0.64118225224737213</v>
      </c>
      <c r="E944" s="86"/>
      <c r="F944" s="14"/>
    </row>
    <row r="945" spans="1:6" x14ac:dyDescent="0.25">
      <c r="A945" s="86">
        <v>944</v>
      </c>
      <c r="B945" s="87">
        <v>40.58337025923538</v>
      </c>
      <c r="C945" s="14">
        <v>2</v>
      </c>
      <c r="D945" s="86">
        <v>0.62957684097274935</v>
      </c>
      <c r="E945" s="86"/>
      <c r="F945" s="14"/>
    </row>
    <row r="946" spans="1:6" x14ac:dyDescent="0.25">
      <c r="A946" s="86">
        <v>945</v>
      </c>
      <c r="B946" s="87">
        <v>36.765152339619817</v>
      </c>
      <c r="C946" s="14">
        <v>4</v>
      </c>
      <c r="D946" s="86">
        <v>0.12504620146399659</v>
      </c>
      <c r="E946" s="86"/>
      <c r="F946" s="14"/>
    </row>
    <row r="947" spans="1:6" x14ac:dyDescent="0.25">
      <c r="A947" s="86">
        <v>946</v>
      </c>
      <c r="B947" s="87">
        <v>43.520168441653368</v>
      </c>
      <c r="C947" s="14">
        <v>2</v>
      </c>
      <c r="D947" s="86">
        <v>0.16047532470002035</v>
      </c>
      <c r="E947" s="86"/>
      <c r="F947" s="14"/>
    </row>
    <row r="948" spans="1:6" x14ac:dyDescent="0.25">
      <c r="A948" s="86">
        <v>947</v>
      </c>
      <c r="B948" s="87">
        <v>35.596303854952566</v>
      </c>
      <c r="C948" s="14">
        <v>4</v>
      </c>
      <c r="D948" s="86">
        <v>0.65523210494296014</v>
      </c>
      <c r="E948" s="86"/>
      <c r="F948" s="14"/>
    </row>
    <row r="949" spans="1:6" x14ac:dyDescent="0.25">
      <c r="A949" s="86">
        <v>948</v>
      </c>
      <c r="B949" s="87">
        <v>45.473530003044289</v>
      </c>
      <c r="C949" s="14">
        <v>2</v>
      </c>
      <c r="D949" s="86">
        <v>0.45848798199781593</v>
      </c>
      <c r="E949" s="86"/>
      <c r="F949" s="14"/>
    </row>
    <row r="950" spans="1:6" x14ac:dyDescent="0.25">
      <c r="A950" s="86">
        <v>949</v>
      </c>
      <c r="B950" s="87">
        <v>44.306193553318735</v>
      </c>
      <c r="C950" s="14">
        <v>5</v>
      </c>
      <c r="D950" s="86">
        <v>0.82677637991516295</v>
      </c>
      <c r="E950" s="86"/>
      <c r="F950" s="14"/>
    </row>
    <row r="951" spans="1:6" x14ac:dyDescent="0.25">
      <c r="A951" s="86">
        <v>950</v>
      </c>
      <c r="B951" s="87">
        <v>48.914046141697327</v>
      </c>
      <c r="C951" s="14">
        <v>3</v>
      </c>
      <c r="D951" s="86">
        <v>0.86523053743418066</v>
      </c>
      <c r="E951" s="86"/>
      <c r="F951" s="14"/>
    </row>
    <row r="952" spans="1:6" x14ac:dyDescent="0.25">
      <c r="A952" s="86">
        <v>951</v>
      </c>
      <c r="B952" s="87">
        <v>42.567052100246656</v>
      </c>
      <c r="C952" s="14">
        <v>4</v>
      </c>
      <c r="D952" s="86">
        <v>0.25075597741624434</v>
      </c>
      <c r="E952" s="86"/>
      <c r="F952" s="14"/>
    </row>
    <row r="953" spans="1:6" x14ac:dyDescent="0.25">
      <c r="A953" s="86">
        <v>952</v>
      </c>
      <c r="B953" s="87">
        <v>43.338957306666998</v>
      </c>
      <c r="C953" s="14">
        <v>2</v>
      </c>
      <c r="D953" s="86">
        <v>2.7654375327094249E-2</v>
      </c>
      <c r="E953" s="86"/>
      <c r="F953" s="14"/>
    </row>
    <row r="954" spans="1:6" x14ac:dyDescent="0.25">
      <c r="A954" s="86">
        <v>953</v>
      </c>
      <c r="B954" s="87">
        <v>38.551320353115443</v>
      </c>
      <c r="C954" s="14">
        <v>4</v>
      </c>
      <c r="D954" s="86">
        <v>0.51065856413783051</v>
      </c>
      <c r="E954" s="86"/>
      <c r="F954" s="14"/>
    </row>
    <row r="955" spans="1:6" x14ac:dyDescent="0.25">
      <c r="A955" s="86">
        <v>954</v>
      </c>
      <c r="B955" s="87">
        <v>40.665156570292311</v>
      </c>
      <c r="C955" s="14">
        <v>2</v>
      </c>
      <c r="D955" s="86">
        <v>0.83968118574036577</v>
      </c>
      <c r="E955" s="86"/>
      <c r="F955" s="14"/>
    </row>
    <row r="956" spans="1:6" x14ac:dyDescent="0.25">
      <c r="A956" s="86">
        <v>955</v>
      </c>
      <c r="B956" s="87">
        <v>37.674976733222138</v>
      </c>
      <c r="C956" s="14">
        <v>4</v>
      </c>
      <c r="D956" s="86">
        <v>0.52053713835267579</v>
      </c>
      <c r="E956" s="86"/>
      <c r="F956" s="14"/>
    </row>
    <row r="957" spans="1:6" x14ac:dyDescent="0.25">
      <c r="A957" s="86">
        <v>956</v>
      </c>
      <c r="B957" s="87">
        <v>47.527078090177383</v>
      </c>
      <c r="C957" s="14">
        <v>2</v>
      </c>
      <c r="D957" s="86">
        <v>0.11397933941541594</v>
      </c>
      <c r="E957" s="86"/>
      <c r="F957" s="14"/>
    </row>
    <row r="958" spans="1:6" x14ac:dyDescent="0.25">
      <c r="A958" s="86">
        <v>957</v>
      </c>
      <c r="B958" s="87">
        <v>42.034940856290632</v>
      </c>
      <c r="C958" s="14">
        <v>5</v>
      </c>
      <c r="D958" s="86">
        <v>0.31162916972696952</v>
      </c>
      <c r="E958" s="86"/>
      <c r="F958" s="14"/>
    </row>
    <row r="959" spans="1:6" x14ac:dyDescent="0.25">
      <c r="A959" s="86">
        <v>958</v>
      </c>
      <c r="B959" s="87">
        <v>34.635922924615443</v>
      </c>
      <c r="C959" s="14">
        <v>4</v>
      </c>
      <c r="D959" s="86">
        <v>0.43069642674521325</v>
      </c>
      <c r="E959" s="86"/>
      <c r="F959" s="14"/>
    </row>
    <row r="960" spans="1:6" x14ac:dyDescent="0.25">
      <c r="A960" s="86">
        <v>959</v>
      </c>
      <c r="B960" s="87">
        <v>41.379564658534946</v>
      </c>
      <c r="C960" s="14">
        <v>2</v>
      </c>
      <c r="D960" s="86">
        <v>2.1790379789566439E-2</v>
      </c>
      <c r="E960" s="86"/>
      <c r="F960" s="14"/>
    </row>
    <row r="961" spans="1:6" x14ac:dyDescent="0.25">
      <c r="A961" s="86">
        <v>960</v>
      </c>
      <c r="B961" s="87">
        <v>46.156935690640239</v>
      </c>
      <c r="C961" s="14">
        <v>4</v>
      </c>
      <c r="D961" s="86">
        <v>0.14023961343607749</v>
      </c>
      <c r="E961" s="86"/>
      <c r="F961" s="14"/>
    </row>
    <row r="962" spans="1:6" x14ac:dyDescent="0.25">
      <c r="A962" s="86">
        <v>961</v>
      </c>
      <c r="B962" s="87">
        <v>40.825636910420144</v>
      </c>
      <c r="C962" s="14">
        <v>2</v>
      </c>
      <c r="D962" s="86">
        <v>0.59147881655785972</v>
      </c>
      <c r="E962" s="86"/>
      <c r="F962" s="14"/>
    </row>
    <row r="963" spans="1:6" x14ac:dyDescent="0.25">
      <c r="A963" s="86">
        <v>962</v>
      </c>
      <c r="B963" s="87">
        <v>48.618062459689099</v>
      </c>
      <c r="C963" s="14">
        <v>4</v>
      </c>
      <c r="D963" s="86">
        <v>0.71789908657320078</v>
      </c>
      <c r="E963" s="86"/>
      <c r="F963" s="14"/>
    </row>
    <row r="964" spans="1:6" x14ac:dyDescent="0.25">
      <c r="A964" s="86">
        <v>963</v>
      </c>
      <c r="B964" s="87">
        <v>44.809075911296532</v>
      </c>
      <c r="C964" s="14">
        <v>3</v>
      </c>
      <c r="D964" s="86">
        <v>0.72315200605289698</v>
      </c>
      <c r="E964" s="86"/>
      <c r="F964" s="14"/>
    </row>
    <row r="965" spans="1:6" x14ac:dyDescent="0.25">
      <c r="A965" s="86">
        <v>964</v>
      </c>
      <c r="B965" s="87">
        <v>44.208286448672879</v>
      </c>
      <c r="C965" s="14">
        <v>2</v>
      </c>
      <c r="D965" s="86">
        <v>0.32785415360875148</v>
      </c>
      <c r="E965" s="86"/>
      <c r="F965" s="14"/>
    </row>
    <row r="966" spans="1:6" x14ac:dyDescent="0.25">
      <c r="A966" s="86">
        <v>965</v>
      </c>
      <c r="B966" s="87">
        <v>37.89119772988488</v>
      </c>
      <c r="C966" s="14">
        <v>1</v>
      </c>
      <c r="D966" s="86">
        <v>0.64756417336973626</v>
      </c>
      <c r="E966" s="86"/>
      <c r="F966" s="14"/>
    </row>
    <row r="967" spans="1:6" x14ac:dyDescent="0.25">
      <c r="A967" s="86">
        <v>966</v>
      </c>
      <c r="B967" s="87">
        <v>33.42220224509947</v>
      </c>
      <c r="C967" s="14">
        <v>2</v>
      </c>
      <c r="D967" s="86">
        <v>0.28630019397112183</v>
      </c>
      <c r="E967" s="86"/>
      <c r="F967" s="14"/>
    </row>
    <row r="968" spans="1:6" x14ac:dyDescent="0.25">
      <c r="A968" s="86">
        <v>967</v>
      </c>
      <c r="B968" s="87">
        <v>47.76925379189197</v>
      </c>
      <c r="C968" s="14">
        <v>4</v>
      </c>
      <c r="D968" s="86">
        <v>0.13022566504352984</v>
      </c>
      <c r="E968" s="86"/>
      <c r="F968" s="14"/>
    </row>
    <row r="969" spans="1:6" x14ac:dyDescent="0.25">
      <c r="A969" s="86">
        <v>968</v>
      </c>
      <c r="B969" s="87">
        <v>42.229873992590001</v>
      </c>
      <c r="C969" s="14">
        <v>2</v>
      </c>
      <c r="D969" s="86">
        <v>0.35962270281348196</v>
      </c>
      <c r="E969" s="86"/>
      <c r="F969" s="14"/>
    </row>
    <row r="970" spans="1:6" x14ac:dyDescent="0.25">
      <c r="A970" s="86">
        <v>969</v>
      </c>
      <c r="B970" s="87">
        <v>38.689961451716954</v>
      </c>
      <c r="C970" s="14">
        <v>2</v>
      </c>
      <c r="D970" s="86">
        <v>0.61601665175165132</v>
      </c>
      <c r="E970" s="86"/>
      <c r="F970" s="14"/>
    </row>
    <row r="971" spans="1:6" x14ac:dyDescent="0.25">
      <c r="A971" s="86">
        <v>970</v>
      </c>
      <c r="B971" s="87">
        <v>47.135722520004492</v>
      </c>
      <c r="C971" s="14">
        <v>5</v>
      </c>
      <c r="D971" s="86">
        <v>0.73650181793432556</v>
      </c>
      <c r="E971" s="86"/>
      <c r="F971" s="14"/>
    </row>
    <row r="972" spans="1:6" x14ac:dyDescent="0.25">
      <c r="A972" s="86">
        <v>971</v>
      </c>
      <c r="B972" s="87">
        <v>34.365075402427465</v>
      </c>
      <c r="C972" s="14">
        <v>4</v>
      </c>
      <c r="D972" s="86">
        <v>0.67175131713439107</v>
      </c>
      <c r="E972" s="86"/>
      <c r="F972" s="14"/>
    </row>
    <row r="973" spans="1:6" x14ac:dyDescent="0.25">
      <c r="A973" s="86">
        <v>972</v>
      </c>
      <c r="B973" s="87">
        <v>45.390009967712103</v>
      </c>
      <c r="C973" s="14">
        <v>1</v>
      </c>
      <c r="D973" s="86">
        <v>6.6668790242818687E-4</v>
      </c>
      <c r="E973" s="86"/>
      <c r="F973" s="14"/>
    </row>
    <row r="974" spans="1:6" x14ac:dyDescent="0.25">
      <c r="A974" s="86">
        <v>973</v>
      </c>
      <c r="B974" s="87">
        <v>43.258103227679385</v>
      </c>
      <c r="C974" s="14">
        <v>2</v>
      </c>
      <c r="D974" s="86">
        <v>0.17984263856351312</v>
      </c>
      <c r="E974" s="86"/>
      <c r="F974" s="14"/>
    </row>
    <row r="975" spans="1:6" x14ac:dyDescent="0.25">
      <c r="A975" s="86">
        <v>974</v>
      </c>
      <c r="B975" s="87">
        <v>43.242022224483662</v>
      </c>
      <c r="C975" s="14">
        <v>2</v>
      </c>
      <c r="D975" s="86">
        <v>0.98860329686128534</v>
      </c>
      <c r="E975" s="86"/>
      <c r="F975" s="14"/>
    </row>
    <row r="976" spans="1:6" x14ac:dyDescent="0.25">
      <c r="A976" s="86">
        <v>975</v>
      </c>
      <c r="B976" s="87">
        <v>36.905021256068721</v>
      </c>
      <c r="C976" s="14">
        <v>4</v>
      </c>
      <c r="D976" s="86">
        <v>0.51976875461561112</v>
      </c>
      <c r="E976" s="86"/>
      <c r="F976" s="14"/>
    </row>
    <row r="977" spans="1:6" x14ac:dyDescent="0.25">
      <c r="A977" s="86">
        <v>976</v>
      </c>
      <c r="B977" s="87">
        <v>45.918181962741073</v>
      </c>
      <c r="C977" s="14">
        <v>2</v>
      </c>
      <c r="D977" s="86">
        <v>0.97112662763334301</v>
      </c>
      <c r="E977" s="86"/>
      <c r="F977" s="14"/>
    </row>
    <row r="978" spans="1:6" x14ac:dyDescent="0.25">
      <c r="A978" s="86">
        <v>977</v>
      </c>
      <c r="B978" s="87">
        <v>47.004675702162785</v>
      </c>
      <c r="C978" s="14">
        <v>2</v>
      </c>
      <c r="D978" s="86">
        <v>0.17353125063778452</v>
      </c>
      <c r="E978" s="86"/>
      <c r="F978" s="14"/>
    </row>
    <row r="979" spans="1:6" x14ac:dyDescent="0.25">
      <c r="A979" s="86">
        <v>978</v>
      </c>
      <c r="B979" s="87">
        <v>39.614212705026148</v>
      </c>
      <c r="C979" s="14">
        <v>5</v>
      </c>
      <c r="D979" s="86">
        <v>0.38541862862344201</v>
      </c>
      <c r="E979" s="86"/>
      <c r="F979" s="14"/>
    </row>
    <row r="980" spans="1:6" x14ac:dyDescent="0.25">
      <c r="A980" s="86">
        <v>979</v>
      </c>
      <c r="B980" s="87">
        <v>40.715798372155405</v>
      </c>
      <c r="C980" s="14">
        <v>1</v>
      </c>
      <c r="D980" s="86">
        <v>0.28476130914318221</v>
      </c>
      <c r="E980" s="86"/>
      <c r="F980" s="14"/>
    </row>
    <row r="981" spans="1:6" x14ac:dyDescent="0.25">
      <c r="A981" s="86">
        <v>980</v>
      </c>
      <c r="B981" s="87">
        <v>48.65198661206523</v>
      </c>
      <c r="C981" s="14">
        <v>3</v>
      </c>
      <c r="D981" s="86">
        <v>0.33976701401385412</v>
      </c>
      <c r="E981" s="86"/>
      <c r="F981" s="14"/>
    </row>
    <row r="982" spans="1:6" x14ac:dyDescent="0.25">
      <c r="A982" s="86">
        <v>981</v>
      </c>
      <c r="B982" s="87">
        <v>54.717384040821344</v>
      </c>
      <c r="C982" s="14">
        <v>1</v>
      </c>
      <c r="D982" s="86">
        <v>0.45015318140297633</v>
      </c>
      <c r="E982" s="86"/>
      <c r="F982" s="14"/>
    </row>
    <row r="983" spans="1:6" x14ac:dyDescent="0.25">
      <c r="A983" s="86">
        <v>982</v>
      </c>
      <c r="B983" s="87">
        <v>44.648675151955104</v>
      </c>
      <c r="C983" s="14">
        <v>2</v>
      </c>
      <c r="D983" s="86">
        <v>0.45392999148720181</v>
      </c>
      <c r="E983" s="86"/>
      <c r="F983" s="14"/>
    </row>
    <row r="984" spans="1:6" x14ac:dyDescent="0.25">
      <c r="A984" s="86">
        <v>983</v>
      </c>
      <c r="B984" s="87">
        <v>41.520831923087826</v>
      </c>
      <c r="C984" s="14">
        <v>2</v>
      </c>
      <c r="D984" s="86">
        <v>0.75223555170720646</v>
      </c>
      <c r="E984" s="86"/>
      <c r="F984" s="14"/>
    </row>
    <row r="985" spans="1:6" x14ac:dyDescent="0.25">
      <c r="A985" s="86">
        <v>984</v>
      </c>
      <c r="B985" s="87">
        <v>44.487558165536029</v>
      </c>
      <c r="C985" s="14">
        <v>4</v>
      </c>
      <c r="D985" s="86">
        <v>0.26768281232748015</v>
      </c>
      <c r="E985" s="86"/>
      <c r="F985" s="14"/>
    </row>
    <row r="986" spans="1:6" x14ac:dyDescent="0.25">
      <c r="A986" s="86">
        <v>985</v>
      </c>
      <c r="B986" s="87">
        <v>41.722279315188644</v>
      </c>
      <c r="C986" s="14">
        <v>1</v>
      </c>
      <c r="D986" s="86">
        <v>0.21441499295062028</v>
      </c>
      <c r="E986" s="86"/>
      <c r="F986" s="14"/>
    </row>
    <row r="987" spans="1:6" x14ac:dyDescent="0.25">
      <c r="A987" s="86">
        <v>986</v>
      </c>
      <c r="B987" s="87">
        <v>38.610676251089899</v>
      </c>
      <c r="C987" s="14">
        <v>4</v>
      </c>
      <c r="D987" s="86">
        <v>1.7328714532293676E-2</v>
      </c>
      <c r="E987" s="86"/>
      <c r="F987" s="14"/>
    </row>
    <row r="988" spans="1:6" x14ac:dyDescent="0.25">
      <c r="A988" s="86">
        <v>987</v>
      </c>
      <c r="B988" s="87">
        <v>37.916277046286268</v>
      </c>
      <c r="C988" s="14">
        <v>1</v>
      </c>
      <c r="D988" s="86">
        <v>0.30348162573281645</v>
      </c>
      <c r="E988" s="86"/>
      <c r="F988" s="14"/>
    </row>
    <row r="989" spans="1:6" x14ac:dyDescent="0.25">
      <c r="A989" s="86">
        <v>988</v>
      </c>
      <c r="B989" s="87">
        <v>43.007457856554538</v>
      </c>
      <c r="C989" s="14">
        <v>5</v>
      </c>
      <c r="D989" s="86">
        <v>0.6215857228608378</v>
      </c>
      <c r="E989" s="86"/>
      <c r="F989" s="14"/>
    </row>
    <row r="990" spans="1:6" x14ac:dyDescent="0.25">
      <c r="A990" s="86">
        <v>989</v>
      </c>
      <c r="B990" s="87">
        <v>42.86209786584368</v>
      </c>
      <c r="C990" s="14">
        <v>2</v>
      </c>
      <c r="D990" s="86">
        <v>0.45459108683913396</v>
      </c>
      <c r="E990" s="86"/>
      <c r="F990" s="14"/>
    </row>
    <row r="991" spans="1:6" x14ac:dyDescent="0.25">
      <c r="A991" s="86">
        <v>990</v>
      </c>
      <c r="B991" s="87">
        <v>45.739517412919668</v>
      </c>
      <c r="C991" s="14">
        <v>4</v>
      </c>
      <c r="D991" s="86">
        <v>0.10270737220822523</v>
      </c>
      <c r="E991" s="86"/>
      <c r="F991" s="14"/>
    </row>
    <row r="992" spans="1:6" x14ac:dyDescent="0.25">
      <c r="A992" s="86">
        <v>991</v>
      </c>
      <c r="B992" s="87">
        <v>38.934410890185973</v>
      </c>
      <c r="C992" s="14">
        <v>4</v>
      </c>
      <c r="D992" s="86">
        <v>0.31408577190526543</v>
      </c>
      <c r="E992" s="86"/>
      <c r="F992" s="14"/>
    </row>
    <row r="993" spans="1:6" x14ac:dyDescent="0.25">
      <c r="A993" s="86">
        <v>992</v>
      </c>
      <c r="B993" s="87">
        <v>44.331142129856744</v>
      </c>
      <c r="C993" s="14">
        <v>4</v>
      </c>
      <c r="D993" s="86">
        <v>0.64829487477255321</v>
      </c>
      <c r="E993" s="86"/>
      <c r="F993" s="14"/>
    </row>
    <row r="994" spans="1:6" x14ac:dyDescent="0.25">
      <c r="A994" s="86">
        <v>993</v>
      </c>
      <c r="B994" s="87">
        <v>37.075164977402892</v>
      </c>
      <c r="C994" s="14">
        <v>4</v>
      </c>
      <c r="D994" s="86">
        <v>7.4364972528281781E-2</v>
      </c>
      <c r="E994" s="86"/>
      <c r="F994" s="14"/>
    </row>
    <row r="995" spans="1:6" x14ac:dyDescent="0.25">
      <c r="A995" s="86">
        <v>994</v>
      </c>
      <c r="B995" s="87">
        <v>46.956881755584618</v>
      </c>
      <c r="C995" s="14">
        <v>5</v>
      </c>
      <c r="D995" s="86">
        <v>0.87152661111022434</v>
      </c>
      <c r="E995" s="86"/>
      <c r="F995" s="14"/>
    </row>
    <row r="996" spans="1:6" x14ac:dyDescent="0.25">
      <c r="A996" s="86">
        <v>995</v>
      </c>
      <c r="B996" s="87">
        <v>45.749743543972727</v>
      </c>
      <c r="C996" s="14">
        <v>5</v>
      </c>
      <c r="D996" s="86">
        <v>0.46207238831191344</v>
      </c>
      <c r="E996" s="86"/>
      <c r="F996" s="14"/>
    </row>
    <row r="997" spans="1:6" x14ac:dyDescent="0.25">
      <c r="A997" s="86">
        <v>996</v>
      </c>
      <c r="B997" s="87">
        <v>32.944399203523062</v>
      </c>
      <c r="C997" s="14">
        <v>4</v>
      </c>
      <c r="D997" s="86">
        <v>0.30691091363027123</v>
      </c>
      <c r="E997" s="86"/>
      <c r="F997" s="14"/>
    </row>
    <row r="998" spans="1:6" x14ac:dyDescent="0.25">
      <c r="A998" s="86">
        <v>997</v>
      </c>
      <c r="B998" s="87">
        <v>46.383377134014154</v>
      </c>
      <c r="C998" s="14">
        <v>5</v>
      </c>
      <c r="D998" s="86">
        <v>0.55302942037778569</v>
      </c>
      <c r="E998" s="86"/>
      <c r="F998" s="14"/>
    </row>
    <row r="999" spans="1:6" x14ac:dyDescent="0.25">
      <c r="A999" s="86">
        <v>998</v>
      </c>
      <c r="B999" s="87">
        <v>40.477505075949011</v>
      </c>
      <c r="C999" s="14">
        <v>2</v>
      </c>
      <c r="D999" s="86">
        <v>0.1025673105622914</v>
      </c>
      <c r="E999" s="86"/>
      <c r="F999" s="14"/>
    </row>
    <row r="1000" spans="1:6" x14ac:dyDescent="0.25">
      <c r="A1000" s="86">
        <v>999</v>
      </c>
      <c r="B1000" s="87">
        <v>45.200454218836967</v>
      </c>
      <c r="C1000" s="14">
        <v>2</v>
      </c>
      <c r="D1000" s="86">
        <v>0.9557549081127219</v>
      </c>
      <c r="E1000" s="86"/>
      <c r="F1000" s="14"/>
    </row>
    <row r="1001" spans="1:6" x14ac:dyDescent="0.25">
      <c r="A1001" s="86">
        <v>1000</v>
      </c>
      <c r="B1001" s="87">
        <v>39.021631432085996</v>
      </c>
      <c r="C1001" s="14">
        <v>5</v>
      </c>
      <c r="D1001" s="86">
        <v>0.99692692951540551</v>
      </c>
      <c r="E1001" s="86"/>
      <c r="F1001" s="14"/>
    </row>
    <row r="1002" spans="1:6" x14ac:dyDescent="0.25">
      <c r="A1002" s="86">
        <v>1001</v>
      </c>
      <c r="B1002" s="87">
        <v>29.205148161388934</v>
      </c>
      <c r="C1002" s="14">
        <v>2</v>
      </c>
      <c r="D1002" s="86">
        <v>0.4149846303425232</v>
      </c>
      <c r="E1002" s="86"/>
      <c r="F1002" s="14"/>
    </row>
    <row r="1003" spans="1:6" x14ac:dyDescent="0.25">
      <c r="A1003" s="86">
        <v>1002</v>
      </c>
      <c r="B1003" s="87">
        <v>50.333460416703019</v>
      </c>
      <c r="C1003" s="14">
        <v>4</v>
      </c>
      <c r="D1003" s="86">
        <v>0.566132322983248</v>
      </c>
      <c r="E1003" s="86"/>
      <c r="F1003" s="14"/>
    </row>
    <row r="1004" spans="1:6" x14ac:dyDescent="0.25">
      <c r="A1004" s="86">
        <v>1003</v>
      </c>
      <c r="B1004" s="87">
        <v>36.834467204578687</v>
      </c>
      <c r="C1004" s="14">
        <v>2</v>
      </c>
      <c r="D1004" s="86">
        <v>0.37254869088891307</v>
      </c>
      <c r="E1004" s="86"/>
      <c r="F1004" s="14"/>
    </row>
    <row r="1005" spans="1:6" x14ac:dyDescent="0.25">
      <c r="A1005" s="86">
        <v>1004</v>
      </c>
      <c r="B1005" s="87">
        <v>45.14748183680058</v>
      </c>
      <c r="C1005" s="14">
        <v>2</v>
      </c>
      <c r="D1005" s="86">
        <v>0.64838754132033061</v>
      </c>
      <c r="E1005" s="86"/>
      <c r="F1005" s="14"/>
    </row>
    <row r="1006" spans="1:6" x14ac:dyDescent="0.25">
      <c r="A1006" s="86">
        <v>1005</v>
      </c>
      <c r="B1006" s="87">
        <v>40.242684912635013</v>
      </c>
      <c r="C1006" s="14">
        <v>4</v>
      </c>
      <c r="D1006" s="86">
        <v>0.56945450030750389</v>
      </c>
      <c r="E1006" s="86"/>
      <c r="F1006" s="14"/>
    </row>
    <row r="1007" spans="1:6" x14ac:dyDescent="0.25">
      <c r="A1007" s="86">
        <v>1006</v>
      </c>
      <c r="B1007" s="87">
        <v>39.768474375130609</v>
      </c>
      <c r="C1007" s="14">
        <v>2</v>
      </c>
      <c r="D1007" s="86">
        <v>0.59138239872192644</v>
      </c>
      <c r="E1007" s="86"/>
      <c r="F1007" s="14"/>
    </row>
    <row r="1008" spans="1:6" x14ac:dyDescent="0.25">
      <c r="A1008" s="86">
        <v>1007</v>
      </c>
      <c r="B1008" s="87">
        <v>37.436961969768163</v>
      </c>
      <c r="C1008" s="14">
        <v>1</v>
      </c>
      <c r="D1008" s="86">
        <v>0.38653400121224935</v>
      </c>
      <c r="E1008" s="86"/>
      <c r="F1008" s="14"/>
    </row>
    <row r="1009" spans="1:6" x14ac:dyDescent="0.25">
      <c r="A1009" s="86">
        <v>1008</v>
      </c>
      <c r="B1009" s="87">
        <v>46.555146577127744</v>
      </c>
      <c r="C1009" s="14">
        <v>1</v>
      </c>
      <c r="D1009" s="86">
        <v>0.62054671085122992</v>
      </c>
      <c r="E1009" s="86"/>
      <c r="F1009" s="14"/>
    </row>
    <row r="1010" spans="1:6" x14ac:dyDescent="0.25">
      <c r="A1010" s="86">
        <v>1009</v>
      </c>
      <c r="B1010" s="87">
        <v>48.475112629937939</v>
      </c>
      <c r="C1010" s="14">
        <v>5</v>
      </c>
      <c r="D1010" s="86">
        <v>0.26902031569176588</v>
      </c>
      <c r="E1010" s="86"/>
      <c r="F1010" s="14"/>
    </row>
    <row r="1011" spans="1:6" x14ac:dyDescent="0.25">
      <c r="A1011" s="86">
        <v>1010</v>
      </c>
      <c r="B1011" s="87">
        <v>48.93720415054122</v>
      </c>
      <c r="C1011" s="14">
        <v>4</v>
      </c>
      <c r="D1011" s="86">
        <v>0.21710209458796104</v>
      </c>
      <c r="E1011" s="86"/>
      <c r="F1011" s="14"/>
    </row>
    <row r="1012" spans="1:6" x14ac:dyDescent="0.25">
      <c r="A1012" s="86">
        <v>1011</v>
      </c>
      <c r="B1012" s="87">
        <v>42.889257651375374</v>
      </c>
      <c r="C1012" s="14">
        <v>4</v>
      </c>
      <c r="D1012" s="86">
        <v>0.17119160624995922</v>
      </c>
      <c r="E1012" s="86"/>
      <c r="F1012" s="14"/>
    </row>
    <row r="1013" spans="1:6" x14ac:dyDescent="0.25">
      <c r="A1013" s="86">
        <v>1012</v>
      </c>
      <c r="B1013" s="87">
        <v>39.555777670437237</v>
      </c>
      <c r="C1013" s="14">
        <v>5</v>
      </c>
      <c r="D1013" s="86">
        <v>5.5270888164587473E-2</v>
      </c>
      <c r="E1013" s="86"/>
      <c r="F1013" s="14"/>
    </row>
    <row r="1014" spans="1:6" x14ac:dyDescent="0.25">
      <c r="A1014" s="86">
        <v>1013</v>
      </c>
      <c r="B1014" s="87">
        <v>29.043258104473352</v>
      </c>
      <c r="C1014" s="14">
        <v>1</v>
      </c>
      <c r="D1014" s="86">
        <v>0.60234194484491466</v>
      </c>
      <c r="E1014" s="86"/>
      <c r="F1014" s="14"/>
    </row>
    <row r="1015" spans="1:6" x14ac:dyDescent="0.25">
      <c r="A1015" s="86">
        <v>1014</v>
      </c>
      <c r="B1015" s="87">
        <v>49.055756784917321</v>
      </c>
      <c r="C1015" s="14">
        <v>2</v>
      </c>
      <c r="D1015" s="86">
        <v>4.3735707950631308E-2</v>
      </c>
      <c r="E1015" s="86"/>
      <c r="F1015" s="14"/>
    </row>
    <row r="1016" spans="1:6" x14ac:dyDescent="0.25">
      <c r="A1016" s="86">
        <v>1015</v>
      </c>
      <c r="B1016" s="87">
        <v>44.487961753809941</v>
      </c>
      <c r="C1016" s="14">
        <v>2</v>
      </c>
      <c r="D1016" s="86">
        <v>0.47977261066279742</v>
      </c>
      <c r="E1016" s="86"/>
      <c r="F1016" s="14"/>
    </row>
    <row r="1017" spans="1:6" x14ac:dyDescent="0.25">
      <c r="A1017" s="86">
        <v>1016</v>
      </c>
      <c r="B1017" s="87">
        <v>39.213466602057451</v>
      </c>
      <c r="C1017" s="14">
        <v>4</v>
      </c>
      <c r="D1017" s="86">
        <v>0.51807949928829811</v>
      </c>
      <c r="E1017" s="86"/>
      <c r="F1017" s="14"/>
    </row>
    <row r="1018" spans="1:6" x14ac:dyDescent="0.25">
      <c r="A1018" s="86">
        <v>1017</v>
      </c>
      <c r="B1018" s="87">
        <v>45.202563109676703</v>
      </c>
      <c r="C1018" s="14">
        <v>5</v>
      </c>
      <c r="D1018" s="86">
        <v>0.43765896171847807</v>
      </c>
      <c r="E1018" s="86"/>
      <c r="F1018" s="14"/>
    </row>
    <row r="1019" spans="1:6" x14ac:dyDescent="0.25">
      <c r="A1019" s="86">
        <v>1018</v>
      </c>
      <c r="B1019" s="87">
        <v>34.755930750514381</v>
      </c>
      <c r="C1019" s="14">
        <v>2</v>
      </c>
      <c r="D1019" s="86">
        <v>0.67298771638842225</v>
      </c>
      <c r="E1019" s="86"/>
      <c r="F1019" s="14"/>
    </row>
    <row r="1020" spans="1:6" x14ac:dyDescent="0.25">
      <c r="A1020" s="86">
        <v>1019</v>
      </c>
      <c r="B1020" s="87">
        <v>45.597062120912597</v>
      </c>
      <c r="C1020" s="14">
        <v>5</v>
      </c>
      <c r="D1020" s="86">
        <v>0.11406345266685713</v>
      </c>
      <c r="E1020" s="86"/>
      <c r="F1020" s="14"/>
    </row>
    <row r="1021" spans="1:6" x14ac:dyDescent="0.25">
      <c r="A1021" s="86">
        <v>1020</v>
      </c>
      <c r="B1021" s="87">
        <v>35.995753927971236</v>
      </c>
      <c r="C1021" s="14">
        <v>4</v>
      </c>
      <c r="D1021" s="86">
        <v>0.52182145658002566</v>
      </c>
      <c r="E1021" s="86"/>
      <c r="F1021" s="14"/>
    </row>
    <row r="1022" spans="1:6" x14ac:dyDescent="0.25">
      <c r="A1022" s="86">
        <v>1021</v>
      </c>
      <c r="B1022" s="87">
        <v>41.493638031504815</v>
      </c>
      <c r="C1022" s="14">
        <v>5</v>
      </c>
      <c r="D1022" s="86">
        <v>8.706079595622751E-3</v>
      </c>
      <c r="E1022" s="86"/>
      <c r="F1022" s="14"/>
    </row>
    <row r="1023" spans="1:6" x14ac:dyDescent="0.25">
      <c r="A1023" s="86">
        <v>1022</v>
      </c>
      <c r="B1023" s="87">
        <v>40.870958168277866</v>
      </c>
      <c r="C1023" s="14">
        <v>5</v>
      </c>
      <c r="D1023" s="86">
        <v>7.6367499013486606E-2</v>
      </c>
      <c r="E1023" s="86"/>
      <c r="F1023" s="14"/>
    </row>
    <row r="1024" spans="1:6" x14ac:dyDescent="0.25">
      <c r="A1024" s="86">
        <v>1023</v>
      </c>
      <c r="B1024" s="87">
        <v>47.266382802597946</v>
      </c>
      <c r="C1024" s="14">
        <v>5</v>
      </c>
      <c r="D1024" s="86">
        <v>0.45731625636397866</v>
      </c>
      <c r="E1024" s="86"/>
      <c r="F1024" s="14"/>
    </row>
    <row r="1025" spans="1:6" x14ac:dyDescent="0.25">
      <c r="A1025" s="86">
        <v>1024</v>
      </c>
      <c r="B1025" s="87">
        <v>39.125239931643591</v>
      </c>
      <c r="C1025" s="14">
        <v>2</v>
      </c>
      <c r="D1025" s="86">
        <v>0.58727595410825195</v>
      </c>
      <c r="E1025" s="86"/>
      <c r="F1025" s="14"/>
    </row>
    <row r="1026" spans="1:6" x14ac:dyDescent="0.25">
      <c r="A1026" s="86">
        <v>1025</v>
      </c>
      <c r="B1026" s="87">
        <v>44.162260332421283</v>
      </c>
      <c r="C1026" s="14">
        <v>4</v>
      </c>
      <c r="D1026" s="86">
        <v>0.96788827596124016</v>
      </c>
      <c r="E1026" s="86"/>
      <c r="F1026" s="14"/>
    </row>
    <row r="1027" spans="1:6" x14ac:dyDescent="0.25">
      <c r="A1027" s="86">
        <v>1026</v>
      </c>
      <c r="B1027" s="87">
        <v>48.568722372117918</v>
      </c>
      <c r="C1027" s="14">
        <v>2</v>
      </c>
      <c r="D1027" s="86">
        <v>0.69621191657982484</v>
      </c>
      <c r="E1027" s="86"/>
      <c r="F1027" s="14"/>
    </row>
    <row r="1028" spans="1:6" x14ac:dyDescent="0.25">
      <c r="A1028" s="86">
        <v>1027</v>
      </c>
      <c r="B1028" s="87">
        <v>44.196082166643464</v>
      </c>
      <c r="C1028" s="14">
        <v>4</v>
      </c>
      <c r="D1028" s="86">
        <v>0.36561248542072966</v>
      </c>
      <c r="E1028" s="86"/>
      <c r="F1028" s="14"/>
    </row>
    <row r="1029" spans="1:6" x14ac:dyDescent="0.25">
      <c r="A1029" s="86">
        <v>1028</v>
      </c>
      <c r="B1029" s="87">
        <v>34.829486134520266</v>
      </c>
      <c r="C1029" s="14">
        <v>5</v>
      </c>
      <c r="D1029" s="86">
        <v>0.99197606013520889</v>
      </c>
      <c r="E1029" s="86"/>
      <c r="F1029" s="14"/>
    </row>
    <row r="1030" spans="1:6" x14ac:dyDescent="0.25">
      <c r="A1030" s="86">
        <v>1029</v>
      </c>
      <c r="B1030" s="87">
        <v>41.358589436975308</v>
      </c>
      <c r="C1030" s="14">
        <v>4</v>
      </c>
      <c r="D1030" s="86">
        <v>0.23231771390803635</v>
      </c>
      <c r="E1030" s="86"/>
      <c r="F1030" s="14"/>
    </row>
    <row r="1031" spans="1:6" x14ac:dyDescent="0.25">
      <c r="A1031" s="86">
        <v>1030</v>
      </c>
      <c r="B1031" s="87">
        <v>33.259084370336495</v>
      </c>
      <c r="C1031" s="14">
        <v>4</v>
      </c>
      <c r="D1031" s="86">
        <v>0.6356119748358966</v>
      </c>
      <c r="E1031" s="86"/>
      <c r="F1031" s="14"/>
    </row>
    <row r="1032" spans="1:6" x14ac:dyDescent="0.25">
      <c r="A1032" s="86">
        <v>1031</v>
      </c>
      <c r="B1032" s="87">
        <v>45.093918283208041</v>
      </c>
      <c r="C1032" s="14">
        <v>4</v>
      </c>
      <c r="D1032" s="86">
        <v>0.14223483554896155</v>
      </c>
      <c r="E1032" s="86"/>
      <c r="F1032" s="14"/>
    </row>
    <row r="1033" spans="1:6" x14ac:dyDescent="0.25">
      <c r="A1033" s="86">
        <v>1032</v>
      </c>
      <c r="B1033" s="87">
        <v>37.09672000183491</v>
      </c>
      <c r="C1033" s="14">
        <v>4</v>
      </c>
      <c r="D1033" s="86">
        <v>0.91702001752423468</v>
      </c>
      <c r="E1033" s="86"/>
      <c r="F1033" s="14"/>
    </row>
    <row r="1034" spans="1:6" x14ac:dyDescent="0.25">
      <c r="A1034" s="86">
        <v>1033</v>
      </c>
      <c r="B1034" s="87">
        <v>44.974251517822267</v>
      </c>
      <c r="C1034" s="14">
        <v>2</v>
      </c>
      <c r="D1034" s="86">
        <v>0.27634334818354334</v>
      </c>
      <c r="E1034" s="86"/>
      <c r="F1034" s="14"/>
    </row>
    <row r="1035" spans="1:6" x14ac:dyDescent="0.25">
      <c r="A1035" s="86">
        <v>1034</v>
      </c>
      <c r="B1035" s="87">
        <v>47.700973477156367</v>
      </c>
      <c r="C1035" s="14">
        <v>2</v>
      </c>
      <c r="D1035" s="86">
        <v>4.7100553763719244E-3</v>
      </c>
      <c r="E1035" s="86"/>
      <c r="F1035" s="14"/>
    </row>
    <row r="1036" spans="1:6" x14ac:dyDescent="0.25">
      <c r="A1036" s="86">
        <v>1035</v>
      </c>
      <c r="B1036" s="87">
        <v>30.91226971661672</v>
      </c>
      <c r="C1036" s="14">
        <v>5</v>
      </c>
      <c r="D1036" s="86">
        <v>0.33085488391744045</v>
      </c>
      <c r="E1036" s="86"/>
      <c r="F1036" s="14"/>
    </row>
    <row r="1037" spans="1:6" x14ac:dyDescent="0.25">
      <c r="A1037" s="86">
        <v>1036</v>
      </c>
      <c r="B1037" s="87">
        <v>46.708021267812001</v>
      </c>
      <c r="C1037" s="14">
        <v>3</v>
      </c>
      <c r="D1037" s="86">
        <v>0.13226529310947088</v>
      </c>
      <c r="E1037" s="86"/>
      <c r="F1037" s="14"/>
    </row>
    <row r="1038" spans="1:6" x14ac:dyDescent="0.25">
      <c r="A1038" s="86">
        <v>1037</v>
      </c>
      <c r="B1038" s="87">
        <v>47.913499651593156</v>
      </c>
      <c r="C1038" s="14">
        <v>2</v>
      </c>
      <c r="D1038" s="86">
        <v>1.2105018246516885E-2</v>
      </c>
      <c r="E1038" s="86"/>
      <c r="F1038" s="14"/>
    </row>
    <row r="1039" spans="1:6" x14ac:dyDescent="0.25">
      <c r="A1039" s="86">
        <v>1038</v>
      </c>
      <c r="B1039" s="87">
        <v>39.498331711336505</v>
      </c>
      <c r="C1039" s="14">
        <v>5</v>
      </c>
      <c r="D1039" s="86">
        <v>0.56227045095856887</v>
      </c>
      <c r="E1039" s="86"/>
      <c r="F1039" s="14"/>
    </row>
    <row r="1040" spans="1:6" x14ac:dyDescent="0.25">
      <c r="A1040" s="86">
        <v>1039</v>
      </c>
      <c r="B1040" s="87">
        <v>45.745298388617812</v>
      </c>
      <c r="C1040" s="14">
        <v>2</v>
      </c>
      <c r="D1040" s="86">
        <v>0.66369130745227856</v>
      </c>
      <c r="E1040" s="86"/>
      <c r="F1040" s="14"/>
    </row>
    <row r="1041" spans="1:6" x14ac:dyDescent="0.25">
      <c r="A1041" s="86">
        <v>1040</v>
      </c>
      <c r="B1041" s="87">
        <v>40.245356553321471</v>
      </c>
      <c r="C1041" s="14">
        <v>4</v>
      </c>
      <c r="D1041" s="86">
        <v>0.3187627792652431</v>
      </c>
      <c r="E1041" s="86"/>
      <c r="F1041" s="14"/>
    </row>
    <row r="1042" spans="1:6" x14ac:dyDescent="0.25">
      <c r="A1042" s="86">
        <v>1041</v>
      </c>
      <c r="B1042" s="87">
        <v>32.961679602856748</v>
      </c>
      <c r="C1042" s="14">
        <v>2</v>
      </c>
      <c r="D1042" s="86">
        <v>0.53332413908755139</v>
      </c>
      <c r="E1042" s="86"/>
      <c r="F1042" s="14"/>
    </row>
    <row r="1043" spans="1:6" x14ac:dyDescent="0.25">
      <c r="A1043" s="86">
        <v>1042</v>
      </c>
      <c r="B1043" s="87">
        <v>44.480367473050137</v>
      </c>
      <c r="C1043" s="14">
        <v>2</v>
      </c>
      <c r="D1043" s="86">
        <v>0.76740315065548237</v>
      </c>
      <c r="E1043" s="86"/>
      <c r="F1043" s="14"/>
    </row>
    <row r="1044" spans="1:6" x14ac:dyDescent="0.25">
      <c r="A1044" s="86">
        <v>1043</v>
      </c>
      <c r="B1044" s="87">
        <v>40.320730926730903</v>
      </c>
      <c r="C1044" s="14">
        <v>4</v>
      </c>
      <c r="D1044" s="86">
        <v>0.60765612953518833</v>
      </c>
      <c r="E1044" s="86"/>
      <c r="F1044" s="14"/>
    </row>
    <row r="1045" spans="1:6" x14ac:dyDescent="0.25">
      <c r="A1045" s="86">
        <v>1044</v>
      </c>
      <c r="B1045" s="87">
        <v>49.105437933001667</v>
      </c>
      <c r="C1045" s="14">
        <v>4</v>
      </c>
      <c r="D1045" s="86">
        <v>8.3643012128881145E-2</v>
      </c>
      <c r="E1045" s="86"/>
      <c r="F1045" s="14"/>
    </row>
    <row r="1046" spans="1:6" x14ac:dyDescent="0.25">
      <c r="A1046" s="86">
        <v>1045</v>
      </c>
      <c r="B1046" s="87">
        <v>45.109374008796294</v>
      </c>
      <c r="C1046" s="14">
        <v>5</v>
      </c>
      <c r="D1046" s="86">
        <v>0.90038869811815558</v>
      </c>
      <c r="E1046" s="86"/>
      <c r="F1046" s="14"/>
    </row>
    <row r="1047" spans="1:6" x14ac:dyDescent="0.25">
      <c r="A1047" s="86">
        <v>1046</v>
      </c>
      <c r="B1047" s="87">
        <v>47.852495294471737</v>
      </c>
      <c r="C1047" s="14">
        <v>2</v>
      </c>
      <c r="D1047" s="86">
        <v>0.33405392528242306</v>
      </c>
      <c r="E1047" s="86"/>
      <c r="F1047" s="14"/>
    </row>
    <row r="1048" spans="1:6" x14ac:dyDescent="0.25">
      <c r="A1048" s="86">
        <v>1047</v>
      </c>
      <c r="B1048" s="87">
        <v>48.839262939844048</v>
      </c>
      <c r="C1048" s="14">
        <v>3</v>
      </c>
      <c r="D1048" s="86">
        <v>0.99275662171530954</v>
      </c>
      <c r="E1048" s="86"/>
      <c r="F1048" s="14"/>
    </row>
    <row r="1049" spans="1:6" x14ac:dyDescent="0.25">
      <c r="A1049" s="86">
        <v>1048</v>
      </c>
      <c r="B1049" s="87">
        <v>42.498288616450736</v>
      </c>
      <c r="C1049" s="14">
        <v>2</v>
      </c>
      <c r="D1049" s="86">
        <v>0.54830023209946355</v>
      </c>
      <c r="E1049" s="86"/>
      <c r="F1049" s="14"/>
    </row>
    <row r="1050" spans="1:6" x14ac:dyDescent="0.25">
      <c r="A1050" s="86">
        <v>1049</v>
      </c>
      <c r="B1050" s="87">
        <v>49.965672127989819</v>
      </c>
      <c r="C1050" s="14">
        <v>2</v>
      </c>
      <c r="D1050" s="86">
        <v>0.73336596812319677</v>
      </c>
      <c r="E1050" s="86"/>
      <c r="F1050" s="14"/>
    </row>
    <row r="1051" spans="1:6" x14ac:dyDescent="0.25">
      <c r="A1051" s="86">
        <v>1050</v>
      </c>
      <c r="B1051" s="87">
        <v>41.660530309280148</v>
      </c>
      <c r="C1051" s="14">
        <v>5</v>
      </c>
      <c r="D1051" s="86">
        <v>0.17020887410856222</v>
      </c>
      <c r="E1051" s="86"/>
      <c r="F1051" s="14"/>
    </row>
    <row r="1052" spans="1:6" x14ac:dyDescent="0.25">
      <c r="A1052" s="86">
        <v>1051</v>
      </c>
      <c r="B1052" s="87">
        <v>43.480190465168562</v>
      </c>
      <c r="C1052" s="14">
        <v>5</v>
      </c>
      <c r="D1052" s="86">
        <v>0.57349990896206948</v>
      </c>
      <c r="E1052" s="86"/>
      <c r="F1052" s="14"/>
    </row>
    <row r="1053" spans="1:6" x14ac:dyDescent="0.25">
      <c r="A1053" s="86">
        <v>1052</v>
      </c>
      <c r="B1053" s="87">
        <v>43.19799131223408</v>
      </c>
      <c r="C1053" s="14">
        <v>2</v>
      </c>
      <c r="D1053" s="86">
        <v>0.67782923122549366</v>
      </c>
      <c r="E1053" s="86"/>
      <c r="F1053" s="14"/>
    </row>
    <row r="1054" spans="1:6" x14ac:dyDescent="0.25">
      <c r="A1054" s="86">
        <v>1053</v>
      </c>
      <c r="B1054" s="87">
        <v>42.705886466472293</v>
      </c>
      <c r="C1054" s="14">
        <v>5</v>
      </c>
      <c r="D1054" s="86">
        <v>0.22647230597746126</v>
      </c>
      <c r="E1054" s="86"/>
      <c r="F1054" s="14"/>
    </row>
    <row r="1055" spans="1:6" x14ac:dyDescent="0.25">
      <c r="A1055" s="86">
        <v>1054</v>
      </c>
      <c r="B1055" s="87">
        <v>34.89135451160837</v>
      </c>
      <c r="C1055" s="14">
        <v>4</v>
      </c>
      <c r="D1055" s="86">
        <v>0.15078774326306044</v>
      </c>
      <c r="E1055" s="86"/>
      <c r="F1055" s="14"/>
    </row>
    <row r="1056" spans="1:6" x14ac:dyDescent="0.25">
      <c r="A1056" s="86">
        <v>1055</v>
      </c>
      <c r="B1056" s="87">
        <v>33.976084518479183</v>
      </c>
      <c r="C1056" s="14">
        <v>2</v>
      </c>
      <c r="D1056" s="86">
        <v>0.84872979500132861</v>
      </c>
      <c r="E1056" s="86"/>
      <c r="F1056" s="14"/>
    </row>
    <row r="1057" spans="1:6" x14ac:dyDescent="0.25">
      <c r="A1057" s="86">
        <v>1056</v>
      </c>
      <c r="B1057" s="87">
        <v>38.741870861820644</v>
      </c>
      <c r="C1057" s="14">
        <v>4</v>
      </c>
      <c r="D1057" s="86">
        <v>0.37199272084213098</v>
      </c>
      <c r="E1057" s="86"/>
      <c r="F1057" s="14"/>
    </row>
    <row r="1058" spans="1:6" x14ac:dyDescent="0.25">
      <c r="A1058" s="86">
        <v>1057</v>
      </c>
      <c r="B1058" s="87">
        <v>37.780353063106304</v>
      </c>
      <c r="C1058" s="14">
        <v>4</v>
      </c>
      <c r="D1058" s="86">
        <v>0.29246686738983796</v>
      </c>
      <c r="E1058" s="86"/>
      <c r="F1058" s="14"/>
    </row>
    <row r="1059" spans="1:6" x14ac:dyDescent="0.25">
      <c r="A1059" s="86">
        <v>1058</v>
      </c>
      <c r="B1059" s="87">
        <v>38.424298049329082</v>
      </c>
      <c r="C1059" s="14">
        <v>4</v>
      </c>
      <c r="D1059" s="86">
        <v>0.15233011131237684</v>
      </c>
      <c r="E1059" s="86"/>
      <c r="F1059" s="14"/>
    </row>
    <row r="1060" spans="1:6" x14ac:dyDescent="0.25">
      <c r="A1060" s="86">
        <v>1059</v>
      </c>
      <c r="B1060" s="87">
        <v>41.091323050175561</v>
      </c>
      <c r="C1060" s="14">
        <v>2</v>
      </c>
      <c r="D1060" s="86">
        <v>0.51943615669094079</v>
      </c>
      <c r="E1060" s="86"/>
      <c r="F1060" s="14"/>
    </row>
    <row r="1061" spans="1:6" x14ac:dyDescent="0.25">
      <c r="A1061" s="86">
        <v>1060</v>
      </c>
      <c r="B1061" s="87">
        <v>46.749437382793985</v>
      </c>
      <c r="C1061" s="14">
        <v>2</v>
      </c>
      <c r="D1061" s="86">
        <v>0.72536708469265676</v>
      </c>
      <c r="E1061" s="86"/>
      <c r="F1061" s="14"/>
    </row>
    <row r="1062" spans="1:6" x14ac:dyDescent="0.25">
      <c r="A1062" s="86">
        <v>1061</v>
      </c>
      <c r="B1062" s="87">
        <v>55.094824342057109</v>
      </c>
      <c r="C1062" s="14">
        <v>4</v>
      </c>
      <c r="D1062" s="86">
        <v>0.58117602909321031</v>
      </c>
      <c r="E1062" s="86"/>
      <c r="F1062" s="14"/>
    </row>
    <row r="1063" spans="1:6" x14ac:dyDescent="0.25">
      <c r="A1063" s="86">
        <v>1062</v>
      </c>
      <c r="B1063" s="87">
        <v>43.044559556044987</v>
      </c>
      <c r="C1063" s="14">
        <v>2</v>
      </c>
      <c r="D1063" s="86">
        <v>0.42931703382170305</v>
      </c>
      <c r="E1063" s="86"/>
      <c r="F1063" s="14"/>
    </row>
    <row r="1064" spans="1:6" x14ac:dyDescent="0.25">
      <c r="A1064" s="86">
        <v>1063</v>
      </c>
      <c r="B1064" s="87">
        <v>36.534697750874329</v>
      </c>
      <c r="C1064" s="14">
        <v>4</v>
      </c>
      <c r="D1064" s="86">
        <v>0.30783136091036223</v>
      </c>
      <c r="E1064" s="86"/>
      <c r="F1064" s="14"/>
    </row>
    <row r="1065" spans="1:6" x14ac:dyDescent="0.25">
      <c r="A1065" s="86">
        <v>1064</v>
      </c>
      <c r="B1065" s="87">
        <v>43.404929778596852</v>
      </c>
      <c r="C1065" s="14">
        <v>2</v>
      </c>
      <c r="D1065" s="86">
        <v>0.50618014102143793</v>
      </c>
      <c r="E1065" s="86"/>
      <c r="F1065" s="14"/>
    </row>
    <row r="1066" spans="1:6" x14ac:dyDescent="0.25">
      <c r="A1066" s="86">
        <v>1065</v>
      </c>
      <c r="B1066" s="87">
        <v>39.897963683295529</v>
      </c>
      <c r="C1066" s="14">
        <v>2</v>
      </c>
      <c r="D1066" s="86">
        <v>7.1063619188730165E-2</v>
      </c>
      <c r="E1066" s="86"/>
      <c r="F1066" s="14"/>
    </row>
    <row r="1067" spans="1:6" x14ac:dyDescent="0.25">
      <c r="A1067" s="86">
        <v>1066</v>
      </c>
      <c r="B1067" s="87">
        <v>41.406553913810058</v>
      </c>
      <c r="C1067" s="14">
        <v>2</v>
      </c>
      <c r="D1067" s="86">
        <v>0.89211919772498649</v>
      </c>
      <c r="E1067" s="86"/>
      <c r="F1067" s="14"/>
    </row>
    <row r="1068" spans="1:6" x14ac:dyDescent="0.25">
      <c r="A1068" s="86">
        <v>1067</v>
      </c>
      <c r="B1068" s="87">
        <v>40.81807105136977</v>
      </c>
      <c r="C1068" s="14">
        <v>3</v>
      </c>
      <c r="D1068" s="86">
        <v>0.73026519796407108</v>
      </c>
      <c r="E1068" s="86"/>
      <c r="F1068" s="14"/>
    </row>
    <row r="1069" spans="1:6" x14ac:dyDescent="0.25">
      <c r="A1069" s="86">
        <v>1068</v>
      </c>
      <c r="B1069" s="87">
        <v>42.641107706338516</v>
      </c>
      <c r="C1069" s="14">
        <v>5</v>
      </c>
      <c r="D1069" s="86">
        <v>0.10865664205961867</v>
      </c>
      <c r="E1069" s="86"/>
      <c r="F1069" s="14"/>
    </row>
    <row r="1070" spans="1:6" x14ac:dyDescent="0.25">
      <c r="A1070" s="86">
        <v>1069</v>
      </c>
      <c r="B1070" s="87">
        <v>54.346128303557634</v>
      </c>
      <c r="C1070" s="14">
        <v>4</v>
      </c>
      <c r="D1070" s="86">
        <v>0.65393771508589771</v>
      </c>
      <c r="E1070" s="86"/>
      <c r="F1070" s="14"/>
    </row>
    <row r="1071" spans="1:6" x14ac:dyDescent="0.25">
      <c r="A1071" s="86">
        <v>1070</v>
      </c>
      <c r="B1071" s="87">
        <v>39.348640252108453</v>
      </c>
      <c r="C1071" s="14">
        <v>2</v>
      </c>
      <c r="D1071" s="86">
        <v>0.21749762267354833</v>
      </c>
      <c r="E1071" s="86"/>
      <c r="F1071" s="14"/>
    </row>
    <row r="1072" spans="1:6" x14ac:dyDescent="0.25">
      <c r="A1072" s="86">
        <v>1071</v>
      </c>
      <c r="B1072" s="87">
        <v>47.093328698218102</v>
      </c>
      <c r="C1072" s="14">
        <v>5</v>
      </c>
      <c r="D1072" s="86">
        <v>0.96687174550958233</v>
      </c>
      <c r="E1072" s="86"/>
      <c r="F1072" s="14"/>
    </row>
    <row r="1073" spans="1:6" x14ac:dyDescent="0.25">
      <c r="A1073" s="86">
        <v>1072</v>
      </c>
      <c r="B1073" s="87">
        <v>45.513814933990943</v>
      </c>
      <c r="C1073" s="14">
        <v>2</v>
      </c>
      <c r="D1073" s="86">
        <v>0.6359099956860943</v>
      </c>
      <c r="E1073" s="86"/>
      <c r="F1073" s="14"/>
    </row>
    <row r="1074" spans="1:6" x14ac:dyDescent="0.25">
      <c r="A1074" s="86">
        <v>1073</v>
      </c>
      <c r="B1074" s="87">
        <v>41.256919298000867</v>
      </c>
      <c r="C1074" s="14">
        <v>2</v>
      </c>
      <c r="D1074" s="86">
        <v>0.33547667385693913</v>
      </c>
      <c r="E1074" s="86"/>
      <c r="F1074" s="14"/>
    </row>
    <row r="1075" spans="1:6" x14ac:dyDescent="0.25">
      <c r="A1075" s="86">
        <v>1074</v>
      </c>
      <c r="B1075" s="87">
        <v>41.826734781687264</v>
      </c>
      <c r="C1075" s="14">
        <v>2</v>
      </c>
      <c r="D1075" s="86">
        <v>0.23150376482890378</v>
      </c>
      <c r="E1075" s="86"/>
      <c r="F1075" s="14"/>
    </row>
    <row r="1076" spans="1:6" x14ac:dyDescent="0.25">
      <c r="A1076" s="86">
        <v>1075</v>
      </c>
      <c r="B1076" s="87">
        <v>37.115103163494496</v>
      </c>
      <c r="C1076" s="14">
        <v>2</v>
      </c>
      <c r="D1076" s="86">
        <v>0.9643899785532547</v>
      </c>
      <c r="E1076" s="86"/>
      <c r="F1076" s="14"/>
    </row>
    <row r="1077" spans="1:6" x14ac:dyDescent="0.25">
      <c r="A1077" s="86">
        <v>1076</v>
      </c>
      <c r="B1077" s="87">
        <v>49.64322215016</v>
      </c>
      <c r="C1077" s="14">
        <v>2</v>
      </c>
      <c r="D1077" s="86">
        <v>0.20494996055926451</v>
      </c>
      <c r="E1077" s="86"/>
      <c r="F1077" s="14"/>
    </row>
    <row r="1078" spans="1:6" x14ac:dyDescent="0.25">
      <c r="A1078" s="86">
        <v>1077</v>
      </c>
      <c r="B1078" s="87">
        <v>49.484765435743611</v>
      </c>
      <c r="C1078" s="14">
        <v>5</v>
      </c>
      <c r="D1078" s="86">
        <v>0.26586451678020406</v>
      </c>
      <c r="E1078" s="86"/>
      <c r="F1078" s="14"/>
    </row>
    <row r="1079" spans="1:6" x14ac:dyDescent="0.25">
      <c r="A1079" s="86">
        <v>1078</v>
      </c>
      <c r="B1079" s="87">
        <v>50.396829460049048</v>
      </c>
      <c r="C1079" s="14">
        <v>2</v>
      </c>
      <c r="D1079" s="86">
        <v>0.41278314347648526</v>
      </c>
      <c r="E1079" s="86"/>
      <c r="F1079" s="14"/>
    </row>
    <row r="1080" spans="1:6" x14ac:dyDescent="0.25">
      <c r="A1080" s="86">
        <v>1079</v>
      </c>
      <c r="B1080" s="87">
        <v>34.113008945831098</v>
      </c>
      <c r="C1080" s="14">
        <v>5</v>
      </c>
      <c r="D1080" s="86">
        <v>3.9865274174110787E-2</v>
      </c>
      <c r="E1080" s="86"/>
      <c r="F1080" s="14"/>
    </row>
    <row r="1081" spans="1:6" x14ac:dyDescent="0.25">
      <c r="A1081" s="86">
        <v>1080</v>
      </c>
      <c r="B1081" s="87">
        <v>52.101040632231161</v>
      </c>
      <c r="C1081" s="14">
        <v>1</v>
      </c>
      <c r="D1081" s="86">
        <v>0.16268753757454091</v>
      </c>
      <c r="E1081" s="86"/>
      <c r="F1081" s="14"/>
    </row>
    <row r="1082" spans="1:6" x14ac:dyDescent="0.25">
      <c r="A1082" s="86">
        <v>1081</v>
      </c>
      <c r="B1082" s="87">
        <v>42.593535449093906</v>
      </c>
      <c r="C1082" s="14">
        <v>5</v>
      </c>
      <c r="D1082" s="86">
        <v>0.17719274676772179</v>
      </c>
      <c r="E1082" s="86"/>
      <c r="F1082" s="14"/>
    </row>
    <row r="1083" spans="1:6" x14ac:dyDescent="0.25">
      <c r="A1083" s="86">
        <v>1082</v>
      </c>
      <c r="B1083" s="87">
        <v>43.012431655704859</v>
      </c>
      <c r="C1083" s="14">
        <v>2</v>
      </c>
      <c r="D1083" s="86">
        <v>0.54105635507258376</v>
      </c>
      <c r="E1083" s="86"/>
      <c r="F1083" s="14"/>
    </row>
    <row r="1084" spans="1:6" x14ac:dyDescent="0.25">
      <c r="A1084" s="86">
        <v>1083</v>
      </c>
      <c r="B1084" s="87">
        <v>36.43908712035045</v>
      </c>
      <c r="C1084" s="14">
        <v>2</v>
      </c>
      <c r="D1084" s="86">
        <v>0.20730093322357723</v>
      </c>
      <c r="E1084" s="86"/>
      <c r="F1084" s="14"/>
    </row>
    <row r="1085" spans="1:6" x14ac:dyDescent="0.25">
      <c r="A1085" s="86">
        <v>1084</v>
      </c>
      <c r="B1085" s="87">
        <v>47.128730779484613</v>
      </c>
      <c r="C1085" s="14">
        <v>5</v>
      </c>
      <c r="D1085" s="86">
        <v>0.84062327871782627</v>
      </c>
      <c r="E1085" s="86"/>
      <c r="F1085" s="14"/>
    </row>
    <row r="1086" spans="1:6" x14ac:dyDescent="0.25">
      <c r="A1086" s="86">
        <v>1085</v>
      </c>
      <c r="B1086" s="87">
        <v>35.019729688763618</v>
      </c>
      <c r="C1086" s="14">
        <v>4</v>
      </c>
      <c r="D1086" s="86">
        <v>0.86630674429456311</v>
      </c>
      <c r="E1086" s="86"/>
      <c r="F1086" s="14"/>
    </row>
    <row r="1087" spans="1:6" x14ac:dyDescent="0.25">
      <c r="A1087" s="86">
        <v>1086</v>
      </c>
      <c r="B1087" s="87">
        <v>39.869632923335303</v>
      </c>
      <c r="C1087" s="14">
        <v>2</v>
      </c>
      <c r="D1087" s="86">
        <v>0.59008844737284294</v>
      </c>
      <c r="E1087" s="86"/>
      <c r="F1087" s="14"/>
    </row>
    <row r="1088" spans="1:6" x14ac:dyDescent="0.25">
      <c r="A1088" s="86">
        <v>1087</v>
      </c>
      <c r="B1088" s="87">
        <v>50.715493666182738</v>
      </c>
      <c r="C1088" s="14">
        <v>2</v>
      </c>
      <c r="D1088" s="86">
        <v>0.62984072514463585</v>
      </c>
      <c r="E1088" s="86"/>
      <c r="F1088" s="14"/>
    </row>
    <row r="1089" spans="1:6" x14ac:dyDescent="0.25">
      <c r="A1089" s="86">
        <v>1088</v>
      </c>
      <c r="B1089" s="87">
        <v>45.461001713527367</v>
      </c>
      <c r="C1089" s="14">
        <v>5</v>
      </c>
      <c r="D1089" s="86">
        <v>0.618363189891452</v>
      </c>
      <c r="E1089" s="86"/>
      <c r="F1089" s="14"/>
    </row>
    <row r="1090" spans="1:6" x14ac:dyDescent="0.25">
      <c r="A1090" s="86">
        <v>1089</v>
      </c>
      <c r="B1090" s="87">
        <v>44.113585312850773</v>
      </c>
      <c r="C1090" s="14">
        <v>2</v>
      </c>
      <c r="D1090" s="86">
        <v>0.89764882394154566</v>
      </c>
      <c r="E1090" s="86"/>
      <c r="F1090" s="14"/>
    </row>
    <row r="1091" spans="1:6" x14ac:dyDescent="0.25">
      <c r="A1091" s="86">
        <v>1090</v>
      </c>
      <c r="B1091" s="87">
        <v>43.893066953722155</v>
      </c>
      <c r="C1091" s="14">
        <v>4</v>
      </c>
      <c r="D1091" s="86">
        <v>0.11552982501595077</v>
      </c>
      <c r="E1091" s="86"/>
      <c r="F1091" s="14"/>
    </row>
    <row r="1092" spans="1:6" x14ac:dyDescent="0.25">
      <c r="A1092" s="86">
        <v>1091</v>
      </c>
      <c r="B1092" s="87">
        <v>45.458409653627314</v>
      </c>
      <c r="C1092" s="14">
        <v>1</v>
      </c>
      <c r="D1092" s="86">
        <v>0.32093082471258105</v>
      </c>
      <c r="E1092" s="86"/>
      <c r="F1092" s="14"/>
    </row>
    <row r="1093" spans="1:6" x14ac:dyDescent="0.25">
      <c r="A1093" s="86">
        <v>1092</v>
      </c>
      <c r="B1093" s="87">
        <v>40.537270246539265</v>
      </c>
      <c r="C1093" s="14">
        <v>3</v>
      </c>
      <c r="D1093" s="86">
        <v>0.44638906625774188</v>
      </c>
      <c r="E1093" s="86"/>
      <c r="F1093" s="14"/>
    </row>
    <row r="1094" spans="1:6" x14ac:dyDescent="0.25">
      <c r="A1094" s="86">
        <v>1093</v>
      </c>
      <c r="B1094" s="87">
        <v>42.954673057800392</v>
      </c>
      <c r="C1094" s="14">
        <v>4</v>
      </c>
      <c r="D1094" s="86">
        <v>0.97430696161217845</v>
      </c>
      <c r="E1094" s="86"/>
      <c r="F1094" s="14"/>
    </row>
    <row r="1095" spans="1:6" x14ac:dyDescent="0.25">
      <c r="A1095" s="86">
        <v>1094</v>
      </c>
      <c r="B1095" s="87">
        <v>40.955671915406128</v>
      </c>
      <c r="C1095" s="14">
        <v>4</v>
      </c>
      <c r="D1095" s="86">
        <v>0.25259862426712776</v>
      </c>
      <c r="E1095" s="86"/>
      <c r="F1095" s="14"/>
    </row>
    <row r="1096" spans="1:6" x14ac:dyDescent="0.25">
      <c r="A1096" s="86">
        <v>1095</v>
      </c>
      <c r="B1096" s="87">
        <v>42.049742882561986</v>
      </c>
      <c r="C1096" s="14">
        <v>1</v>
      </c>
      <c r="D1096" s="86">
        <v>0.25312471391107683</v>
      </c>
      <c r="E1096" s="86"/>
      <c r="F1096" s="14"/>
    </row>
    <row r="1097" spans="1:6" x14ac:dyDescent="0.25">
      <c r="A1097" s="86">
        <v>1096</v>
      </c>
      <c r="B1097" s="87">
        <v>41.218254404491745</v>
      </c>
      <c r="C1097" s="14">
        <v>4</v>
      </c>
      <c r="D1097" s="86">
        <v>0.92338875357517802</v>
      </c>
      <c r="E1097" s="86"/>
      <c r="F1097" s="14"/>
    </row>
    <row r="1098" spans="1:6" x14ac:dyDescent="0.25">
      <c r="A1098" s="86">
        <v>1097</v>
      </c>
      <c r="B1098" s="87">
        <v>41.373516518768156</v>
      </c>
      <c r="C1098" s="14">
        <v>2</v>
      </c>
      <c r="D1098" s="86">
        <v>0.71154338830193742</v>
      </c>
      <c r="E1098" s="86"/>
      <c r="F1098" s="14"/>
    </row>
    <row r="1099" spans="1:6" x14ac:dyDescent="0.25">
      <c r="A1099" s="86">
        <v>1098</v>
      </c>
      <c r="B1099" s="87">
        <v>39.493932030716678</v>
      </c>
      <c r="C1099" s="14">
        <v>4</v>
      </c>
      <c r="D1099" s="86">
        <v>0.56278157739881018</v>
      </c>
      <c r="E1099" s="86"/>
      <c r="F1099" s="14"/>
    </row>
    <row r="1100" spans="1:6" x14ac:dyDescent="0.25">
      <c r="A1100" s="86">
        <v>1099</v>
      </c>
      <c r="B1100" s="87">
        <v>40.764939507760573</v>
      </c>
      <c r="C1100" s="14">
        <v>2</v>
      </c>
      <c r="D1100" s="86">
        <v>5.1509892139829705E-2</v>
      </c>
      <c r="E1100" s="86"/>
      <c r="F1100" s="14"/>
    </row>
    <row r="1101" spans="1:6" x14ac:dyDescent="0.25">
      <c r="A1101" s="86">
        <v>1100</v>
      </c>
      <c r="B1101" s="87">
        <v>39.981000549567398</v>
      </c>
      <c r="C1101" s="14">
        <v>5</v>
      </c>
      <c r="D1101" s="86">
        <v>0.70314411155432155</v>
      </c>
      <c r="E1101" s="86"/>
      <c r="F1101" s="14"/>
    </row>
    <row r="1102" spans="1:6" x14ac:dyDescent="0.25">
      <c r="A1102" s="86">
        <v>1101</v>
      </c>
      <c r="B1102" s="87">
        <v>42.736917288828408</v>
      </c>
      <c r="C1102" s="14">
        <v>5</v>
      </c>
      <c r="D1102" s="86">
        <v>0.28416282929943015</v>
      </c>
      <c r="E1102" s="86"/>
      <c r="F1102" s="14"/>
    </row>
    <row r="1103" spans="1:6" x14ac:dyDescent="0.25">
      <c r="A1103" s="86">
        <v>1102</v>
      </c>
      <c r="B1103" s="87">
        <v>40.047285660300986</v>
      </c>
      <c r="C1103" s="14">
        <v>4</v>
      </c>
      <c r="D1103" s="86">
        <v>0.58897426730437519</v>
      </c>
      <c r="E1103" s="86"/>
      <c r="F1103" s="14"/>
    </row>
    <row r="1104" spans="1:6" x14ac:dyDescent="0.25">
      <c r="A1104" s="86">
        <v>1103</v>
      </c>
      <c r="B1104" s="87">
        <v>42.992922994351829</v>
      </c>
      <c r="C1104" s="14">
        <v>5</v>
      </c>
      <c r="D1104" s="86">
        <v>0.13514746502085651</v>
      </c>
      <c r="E1104" s="86"/>
      <c r="F1104" s="14"/>
    </row>
    <row r="1105" spans="1:6" x14ac:dyDescent="0.25">
      <c r="A1105" s="86">
        <v>1104</v>
      </c>
      <c r="B1105" s="87">
        <v>48.913284439884592</v>
      </c>
      <c r="C1105" s="14">
        <v>4</v>
      </c>
      <c r="D1105" s="86">
        <v>0.30135198193702717</v>
      </c>
      <c r="E1105" s="86"/>
      <c r="F1105" s="14"/>
    </row>
    <row r="1106" spans="1:6" x14ac:dyDescent="0.25">
      <c r="A1106" s="86">
        <v>1105</v>
      </c>
      <c r="B1106" s="87">
        <v>41.621240138163557</v>
      </c>
      <c r="C1106" s="14">
        <v>4</v>
      </c>
      <c r="D1106" s="86">
        <v>0.95623784370556231</v>
      </c>
      <c r="E1106" s="86"/>
      <c r="F1106" s="14"/>
    </row>
    <row r="1107" spans="1:6" x14ac:dyDescent="0.25">
      <c r="A1107" s="86">
        <v>1106</v>
      </c>
      <c r="B1107" s="87">
        <v>55.182317732367665</v>
      </c>
      <c r="C1107" s="14">
        <v>2</v>
      </c>
      <c r="D1107" s="86">
        <v>1.7552072889423398E-2</v>
      </c>
      <c r="E1107" s="86"/>
      <c r="F1107" s="14"/>
    </row>
    <row r="1108" spans="1:6" x14ac:dyDescent="0.25">
      <c r="A1108" s="86">
        <v>1107</v>
      </c>
      <c r="B1108" s="87">
        <v>58.908153727650642</v>
      </c>
      <c r="C1108" s="14">
        <v>4</v>
      </c>
      <c r="D1108" s="86">
        <v>0.96980884442806081</v>
      </c>
      <c r="E1108" s="86"/>
      <c r="F1108" s="14"/>
    </row>
    <row r="1109" spans="1:6" x14ac:dyDescent="0.25">
      <c r="A1109" s="86">
        <v>1108</v>
      </c>
      <c r="B1109" s="87">
        <v>42.251542703859741</v>
      </c>
      <c r="C1109" s="14">
        <v>4</v>
      </c>
      <c r="D1109" s="86">
        <v>0.69356843125921686</v>
      </c>
      <c r="E1109" s="86"/>
      <c r="F1109" s="14"/>
    </row>
    <row r="1110" spans="1:6" x14ac:dyDescent="0.25">
      <c r="A1110" s="86">
        <v>1109</v>
      </c>
      <c r="B1110" s="87">
        <v>43.711344227966038</v>
      </c>
      <c r="C1110" s="14">
        <v>1</v>
      </c>
      <c r="D1110" s="86">
        <v>0.85042469413592403</v>
      </c>
      <c r="E1110" s="86"/>
      <c r="F1110" s="14"/>
    </row>
    <row r="1111" spans="1:6" x14ac:dyDescent="0.25">
      <c r="A1111" s="86">
        <v>1110</v>
      </c>
      <c r="B1111" s="87">
        <v>49.947550446056994</v>
      </c>
      <c r="C1111" s="14">
        <v>2</v>
      </c>
      <c r="D1111" s="86">
        <v>0.27004455081619028</v>
      </c>
      <c r="E1111" s="86"/>
      <c r="F1111" s="14"/>
    </row>
    <row r="1112" spans="1:6" x14ac:dyDescent="0.25">
      <c r="A1112" s="86">
        <v>1111</v>
      </c>
      <c r="B1112" s="87">
        <v>37.130371305800509</v>
      </c>
      <c r="C1112" s="14">
        <v>2</v>
      </c>
      <c r="D1112" s="86">
        <v>0.66884013349891958</v>
      </c>
      <c r="E1112" s="86"/>
      <c r="F1112" s="14"/>
    </row>
    <row r="1113" spans="1:6" x14ac:dyDescent="0.25">
      <c r="A1113" s="86">
        <v>1112</v>
      </c>
      <c r="B1113" s="87">
        <v>49.837751698185457</v>
      </c>
      <c r="C1113" s="14">
        <v>4</v>
      </c>
      <c r="D1113" s="86">
        <v>6.4493923567599309E-2</v>
      </c>
      <c r="E1113" s="86"/>
      <c r="F1113" s="14"/>
    </row>
    <row r="1114" spans="1:6" x14ac:dyDescent="0.25">
      <c r="A1114" s="86">
        <v>1113</v>
      </c>
      <c r="B1114" s="87">
        <v>34.730487636232283</v>
      </c>
      <c r="C1114" s="14">
        <v>2</v>
      </c>
      <c r="D1114" s="86">
        <v>0.49372022935269566</v>
      </c>
      <c r="E1114" s="86"/>
      <c r="F1114" s="14"/>
    </row>
    <row r="1115" spans="1:6" x14ac:dyDescent="0.25">
      <c r="A1115" s="86">
        <v>1114</v>
      </c>
      <c r="B1115" s="87">
        <v>42.083217971929116</v>
      </c>
      <c r="C1115" s="14">
        <v>1</v>
      </c>
      <c r="D1115" s="86">
        <v>0.68227012143315457</v>
      </c>
      <c r="E1115" s="86"/>
      <c r="F1115" s="14"/>
    </row>
    <row r="1116" spans="1:6" x14ac:dyDescent="0.25">
      <c r="A1116" s="86">
        <v>1115</v>
      </c>
      <c r="B1116" s="87">
        <v>42.298313468898414</v>
      </c>
      <c r="C1116" s="14">
        <v>5</v>
      </c>
      <c r="D1116" s="86">
        <v>0.81681000319488128</v>
      </c>
      <c r="E1116" s="86"/>
      <c r="F1116" s="14"/>
    </row>
    <row r="1117" spans="1:6" x14ac:dyDescent="0.25">
      <c r="A1117" s="86">
        <v>1116</v>
      </c>
      <c r="B1117" s="87">
        <v>50.799621926096734</v>
      </c>
      <c r="C1117" s="14">
        <v>5</v>
      </c>
      <c r="D1117" s="86">
        <v>0.21349503830818584</v>
      </c>
      <c r="E1117" s="86"/>
      <c r="F1117" s="14"/>
    </row>
    <row r="1118" spans="1:6" x14ac:dyDescent="0.25">
      <c r="A1118" s="86">
        <v>1117</v>
      </c>
      <c r="B1118" s="87">
        <v>40.457064182526665</v>
      </c>
      <c r="C1118" s="14">
        <v>2</v>
      </c>
      <c r="D1118" s="86">
        <v>0.9473224304699821</v>
      </c>
      <c r="E1118" s="86"/>
      <c r="F1118" s="14"/>
    </row>
    <row r="1119" spans="1:6" x14ac:dyDescent="0.25">
      <c r="A1119" s="86">
        <v>1118</v>
      </c>
      <c r="B1119" s="87">
        <v>45.082231276290258</v>
      </c>
      <c r="C1119" s="14">
        <v>4</v>
      </c>
      <c r="D1119" s="86">
        <v>0.26087143313273975</v>
      </c>
      <c r="E1119" s="86"/>
      <c r="F1119" s="14"/>
    </row>
    <row r="1120" spans="1:6" x14ac:dyDescent="0.25">
      <c r="A1120" s="86">
        <v>1119</v>
      </c>
      <c r="B1120" s="87">
        <v>45.649733232829021</v>
      </c>
      <c r="C1120" s="14">
        <v>5</v>
      </c>
      <c r="D1120" s="86">
        <v>0.81857888264379342</v>
      </c>
      <c r="E1120" s="86"/>
      <c r="F1120" s="14"/>
    </row>
    <row r="1121" spans="1:6" x14ac:dyDescent="0.25">
      <c r="A1121" s="86">
        <v>1120</v>
      </c>
      <c r="B1121" s="87">
        <v>41.40051714272704</v>
      </c>
      <c r="C1121" s="14">
        <v>4</v>
      </c>
      <c r="D1121" s="86">
        <v>0.45419928989799163</v>
      </c>
      <c r="E1121" s="86"/>
      <c r="F1121" s="14"/>
    </row>
    <row r="1122" spans="1:6" x14ac:dyDescent="0.25">
      <c r="A1122" s="86">
        <v>1121</v>
      </c>
      <c r="B1122" s="87">
        <v>37.09287738671992</v>
      </c>
      <c r="C1122" s="14">
        <v>2</v>
      </c>
      <c r="D1122" s="86">
        <v>0.87020773737031265</v>
      </c>
      <c r="E1122" s="86"/>
      <c r="F1122" s="14"/>
    </row>
    <row r="1123" spans="1:6" x14ac:dyDescent="0.25">
      <c r="A1123" s="86">
        <v>1122</v>
      </c>
      <c r="B1123" s="87">
        <v>45.170577317883726</v>
      </c>
      <c r="C1123" s="14">
        <v>2</v>
      </c>
      <c r="D1123" s="86">
        <v>0.82732724294463456</v>
      </c>
      <c r="E1123" s="86"/>
      <c r="F1123" s="14"/>
    </row>
    <row r="1124" spans="1:6" x14ac:dyDescent="0.25">
      <c r="A1124" s="86">
        <v>1123</v>
      </c>
      <c r="B1124" s="87">
        <v>52.518544175080024</v>
      </c>
      <c r="C1124" s="14">
        <v>2</v>
      </c>
      <c r="D1124" s="86">
        <v>0.38792531622227233</v>
      </c>
      <c r="E1124" s="86"/>
      <c r="F1124" s="14"/>
    </row>
    <row r="1125" spans="1:6" x14ac:dyDescent="0.25">
      <c r="A1125" s="86">
        <v>1124</v>
      </c>
      <c r="B1125" s="87">
        <v>47.542073384072864</v>
      </c>
      <c r="C1125" s="14">
        <v>4</v>
      </c>
      <c r="D1125" s="86">
        <v>0.25779307297985077</v>
      </c>
      <c r="E1125" s="86"/>
      <c r="F1125" s="14"/>
    </row>
    <row r="1126" spans="1:6" x14ac:dyDescent="0.25">
      <c r="A1126" s="86">
        <v>1125</v>
      </c>
      <c r="B1126" s="87">
        <v>45.242671826024889</v>
      </c>
      <c r="C1126" s="14">
        <v>5</v>
      </c>
      <c r="D1126" s="86">
        <v>8.3035224548989484E-2</v>
      </c>
      <c r="E1126" s="86"/>
      <c r="F1126" s="14"/>
    </row>
    <row r="1127" spans="1:6" x14ac:dyDescent="0.25">
      <c r="A1127" s="86">
        <v>1126</v>
      </c>
      <c r="B1127" s="87">
        <v>42.004523942858214</v>
      </c>
      <c r="C1127" s="14">
        <v>3</v>
      </c>
      <c r="D1127" s="86">
        <v>0.85824323325738794</v>
      </c>
      <c r="E1127" s="86"/>
      <c r="F1127" s="14"/>
    </row>
    <row r="1128" spans="1:6" x14ac:dyDescent="0.25">
      <c r="A1128" s="86">
        <v>1127</v>
      </c>
      <c r="B1128" s="87">
        <v>39.563042259367649</v>
      </c>
      <c r="C1128" s="14">
        <v>4</v>
      </c>
      <c r="D1128" s="86">
        <v>0.28583731803597767</v>
      </c>
      <c r="E1128" s="86"/>
      <c r="F1128" s="14"/>
    </row>
    <row r="1129" spans="1:6" x14ac:dyDescent="0.25">
      <c r="A1129" s="86">
        <v>1128</v>
      </c>
      <c r="B1129" s="87">
        <v>34.422282619168982</v>
      </c>
      <c r="C1129" s="14">
        <v>2</v>
      </c>
      <c r="D1129" s="86">
        <v>0.89109180444399927</v>
      </c>
      <c r="E1129" s="86"/>
      <c r="F1129" s="14"/>
    </row>
    <row r="1130" spans="1:6" x14ac:dyDescent="0.25">
      <c r="A1130" s="86">
        <v>1129</v>
      </c>
      <c r="B1130" s="87">
        <v>49.473260327766184</v>
      </c>
      <c r="C1130" s="14">
        <v>4</v>
      </c>
      <c r="D1130" s="86">
        <v>0.33807302967087327</v>
      </c>
      <c r="E1130" s="86"/>
      <c r="F1130" s="14"/>
    </row>
    <row r="1131" spans="1:6" x14ac:dyDescent="0.25">
      <c r="A1131" s="86">
        <v>1130</v>
      </c>
      <c r="B1131" s="87">
        <v>48.747210707340855</v>
      </c>
      <c r="C1131" s="14">
        <v>5</v>
      </c>
      <c r="D1131" s="86">
        <v>0.80920114897258133</v>
      </c>
      <c r="E1131" s="86"/>
      <c r="F1131" s="14"/>
    </row>
    <row r="1132" spans="1:6" x14ac:dyDescent="0.25">
      <c r="A1132" s="86">
        <v>1131</v>
      </c>
      <c r="B1132" s="87">
        <v>49.431923793570604</v>
      </c>
      <c r="C1132" s="14">
        <v>1</v>
      </c>
      <c r="D1132" s="86">
        <v>0.23332005833961433</v>
      </c>
      <c r="E1132" s="86"/>
      <c r="F1132" s="14"/>
    </row>
    <row r="1133" spans="1:6" x14ac:dyDescent="0.25">
      <c r="A1133" s="86">
        <v>1132</v>
      </c>
      <c r="B1133" s="87">
        <v>45.796582521114033</v>
      </c>
      <c r="C1133" s="14">
        <v>4</v>
      </c>
      <c r="D1133" s="86">
        <v>0.65759041378953975</v>
      </c>
      <c r="E1133" s="86"/>
      <c r="F1133" s="14"/>
    </row>
    <row r="1134" spans="1:6" x14ac:dyDescent="0.25">
      <c r="A1134" s="86">
        <v>1133</v>
      </c>
      <c r="B1134" s="87">
        <v>51.22035417513689</v>
      </c>
      <c r="C1134" s="14">
        <v>4</v>
      </c>
      <c r="D1134" s="86">
        <v>0.86237391437639033</v>
      </c>
      <c r="E1134" s="86"/>
      <c r="F1134" s="14"/>
    </row>
    <row r="1135" spans="1:6" x14ac:dyDescent="0.25">
      <c r="A1135" s="86">
        <v>1134</v>
      </c>
      <c r="B1135" s="87">
        <v>45.675744781299727</v>
      </c>
      <c r="C1135" s="14">
        <v>5</v>
      </c>
      <c r="D1135" s="86">
        <v>0.63089469415407418</v>
      </c>
      <c r="E1135" s="86"/>
      <c r="F1135" s="14"/>
    </row>
    <row r="1136" spans="1:6" x14ac:dyDescent="0.25">
      <c r="A1136" s="86">
        <v>1135</v>
      </c>
      <c r="B1136" s="87">
        <v>36.421863564435625</v>
      </c>
      <c r="C1136" s="14">
        <v>1</v>
      </c>
      <c r="D1136" s="86">
        <v>2.5857260142859384E-2</v>
      </c>
      <c r="E1136" s="86"/>
      <c r="F1136" s="14"/>
    </row>
    <row r="1137" spans="1:6" x14ac:dyDescent="0.25">
      <c r="A1137" s="86">
        <v>1136</v>
      </c>
      <c r="B1137" s="87">
        <v>40.443995880530565</v>
      </c>
      <c r="C1137" s="14">
        <v>3</v>
      </c>
      <c r="D1137" s="86">
        <v>6.1070147825785903E-2</v>
      </c>
      <c r="E1137" s="86"/>
      <c r="F1137" s="14"/>
    </row>
    <row r="1138" spans="1:6" x14ac:dyDescent="0.25">
      <c r="A1138" s="86">
        <v>1137</v>
      </c>
      <c r="B1138" s="87">
        <v>32.25004547345452</v>
      </c>
      <c r="C1138" s="14">
        <v>4</v>
      </c>
      <c r="D1138" s="86">
        <v>0.54017237292647857</v>
      </c>
      <c r="E1138" s="86"/>
      <c r="F1138" s="14"/>
    </row>
    <row r="1139" spans="1:6" x14ac:dyDescent="0.25">
      <c r="A1139" s="86">
        <v>1138</v>
      </c>
      <c r="B1139" s="87">
        <v>49.163895704958122</v>
      </c>
      <c r="C1139" s="14">
        <v>4</v>
      </c>
      <c r="D1139" s="86">
        <v>0.83476735081174802</v>
      </c>
      <c r="E1139" s="86"/>
      <c r="F1139" s="14"/>
    </row>
    <row r="1140" spans="1:6" x14ac:dyDescent="0.25">
      <c r="A1140" s="86">
        <v>1139</v>
      </c>
      <c r="B1140" s="87">
        <v>44.639796209929045</v>
      </c>
      <c r="C1140" s="14">
        <v>5</v>
      </c>
      <c r="D1140" s="86">
        <v>0.37344596833518784</v>
      </c>
      <c r="E1140" s="86"/>
      <c r="F1140" s="14"/>
    </row>
    <row r="1141" spans="1:6" x14ac:dyDescent="0.25">
      <c r="A1141" s="86">
        <v>1140</v>
      </c>
      <c r="B1141" s="87">
        <v>45.003645249715191</v>
      </c>
      <c r="C1141" s="14">
        <v>5</v>
      </c>
      <c r="D1141" s="86">
        <v>0.65881634940382661</v>
      </c>
      <c r="E1141" s="86"/>
      <c r="F1141" s="14"/>
    </row>
    <row r="1142" spans="1:6" x14ac:dyDescent="0.25">
      <c r="A1142" s="86">
        <v>1141</v>
      </c>
      <c r="B1142" s="87">
        <v>41.308044268924277</v>
      </c>
      <c r="C1142" s="14">
        <v>2</v>
      </c>
      <c r="D1142" s="86">
        <v>0.68197297334387008</v>
      </c>
      <c r="E1142" s="86"/>
      <c r="F1142" s="14"/>
    </row>
    <row r="1143" spans="1:6" x14ac:dyDescent="0.25">
      <c r="A1143" s="86">
        <v>1142</v>
      </c>
      <c r="B1143" s="87">
        <v>47.545552201307146</v>
      </c>
      <c r="C1143" s="14">
        <v>1</v>
      </c>
      <c r="D1143" s="86">
        <v>0.92789321083533594</v>
      </c>
      <c r="E1143" s="86"/>
      <c r="F1143" s="14"/>
    </row>
    <row r="1144" spans="1:6" x14ac:dyDescent="0.25">
      <c r="A1144" s="86">
        <v>1143</v>
      </c>
      <c r="B1144" s="87">
        <v>40.490090208884794</v>
      </c>
      <c r="C1144" s="14">
        <v>5</v>
      </c>
      <c r="D1144" s="86">
        <v>0.50105408952415431</v>
      </c>
      <c r="E1144" s="86"/>
      <c r="F1144" s="14"/>
    </row>
    <row r="1145" spans="1:6" x14ac:dyDescent="0.25">
      <c r="A1145" s="86">
        <v>1144</v>
      </c>
      <c r="B1145" s="87">
        <v>31.426588970469311</v>
      </c>
      <c r="C1145" s="14">
        <v>2</v>
      </c>
      <c r="D1145" s="86">
        <v>0.78240893271010492</v>
      </c>
      <c r="E1145" s="86"/>
      <c r="F1145" s="14"/>
    </row>
    <row r="1146" spans="1:6" x14ac:dyDescent="0.25">
      <c r="A1146" s="86">
        <v>1145</v>
      </c>
      <c r="B1146" s="87">
        <v>47.202331638225587</v>
      </c>
      <c r="C1146" s="14">
        <v>5</v>
      </c>
      <c r="D1146" s="86">
        <v>0.11662302289655058</v>
      </c>
      <c r="E1146" s="86"/>
      <c r="F1146" s="14"/>
    </row>
    <row r="1147" spans="1:6" x14ac:dyDescent="0.25">
      <c r="A1147" s="86">
        <v>1146</v>
      </c>
      <c r="B1147" s="87">
        <v>31.761737768072635</v>
      </c>
      <c r="C1147" s="14">
        <v>4</v>
      </c>
      <c r="D1147" s="86">
        <v>0.29324607553546878</v>
      </c>
      <c r="E1147" s="86"/>
      <c r="F1147" s="14"/>
    </row>
    <row r="1148" spans="1:6" x14ac:dyDescent="0.25">
      <c r="A1148" s="86">
        <v>1147</v>
      </c>
      <c r="B1148" s="87">
        <v>40.650644445457147</v>
      </c>
      <c r="C1148" s="14">
        <v>1</v>
      </c>
      <c r="D1148" s="86">
        <v>0.99163120677229544</v>
      </c>
      <c r="E1148" s="86"/>
      <c r="F1148" s="14"/>
    </row>
    <row r="1149" spans="1:6" x14ac:dyDescent="0.25">
      <c r="A1149" s="86">
        <v>1148</v>
      </c>
      <c r="B1149" s="87">
        <v>29.256079864688218</v>
      </c>
      <c r="C1149" s="14">
        <v>5</v>
      </c>
      <c r="D1149" s="86">
        <v>0.60857036588129276</v>
      </c>
      <c r="E1149" s="86"/>
      <c r="F1149" s="14"/>
    </row>
    <row r="1150" spans="1:6" x14ac:dyDescent="0.25">
      <c r="A1150" s="86">
        <v>1149</v>
      </c>
      <c r="B1150" s="87">
        <v>40.680077967743273</v>
      </c>
      <c r="C1150" s="14">
        <v>4</v>
      </c>
      <c r="D1150" s="86">
        <v>8.7366138138539995E-2</v>
      </c>
      <c r="E1150" s="86"/>
      <c r="F1150" s="14"/>
    </row>
    <row r="1151" spans="1:6" x14ac:dyDescent="0.25">
      <c r="A1151" s="86">
        <v>1150</v>
      </c>
      <c r="B1151" s="87">
        <v>38.931216290045995</v>
      </c>
      <c r="C1151" s="14">
        <v>2</v>
      </c>
      <c r="D1151" s="86">
        <v>0.41292285040157384</v>
      </c>
      <c r="E1151" s="86"/>
      <c r="F1151" s="14"/>
    </row>
    <row r="1152" spans="1:6" x14ac:dyDescent="0.25">
      <c r="A1152" s="86">
        <v>1151</v>
      </c>
      <c r="B1152" s="87">
        <v>45.221122485934757</v>
      </c>
      <c r="C1152" s="14">
        <v>2</v>
      </c>
      <c r="D1152" s="86">
        <v>0.54919244475585649</v>
      </c>
      <c r="E1152" s="86"/>
      <c r="F1152" s="14"/>
    </row>
    <row r="1153" spans="1:6" x14ac:dyDescent="0.25">
      <c r="A1153" s="86">
        <v>1152</v>
      </c>
      <c r="B1153" s="87">
        <v>42.584326815238455</v>
      </c>
      <c r="C1153" s="14">
        <v>5</v>
      </c>
      <c r="D1153" s="86">
        <v>0.89039462868551644</v>
      </c>
      <c r="E1153" s="86"/>
      <c r="F1153" s="14"/>
    </row>
    <row r="1154" spans="1:6" x14ac:dyDescent="0.25">
      <c r="A1154" s="86">
        <v>1153</v>
      </c>
      <c r="B1154" s="87">
        <v>41.122143551881891</v>
      </c>
      <c r="C1154" s="14">
        <v>2</v>
      </c>
      <c r="D1154" s="86">
        <v>0.79041118791002618</v>
      </c>
      <c r="E1154" s="86"/>
      <c r="F1154" s="14"/>
    </row>
    <row r="1155" spans="1:6" x14ac:dyDescent="0.25">
      <c r="A1155" s="86">
        <v>1154</v>
      </c>
      <c r="B1155" s="87">
        <v>48.888716714252951</v>
      </c>
      <c r="C1155" s="14">
        <v>4</v>
      </c>
      <c r="D1155" s="86">
        <v>0.21076679818014676</v>
      </c>
      <c r="E1155" s="86"/>
      <c r="F1155" s="14"/>
    </row>
    <row r="1156" spans="1:6" x14ac:dyDescent="0.25">
      <c r="A1156" s="86">
        <v>1155</v>
      </c>
      <c r="B1156" s="87">
        <v>39.173607996752253</v>
      </c>
      <c r="C1156" s="14">
        <v>2</v>
      </c>
      <c r="D1156" s="86">
        <v>0.78717621902312829</v>
      </c>
      <c r="E1156" s="86"/>
      <c r="F1156" s="14"/>
    </row>
    <row r="1157" spans="1:6" x14ac:dyDescent="0.25">
      <c r="A1157" s="86">
        <v>1156</v>
      </c>
      <c r="B1157" s="87">
        <v>42.738446376795764</v>
      </c>
      <c r="C1157" s="14">
        <v>1</v>
      </c>
      <c r="D1157" s="86">
        <v>8.0035794542772765E-2</v>
      </c>
      <c r="E1157" s="86"/>
      <c r="F1157" s="14"/>
    </row>
    <row r="1158" spans="1:6" x14ac:dyDescent="0.25">
      <c r="A1158" s="86">
        <v>1157</v>
      </c>
      <c r="B1158" s="87">
        <v>39.10506620228989</v>
      </c>
      <c r="C1158" s="14">
        <v>1</v>
      </c>
      <c r="D1158" s="86">
        <v>0.67366906364471557</v>
      </c>
      <c r="E1158" s="86"/>
      <c r="F1158" s="14"/>
    </row>
    <row r="1159" spans="1:6" x14ac:dyDescent="0.25">
      <c r="A1159" s="86">
        <v>1158</v>
      </c>
      <c r="B1159" s="87">
        <v>49.589061740669422</v>
      </c>
      <c r="C1159" s="14">
        <v>2</v>
      </c>
      <c r="D1159" s="86">
        <v>0.26347584371248534</v>
      </c>
      <c r="E1159" s="86"/>
      <c r="F1159" s="14"/>
    </row>
    <row r="1160" spans="1:6" x14ac:dyDescent="0.25">
      <c r="A1160" s="86">
        <v>1159</v>
      </c>
      <c r="B1160" s="87">
        <v>40.688166786247166</v>
      </c>
      <c r="C1160" s="14">
        <v>4</v>
      </c>
      <c r="D1160" s="86">
        <v>0.25542465425063698</v>
      </c>
      <c r="E1160" s="86"/>
      <c r="F1160" s="14"/>
    </row>
    <row r="1161" spans="1:6" x14ac:dyDescent="0.25">
      <c r="A1161" s="86">
        <v>1160</v>
      </c>
      <c r="B1161" s="87">
        <v>43.619883167018997</v>
      </c>
      <c r="C1161" s="14">
        <v>2</v>
      </c>
      <c r="D1161" s="86">
        <v>0.17552721382923231</v>
      </c>
      <c r="E1161" s="86"/>
      <c r="F1161" s="14"/>
    </row>
    <row r="1162" spans="1:6" x14ac:dyDescent="0.25">
      <c r="A1162" s="86">
        <v>1161</v>
      </c>
      <c r="B1162" s="87">
        <v>38.736914115695981</v>
      </c>
      <c r="C1162" s="14">
        <v>5</v>
      </c>
      <c r="D1162" s="86">
        <v>0.99820223715169809</v>
      </c>
      <c r="E1162" s="86"/>
      <c r="F1162" s="14"/>
    </row>
    <row r="1163" spans="1:6" x14ac:dyDescent="0.25">
      <c r="A1163" s="86">
        <v>1162</v>
      </c>
      <c r="B1163" s="87">
        <v>43.054126303439261</v>
      </c>
      <c r="C1163" s="14">
        <v>5</v>
      </c>
      <c r="D1163" s="86">
        <v>0.77100230709474882</v>
      </c>
      <c r="E1163" s="86"/>
      <c r="F1163" s="14"/>
    </row>
    <row r="1164" spans="1:6" x14ac:dyDescent="0.25">
      <c r="A1164" s="86">
        <v>1163</v>
      </c>
      <c r="B1164" s="87">
        <v>44.425701157131698</v>
      </c>
      <c r="C1164" s="14">
        <v>4</v>
      </c>
      <c r="D1164" s="86">
        <v>0.1274806705918321</v>
      </c>
      <c r="E1164" s="86"/>
      <c r="F1164" s="14"/>
    </row>
    <row r="1165" spans="1:6" x14ac:dyDescent="0.25">
      <c r="A1165" s="86">
        <v>1164</v>
      </c>
      <c r="B1165" s="87">
        <v>41.15617002241197</v>
      </c>
      <c r="C1165" s="14">
        <v>1</v>
      </c>
      <c r="D1165" s="86">
        <v>0.56145180183993726</v>
      </c>
      <c r="E1165" s="86"/>
      <c r="F1165" s="14"/>
    </row>
    <row r="1166" spans="1:6" x14ac:dyDescent="0.25">
      <c r="A1166" s="86">
        <v>1165</v>
      </c>
      <c r="B1166" s="87">
        <v>51.138704288285226</v>
      </c>
      <c r="C1166" s="14">
        <v>3</v>
      </c>
      <c r="D1166" s="86">
        <v>0.52655889177454396</v>
      </c>
      <c r="E1166" s="86"/>
      <c r="F1166" s="14"/>
    </row>
    <row r="1167" spans="1:6" x14ac:dyDescent="0.25">
      <c r="A1167" s="86">
        <v>1166</v>
      </c>
      <c r="B1167" s="87">
        <v>37.128086200362304</v>
      </c>
      <c r="C1167" s="14">
        <v>2</v>
      </c>
      <c r="D1167" s="86">
        <v>0.10297974804242782</v>
      </c>
      <c r="E1167" s="86"/>
      <c r="F1167" s="14"/>
    </row>
    <row r="1168" spans="1:6" x14ac:dyDescent="0.25">
      <c r="A1168" s="86">
        <v>1167</v>
      </c>
      <c r="B1168" s="87">
        <v>28.390604706481099</v>
      </c>
      <c r="C1168" s="14">
        <v>2</v>
      </c>
      <c r="D1168" s="86">
        <v>0.18315272956054829</v>
      </c>
      <c r="E1168" s="86"/>
      <c r="F1168" s="14"/>
    </row>
    <row r="1169" spans="1:6" x14ac:dyDescent="0.25">
      <c r="A1169" s="86">
        <v>1168</v>
      </c>
      <c r="B1169" s="87">
        <v>50.75473836256424</v>
      </c>
      <c r="C1169" s="14">
        <v>4</v>
      </c>
      <c r="D1169" s="86">
        <v>0.96969085654488374</v>
      </c>
      <c r="E1169" s="86"/>
      <c r="F1169" s="14"/>
    </row>
    <row r="1170" spans="1:6" x14ac:dyDescent="0.25">
      <c r="A1170" s="86">
        <v>1169</v>
      </c>
      <c r="B1170" s="87">
        <v>43.674265265843133</v>
      </c>
      <c r="C1170" s="14">
        <v>5</v>
      </c>
      <c r="D1170" s="86">
        <v>0.37630211273531133</v>
      </c>
      <c r="E1170" s="86"/>
      <c r="F1170" s="14"/>
    </row>
    <row r="1171" spans="1:6" x14ac:dyDescent="0.25">
      <c r="A1171" s="86">
        <v>1170</v>
      </c>
      <c r="B1171" s="87">
        <v>41.77240952628199</v>
      </c>
      <c r="C1171" s="14">
        <v>4</v>
      </c>
      <c r="D1171" s="86">
        <v>0.29678638143730673</v>
      </c>
      <c r="E1171" s="86"/>
      <c r="F1171" s="14"/>
    </row>
    <row r="1172" spans="1:6" x14ac:dyDescent="0.25">
      <c r="A1172" s="86">
        <v>1171</v>
      </c>
      <c r="B1172" s="87">
        <v>41.172125970086199</v>
      </c>
      <c r="C1172" s="14">
        <v>4</v>
      </c>
      <c r="D1172" s="86">
        <v>0.21493151691448298</v>
      </c>
      <c r="E1172" s="86"/>
      <c r="F1172" s="14"/>
    </row>
    <row r="1173" spans="1:6" x14ac:dyDescent="0.25">
      <c r="A1173" s="86">
        <v>1172</v>
      </c>
      <c r="B1173" s="87">
        <v>46.435013695707312</v>
      </c>
      <c r="C1173" s="14">
        <v>4</v>
      </c>
      <c r="D1173" s="86">
        <v>0.17816737798933058</v>
      </c>
      <c r="E1173" s="86"/>
      <c r="F1173" s="14"/>
    </row>
    <row r="1174" spans="1:6" x14ac:dyDescent="0.25">
      <c r="A1174" s="86">
        <v>1173</v>
      </c>
      <c r="B1174" s="87">
        <v>53.761505109257996</v>
      </c>
      <c r="C1174" s="14">
        <v>2</v>
      </c>
      <c r="D1174" s="86">
        <v>0.6227400041588308</v>
      </c>
      <c r="E1174" s="86"/>
      <c r="F1174" s="14"/>
    </row>
    <row r="1175" spans="1:6" x14ac:dyDescent="0.25">
      <c r="A1175" s="86">
        <v>1174</v>
      </c>
      <c r="B1175" s="87">
        <v>50.631069820490666</v>
      </c>
      <c r="C1175" s="14">
        <v>2</v>
      </c>
      <c r="D1175" s="86">
        <v>0.85435840271225205</v>
      </c>
      <c r="E1175" s="86"/>
      <c r="F1175" s="14"/>
    </row>
    <row r="1176" spans="1:6" x14ac:dyDescent="0.25">
      <c r="A1176" s="86">
        <v>1175</v>
      </c>
      <c r="B1176" s="87">
        <v>50.723065209574997</v>
      </c>
      <c r="C1176" s="14">
        <v>2</v>
      </c>
      <c r="D1176" s="86">
        <v>0.75094816407439757</v>
      </c>
      <c r="E1176" s="86"/>
      <c r="F1176" s="14"/>
    </row>
    <row r="1177" spans="1:6" x14ac:dyDescent="0.25">
      <c r="A1177" s="86">
        <v>1176</v>
      </c>
      <c r="B1177" s="87">
        <v>42.867065980652114</v>
      </c>
      <c r="C1177" s="14">
        <v>5</v>
      </c>
      <c r="D1177" s="86">
        <v>0.33156038564672397</v>
      </c>
      <c r="E1177" s="86"/>
      <c r="F1177" s="14"/>
    </row>
    <row r="1178" spans="1:6" x14ac:dyDescent="0.25">
      <c r="A1178" s="86">
        <v>1177</v>
      </c>
      <c r="B1178" s="87">
        <v>39.822498360415921</v>
      </c>
      <c r="C1178" s="14">
        <v>1</v>
      </c>
      <c r="D1178" s="86">
        <v>9.8852293875680841E-3</v>
      </c>
      <c r="E1178" s="86"/>
      <c r="F1178" s="14"/>
    </row>
    <row r="1179" spans="1:6" x14ac:dyDescent="0.25">
      <c r="A1179" s="86">
        <v>1178</v>
      </c>
      <c r="B1179" s="87">
        <v>48.78962726649479</v>
      </c>
      <c r="C1179" s="14">
        <v>4</v>
      </c>
      <c r="D1179" s="86">
        <v>0.50033120628795058</v>
      </c>
      <c r="E1179" s="86"/>
      <c r="F1179" s="14"/>
    </row>
    <row r="1180" spans="1:6" x14ac:dyDescent="0.25">
      <c r="A1180" s="86">
        <v>1179</v>
      </c>
      <c r="B1180" s="87">
        <v>36.834467204578687</v>
      </c>
      <c r="C1180" s="14">
        <v>5</v>
      </c>
      <c r="D1180" s="86">
        <v>0.46018613356506222</v>
      </c>
      <c r="E1180" s="86"/>
      <c r="F1180" s="14"/>
    </row>
    <row r="1181" spans="1:6" x14ac:dyDescent="0.25">
      <c r="A1181" s="86">
        <v>1180</v>
      </c>
      <c r="B1181" s="87">
        <v>35.469133758277167</v>
      </c>
      <c r="C1181" s="14">
        <v>2</v>
      </c>
      <c r="D1181" s="86">
        <v>0.54811924379265853</v>
      </c>
      <c r="E1181" s="86"/>
      <c r="F1181" s="14"/>
    </row>
    <row r="1182" spans="1:6" x14ac:dyDescent="0.25">
      <c r="A1182" s="86">
        <v>1181</v>
      </c>
      <c r="B1182" s="87">
        <v>36.675089626776753</v>
      </c>
      <c r="C1182" s="14">
        <v>1</v>
      </c>
      <c r="D1182" s="86">
        <v>0.65020082435547455</v>
      </c>
      <c r="E1182" s="86"/>
      <c r="F1182" s="14"/>
    </row>
    <row r="1183" spans="1:6" x14ac:dyDescent="0.25">
      <c r="A1183" s="86">
        <v>1182</v>
      </c>
      <c r="B1183" s="87">
        <v>37.907932432397502</v>
      </c>
      <c r="C1183" s="14">
        <v>4</v>
      </c>
      <c r="D1183" s="86">
        <v>0.9648867074111106</v>
      </c>
      <c r="E1183" s="86"/>
      <c r="F1183" s="14"/>
    </row>
    <row r="1184" spans="1:6" x14ac:dyDescent="0.25">
      <c r="A1184" s="86">
        <v>1183</v>
      </c>
      <c r="B1184" s="87">
        <v>41.068676632101415</v>
      </c>
      <c r="C1184" s="14">
        <v>2</v>
      </c>
      <c r="D1184" s="86">
        <v>0.28755949781547241</v>
      </c>
      <c r="E1184" s="86"/>
      <c r="F1184" s="14"/>
    </row>
    <row r="1185" spans="1:6" x14ac:dyDescent="0.25">
      <c r="A1185" s="86">
        <v>1184</v>
      </c>
      <c r="B1185" s="87">
        <v>45.754200068011414</v>
      </c>
      <c r="C1185" s="14">
        <v>2</v>
      </c>
      <c r="D1185" s="86">
        <v>0.74737236462213974</v>
      </c>
      <c r="E1185" s="86"/>
      <c r="F1185" s="14"/>
    </row>
    <row r="1186" spans="1:6" x14ac:dyDescent="0.25">
      <c r="A1186" s="86">
        <v>1185</v>
      </c>
      <c r="B1186" s="87">
        <v>40.557546294046915</v>
      </c>
      <c r="C1186" s="14">
        <v>5</v>
      </c>
      <c r="D1186" s="86">
        <v>0.11547824495647718</v>
      </c>
      <c r="E1186" s="86"/>
      <c r="F1186" s="14"/>
    </row>
    <row r="1187" spans="1:6" x14ac:dyDescent="0.25">
      <c r="A1187" s="86">
        <v>1186</v>
      </c>
      <c r="B1187" s="87">
        <v>41.726627836731495</v>
      </c>
      <c r="C1187" s="14">
        <v>2</v>
      </c>
      <c r="D1187" s="86">
        <v>0.68309807120814781</v>
      </c>
      <c r="E1187" s="86"/>
      <c r="F1187" s="14"/>
    </row>
    <row r="1188" spans="1:6" x14ac:dyDescent="0.25">
      <c r="A1188" s="86">
        <v>1187</v>
      </c>
      <c r="B1188" s="87">
        <v>37.078245890705148</v>
      </c>
      <c r="C1188" s="14">
        <v>2</v>
      </c>
      <c r="D1188" s="86">
        <v>0.88907677722547163</v>
      </c>
      <c r="E1188" s="86"/>
      <c r="F1188" s="14"/>
    </row>
    <row r="1189" spans="1:6" x14ac:dyDescent="0.25">
      <c r="A1189" s="86">
        <v>1188</v>
      </c>
      <c r="B1189" s="87">
        <v>43.127192834042944</v>
      </c>
      <c r="C1189" s="14">
        <v>4</v>
      </c>
      <c r="D1189" s="86">
        <v>0.62511566674760022</v>
      </c>
      <c r="E1189" s="86"/>
      <c r="F1189" s="14"/>
    </row>
    <row r="1190" spans="1:6" x14ac:dyDescent="0.25">
      <c r="A1190" s="86">
        <v>1189</v>
      </c>
      <c r="B1190" s="87">
        <v>46.107140855718171</v>
      </c>
      <c r="C1190" s="14">
        <v>4</v>
      </c>
      <c r="D1190" s="86">
        <v>0.25288585384817397</v>
      </c>
      <c r="E1190" s="86"/>
      <c r="F1190" s="14"/>
    </row>
    <row r="1191" spans="1:6" x14ac:dyDescent="0.25">
      <c r="A1191" s="86">
        <v>1190</v>
      </c>
      <c r="B1191" s="87">
        <v>39.488054421206471</v>
      </c>
      <c r="C1191" s="14">
        <v>4</v>
      </c>
      <c r="D1191" s="86">
        <v>4.704594142509011E-3</v>
      </c>
      <c r="E1191" s="86"/>
      <c r="F1191" s="14"/>
    </row>
    <row r="1192" spans="1:6" x14ac:dyDescent="0.25">
      <c r="A1192" s="86">
        <v>1191</v>
      </c>
      <c r="B1192" s="87">
        <v>43.867424887474044</v>
      </c>
      <c r="C1192" s="14">
        <v>2</v>
      </c>
      <c r="D1192" s="86">
        <v>0.34996582682495259</v>
      </c>
      <c r="E1192" s="86"/>
      <c r="F1192" s="14"/>
    </row>
    <row r="1193" spans="1:6" x14ac:dyDescent="0.25">
      <c r="A1193" s="86">
        <v>1192</v>
      </c>
      <c r="B1193" s="87">
        <v>41.479222540481715</v>
      </c>
      <c r="C1193" s="14">
        <v>2</v>
      </c>
      <c r="D1193" s="86">
        <v>0.88637081747807511</v>
      </c>
      <c r="E1193" s="86"/>
      <c r="F1193" s="14"/>
    </row>
    <row r="1194" spans="1:6" x14ac:dyDescent="0.25">
      <c r="A1194" s="86">
        <v>1193</v>
      </c>
      <c r="B1194" s="87">
        <v>29.187867762055248</v>
      </c>
      <c r="C1194" s="14">
        <v>2</v>
      </c>
      <c r="D1194" s="86">
        <v>0.19251878025899538</v>
      </c>
      <c r="E1194" s="86"/>
      <c r="F1194" s="14"/>
    </row>
    <row r="1195" spans="1:6" x14ac:dyDescent="0.25">
      <c r="A1195" s="86">
        <v>1194</v>
      </c>
      <c r="B1195" s="87">
        <v>37.6227603686566</v>
      </c>
      <c r="C1195" s="14">
        <v>5</v>
      </c>
      <c r="D1195" s="86">
        <v>0.42107360031732055</v>
      </c>
      <c r="E1195" s="86"/>
      <c r="F1195" s="14"/>
    </row>
    <row r="1196" spans="1:6" x14ac:dyDescent="0.25">
      <c r="A1196" s="86">
        <v>1195</v>
      </c>
      <c r="B1196" s="87">
        <v>45.320348357898183</v>
      </c>
      <c r="C1196" s="14">
        <v>1</v>
      </c>
      <c r="D1196" s="86">
        <v>0.76530331873723878</v>
      </c>
      <c r="E1196" s="86"/>
      <c r="F1196" s="14"/>
    </row>
    <row r="1197" spans="1:6" x14ac:dyDescent="0.25">
      <c r="A1197" s="86">
        <v>1196</v>
      </c>
      <c r="B1197" s="87">
        <v>47.283469934307504</v>
      </c>
      <c r="C1197" s="14">
        <v>3</v>
      </c>
      <c r="D1197" s="86">
        <v>0.99858146005864701</v>
      </c>
      <c r="E1197" s="86"/>
      <c r="F1197" s="14"/>
    </row>
    <row r="1198" spans="1:6" x14ac:dyDescent="0.25">
      <c r="A1198" s="86">
        <v>1197</v>
      </c>
      <c r="B1198" s="87">
        <v>50.277844815689605</v>
      </c>
      <c r="C1198" s="14">
        <v>4</v>
      </c>
      <c r="D1198" s="86">
        <v>5.7511962975497988E-2</v>
      </c>
      <c r="E1198" s="86"/>
      <c r="F1198" s="14"/>
    </row>
    <row r="1199" spans="1:6" x14ac:dyDescent="0.25">
      <c r="A1199" s="86">
        <v>1198</v>
      </c>
      <c r="B1199" s="87">
        <v>41.946327650628518</v>
      </c>
      <c r="C1199" s="14">
        <v>3</v>
      </c>
      <c r="D1199" s="86">
        <v>0.26781531643886913</v>
      </c>
      <c r="E1199" s="86"/>
      <c r="F1199" s="14"/>
    </row>
    <row r="1200" spans="1:6" x14ac:dyDescent="0.25">
      <c r="A1200" s="86">
        <v>1199</v>
      </c>
      <c r="B1200" s="87">
        <v>47.253183760738466</v>
      </c>
      <c r="C1200" s="14">
        <v>2</v>
      </c>
      <c r="D1200" s="86">
        <v>0.25107012556673169</v>
      </c>
      <c r="E1200" s="86"/>
      <c r="F1200" s="14"/>
    </row>
    <row r="1201" spans="1:6" x14ac:dyDescent="0.25">
      <c r="A1201" s="86">
        <v>1200</v>
      </c>
      <c r="B1201" s="87">
        <v>40.310123944771476</v>
      </c>
      <c r="C1201" s="14">
        <v>5</v>
      </c>
      <c r="D1201" s="86">
        <v>0.1486714561149417</v>
      </c>
      <c r="E1201" s="86"/>
      <c r="F1201" s="14"/>
    </row>
    <row r="1202" spans="1:6" x14ac:dyDescent="0.25">
      <c r="A1202" s="86">
        <v>1201</v>
      </c>
      <c r="B1202" s="87">
        <v>46.030481821042486</v>
      </c>
      <c r="C1202" s="14">
        <v>2</v>
      </c>
      <c r="D1202" s="86">
        <v>0.73003927013263681</v>
      </c>
      <c r="E1202" s="86"/>
      <c r="F1202" s="14"/>
    </row>
    <row r="1203" spans="1:6" x14ac:dyDescent="0.25">
      <c r="A1203" s="86">
        <v>1202</v>
      </c>
      <c r="B1203" s="87">
        <v>44.39068561111344</v>
      </c>
      <c r="C1203" s="14">
        <v>4</v>
      </c>
      <c r="D1203" s="86">
        <v>0.95099714971618265</v>
      </c>
      <c r="E1203" s="86"/>
      <c r="F1203" s="14"/>
    </row>
    <row r="1204" spans="1:6" x14ac:dyDescent="0.25">
      <c r="A1204" s="86">
        <v>1203</v>
      </c>
      <c r="B1204" s="87">
        <v>38.642633621173445</v>
      </c>
      <c r="C1204" s="14">
        <v>4</v>
      </c>
      <c r="D1204" s="86">
        <v>0.97955592573470096</v>
      </c>
      <c r="E1204" s="86"/>
      <c r="F1204" s="14"/>
    </row>
    <row r="1205" spans="1:6" x14ac:dyDescent="0.25">
      <c r="A1205" s="86">
        <v>1204</v>
      </c>
      <c r="B1205" s="87">
        <v>52.194832273351494</v>
      </c>
      <c r="C1205" s="14">
        <v>2</v>
      </c>
      <c r="D1205" s="86">
        <v>0.82428625978484504</v>
      </c>
      <c r="E1205" s="86"/>
      <c r="F1205" s="14"/>
    </row>
    <row r="1206" spans="1:6" x14ac:dyDescent="0.25">
      <c r="A1206" s="86">
        <v>1205</v>
      </c>
      <c r="B1206" s="87">
        <v>51.855613486957736</v>
      </c>
      <c r="C1206" s="14">
        <v>4</v>
      </c>
      <c r="D1206" s="86">
        <v>0.77901044993848623</v>
      </c>
      <c r="E1206" s="86"/>
      <c r="F1206" s="14"/>
    </row>
    <row r="1207" spans="1:6" x14ac:dyDescent="0.25">
      <c r="A1207" s="86">
        <v>1206</v>
      </c>
      <c r="B1207" s="87">
        <v>48.343270004232181</v>
      </c>
      <c r="C1207" s="14">
        <v>5</v>
      </c>
      <c r="D1207" s="86">
        <v>0.54192672958188282</v>
      </c>
      <c r="E1207" s="86"/>
      <c r="F1207" s="14"/>
    </row>
    <row r="1208" spans="1:6" x14ac:dyDescent="0.25">
      <c r="A1208" s="86">
        <v>1207</v>
      </c>
      <c r="B1208" s="87">
        <v>43.092376239990699</v>
      </c>
      <c r="C1208" s="14">
        <v>4</v>
      </c>
      <c r="D1208" s="86">
        <v>0.44526431705601044</v>
      </c>
      <c r="E1208" s="86"/>
      <c r="F1208" s="14"/>
    </row>
    <row r="1209" spans="1:6" x14ac:dyDescent="0.25">
      <c r="A1209" s="86">
        <v>1208</v>
      </c>
      <c r="B1209" s="87">
        <v>37.082872945000418</v>
      </c>
      <c r="C1209" s="14">
        <v>4</v>
      </c>
      <c r="D1209" s="86">
        <v>0.70757074751234506</v>
      </c>
      <c r="E1209" s="86"/>
      <c r="F1209" s="14"/>
    </row>
    <row r="1210" spans="1:6" x14ac:dyDescent="0.25">
      <c r="A1210" s="86">
        <v>1209</v>
      </c>
      <c r="B1210" s="87">
        <v>41.566727299476042</v>
      </c>
      <c r="C1210" s="14">
        <v>5</v>
      </c>
      <c r="D1210" s="86">
        <v>0.98665610506353685</v>
      </c>
      <c r="E1210" s="86"/>
      <c r="F1210" s="14"/>
    </row>
    <row r="1211" spans="1:6" x14ac:dyDescent="0.25">
      <c r="A1211" s="86">
        <v>1210</v>
      </c>
      <c r="B1211" s="87">
        <v>42.009600060162484</v>
      </c>
      <c r="C1211" s="14">
        <v>1</v>
      </c>
      <c r="D1211" s="86">
        <v>0.28474929497204138</v>
      </c>
      <c r="E1211" s="86"/>
      <c r="F1211" s="14"/>
    </row>
    <row r="1212" spans="1:6" x14ac:dyDescent="0.25">
      <c r="A1212" s="86">
        <v>1211</v>
      </c>
      <c r="B1212" s="87">
        <v>48.35683284397237</v>
      </c>
      <c r="C1212" s="14">
        <v>5</v>
      </c>
      <c r="D1212" s="86">
        <v>0.78221345886948068</v>
      </c>
      <c r="E1212" s="86"/>
      <c r="F1212" s="14"/>
    </row>
    <row r="1213" spans="1:6" x14ac:dyDescent="0.25">
      <c r="A1213" s="86">
        <v>1212</v>
      </c>
      <c r="B1213" s="87">
        <v>39.534893398347776</v>
      </c>
      <c r="C1213" s="14">
        <v>2</v>
      </c>
      <c r="D1213" s="86">
        <v>7.9770920210360474E-2</v>
      </c>
      <c r="E1213" s="86"/>
      <c r="F1213" s="14"/>
    </row>
    <row r="1214" spans="1:6" x14ac:dyDescent="0.25">
      <c r="A1214" s="86">
        <v>1213</v>
      </c>
      <c r="B1214" s="87">
        <v>43.714817360858433</v>
      </c>
      <c r="C1214" s="14">
        <v>3</v>
      </c>
      <c r="D1214" s="86">
        <v>6.9133590217240748E-3</v>
      </c>
      <c r="E1214" s="86"/>
      <c r="F1214" s="14"/>
    </row>
    <row r="1215" spans="1:6" x14ac:dyDescent="0.25">
      <c r="A1215" s="86">
        <v>1214</v>
      </c>
      <c r="B1215" s="87">
        <v>33.668993632425554</v>
      </c>
      <c r="C1215" s="14">
        <v>1</v>
      </c>
      <c r="D1215" s="86">
        <v>0.83874623659669545</v>
      </c>
      <c r="E1215" s="86"/>
      <c r="F1215" s="14"/>
    </row>
    <row r="1216" spans="1:6" x14ac:dyDescent="0.25">
      <c r="A1216" s="86">
        <v>1215</v>
      </c>
      <c r="B1216" s="87">
        <v>41.664895883848658</v>
      </c>
      <c r="C1216" s="14">
        <v>2</v>
      </c>
      <c r="D1216" s="86">
        <v>0.96836422505538633</v>
      </c>
      <c r="E1216" s="86"/>
      <c r="F1216" s="14"/>
    </row>
    <row r="1217" spans="1:6" x14ac:dyDescent="0.25">
      <c r="A1217" s="86">
        <v>1216</v>
      </c>
      <c r="B1217" s="87">
        <v>41.419423263840145</v>
      </c>
      <c r="C1217" s="14">
        <v>4</v>
      </c>
      <c r="D1217" s="86">
        <v>0.88670682209273077</v>
      </c>
      <c r="E1217" s="86"/>
      <c r="F1217" s="14"/>
    </row>
    <row r="1218" spans="1:6" x14ac:dyDescent="0.25">
      <c r="A1218" s="86">
        <v>1217</v>
      </c>
      <c r="B1218" s="87">
        <v>42.011936324677663</v>
      </c>
      <c r="C1218" s="14">
        <v>4</v>
      </c>
      <c r="D1218" s="86">
        <v>0.27783202278579489</v>
      </c>
      <c r="E1218" s="86"/>
      <c r="F1218" s="14"/>
    </row>
    <row r="1219" spans="1:6" x14ac:dyDescent="0.25">
      <c r="A1219" s="86">
        <v>1218</v>
      </c>
      <c r="B1219" s="87">
        <v>38.731968738255091</v>
      </c>
      <c r="C1219" s="14">
        <v>2</v>
      </c>
      <c r="D1219" s="86">
        <v>0.42709152944836781</v>
      </c>
      <c r="E1219" s="86"/>
      <c r="F1219" s="14"/>
    </row>
    <row r="1220" spans="1:6" x14ac:dyDescent="0.25">
      <c r="A1220" s="86">
        <v>1219</v>
      </c>
      <c r="B1220" s="87">
        <v>55.557211448438466</v>
      </c>
      <c r="C1220" s="14">
        <v>5</v>
      </c>
      <c r="D1220" s="86">
        <v>0.6118884393115096</v>
      </c>
      <c r="E1220" s="86"/>
      <c r="F1220" s="14"/>
    </row>
    <row r="1221" spans="1:6" x14ac:dyDescent="0.25">
      <c r="A1221" s="86">
        <v>1220</v>
      </c>
      <c r="B1221" s="87">
        <v>37.996426266880007</v>
      </c>
      <c r="C1221" s="14">
        <v>2</v>
      </c>
      <c r="D1221" s="86">
        <v>0.65850433970473787</v>
      </c>
      <c r="E1221" s="86"/>
      <c r="F1221" s="14"/>
    </row>
    <row r="1222" spans="1:6" x14ac:dyDescent="0.25">
      <c r="A1222" s="86">
        <v>1221</v>
      </c>
      <c r="B1222" s="87">
        <v>45.998831405420788</v>
      </c>
      <c r="C1222" s="14">
        <v>4</v>
      </c>
      <c r="D1222" s="86">
        <v>0.69652030968035805</v>
      </c>
      <c r="E1222" s="86"/>
      <c r="F1222" s="14"/>
    </row>
    <row r="1223" spans="1:6" x14ac:dyDescent="0.25">
      <c r="A1223" s="86">
        <v>1222</v>
      </c>
      <c r="B1223" s="87">
        <v>37.86079786947812</v>
      </c>
      <c r="C1223" s="14">
        <v>4</v>
      </c>
      <c r="D1223" s="86">
        <v>0.59659679014375933</v>
      </c>
      <c r="E1223" s="86"/>
      <c r="F1223" s="14"/>
    </row>
    <row r="1224" spans="1:6" x14ac:dyDescent="0.25">
      <c r="A1224" s="86">
        <v>1223</v>
      </c>
      <c r="B1224" s="87">
        <v>35.195216691470705</v>
      </c>
      <c r="C1224" s="14">
        <v>2</v>
      </c>
      <c r="D1224" s="86">
        <v>0.81552248523794579</v>
      </c>
      <c r="E1224" s="86"/>
      <c r="F1224" s="14"/>
    </row>
    <row r="1225" spans="1:6" x14ac:dyDescent="0.25">
      <c r="A1225" s="86">
        <v>1224</v>
      </c>
      <c r="B1225" s="87">
        <v>43.871699512572377</v>
      </c>
      <c r="C1225" s="14">
        <v>4</v>
      </c>
      <c r="D1225" s="86">
        <v>0.47569563987925645</v>
      </c>
      <c r="E1225" s="86"/>
      <c r="F1225" s="14"/>
    </row>
    <row r="1226" spans="1:6" x14ac:dyDescent="0.25">
      <c r="A1226" s="86">
        <v>1225</v>
      </c>
      <c r="B1226" s="87">
        <v>42.65682491165353</v>
      </c>
      <c r="C1226" s="14">
        <v>2</v>
      </c>
      <c r="D1226" s="86">
        <v>0.48929746456607515</v>
      </c>
      <c r="E1226" s="86"/>
      <c r="F1226" s="14"/>
    </row>
    <row r="1227" spans="1:6" x14ac:dyDescent="0.25">
      <c r="A1227" s="86">
        <v>1226</v>
      </c>
      <c r="B1227" s="87">
        <v>43.976751834969036</v>
      </c>
      <c r="C1227" s="14">
        <v>4</v>
      </c>
      <c r="D1227" s="86">
        <v>0.83383740941980955</v>
      </c>
      <c r="E1227" s="86"/>
      <c r="F1227" s="14"/>
    </row>
    <row r="1228" spans="1:6" x14ac:dyDescent="0.25">
      <c r="A1228" s="86">
        <v>1227</v>
      </c>
      <c r="B1228" s="87">
        <v>52.680388757260516</v>
      </c>
      <c r="C1228" s="14">
        <v>1</v>
      </c>
      <c r="D1228" s="86">
        <v>0.32229592368529958</v>
      </c>
      <c r="E1228" s="86"/>
      <c r="F1228" s="14"/>
    </row>
    <row r="1229" spans="1:6" x14ac:dyDescent="0.25">
      <c r="A1229" s="86">
        <v>1228</v>
      </c>
      <c r="B1229" s="87">
        <v>45.427384515613085</v>
      </c>
      <c r="C1229" s="14">
        <v>5</v>
      </c>
      <c r="D1229" s="86">
        <v>0.59743497062355833</v>
      </c>
      <c r="E1229" s="86"/>
      <c r="F1229" s="14"/>
    </row>
    <row r="1230" spans="1:6" x14ac:dyDescent="0.25">
      <c r="A1230" s="86">
        <v>1229</v>
      </c>
      <c r="B1230" s="87">
        <v>39.574661054182798</v>
      </c>
      <c r="C1230" s="14">
        <v>5</v>
      </c>
      <c r="D1230" s="86">
        <v>0.2553046129265597</v>
      </c>
      <c r="E1230" s="86"/>
      <c r="F1230" s="14"/>
    </row>
    <row r="1231" spans="1:6" x14ac:dyDescent="0.25">
      <c r="A1231" s="86">
        <v>1230</v>
      </c>
      <c r="B1231" s="87">
        <v>46.598131570470287</v>
      </c>
      <c r="C1231" s="14">
        <v>5</v>
      </c>
      <c r="D1231" s="86">
        <v>6.3708736284504908E-2</v>
      </c>
      <c r="E1231" s="86"/>
      <c r="F1231" s="14"/>
    </row>
    <row r="1232" spans="1:6" x14ac:dyDescent="0.25">
      <c r="A1232" s="86">
        <v>1231</v>
      </c>
      <c r="B1232" s="87">
        <v>39.355631992628332</v>
      </c>
      <c r="C1232" s="14">
        <v>5</v>
      </c>
      <c r="D1232" s="86">
        <v>0.29657871040441597</v>
      </c>
      <c r="E1232" s="86"/>
      <c r="F1232" s="14"/>
    </row>
    <row r="1233" spans="1:6" x14ac:dyDescent="0.25">
      <c r="A1233" s="86">
        <v>1232</v>
      </c>
      <c r="B1233" s="87">
        <v>41.890336883050622</v>
      </c>
      <c r="C1233" s="14">
        <v>4</v>
      </c>
      <c r="D1233" s="86">
        <v>1.7231253402071989E-2</v>
      </c>
      <c r="E1233" s="86"/>
      <c r="F1233" s="14"/>
    </row>
    <row r="1234" spans="1:6" x14ac:dyDescent="0.25">
      <c r="A1234" s="86">
        <v>1233</v>
      </c>
      <c r="B1234" s="87">
        <v>45.163017143175239</v>
      </c>
      <c r="C1234" s="14">
        <v>1</v>
      </c>
      <c r="D1234" s="86">
        <v>0.59733079397288991</v>
      </c>
      <c r="E1234" s="86"/>
      <c r="F1234" s="14"/>
    </row>
    <row r="1235" spans="1:6" x14ac:dyDescent="0.25">
      <c r="A1235" s="86">
        <v>1234</v>
      </c>
      <c r="B1235" s="87">
        <v>41.383191268658265</v>
      </c>
      <c r="C1235" s="14">
        <v>4</v>
      </c>
      <c r="D1235" s="86">
        <v>0.49184047001124309</v>
      </c>
      <c r="E1235" s="86"/>
      <c r="F1235" s="14"/>
    </row>
    <row r="1236" spans="1:6" x14ac:dyDescent="0.25">
      <c r="A1236" s="86">
        <v>1235</v>
      </c>
      <c r="B1236" s="87">
        <v>47.104572326468769</v>
      </c>
      <c r="C1236" s="14">
        <v>4</v>
      </c>
      <c r="D1236" s="86">
        <v>0.2343511562912588</v>
      </c>
      <c r="E1236" s="86"/>
      <c r="F1236" s="14"/>
    </row>
    <row r="1237" spans="1:6" x14ac:dyDescent="0.25">
      <c r="A1237" s="86">
        <v>1236</v>
      </c>
      <c r="B1237" s="87">
        <v>43.727573024050798</v>
      </c>
      <c r="C1237" s="14">
        <v>3</v>
      </c>
      <c r="D1237" s="86">
        <v>0.39672419352366139</v>
      </c>
      <c r="E1237" s="86"/>
      <c r="F1237" s="14"/>
    </row>
    <row r="1238" spans="1:6" x14ac:dyDescent="0.25">
      <c r="A1238" s="86">
        <v>1237</v>
      </c>
      <c r="B1238" s="87">
        <v>46.548257154761814</v>
      </c>
      <c r="C1238" s="14">
        <v>5</v>
      </c>
      <c r="D1238" s="86">
        <v>0.72278891525436861</v>
      </c>
      <c r="E1238" s="86"/>
      <c r="F1238" s="14"/>
    </row>
    <row r="1239" spans="1:6" x14ac:dyDescent="0.25">
      <c r="A1239" s="86">
        <v>1238</v>
      </c>
      <c r="B1239" s="87">
        <v>42.338081124733435</v>
      </c>
      <c r="C1239" s="14">
        <v>5</v>
      </c>
      <c r="D1239" s="86">
        <v>0.66513213821323947</v>
      </c>
      <c r="E1239" s="86"/>
      <c r="F1239" s="14"/>
    </row>
    <row r="1240" spans="1:6" x14ac:dyDescent="0.25">
      <c r="A1240" s="86">
        <v>1239</v>
      </c>
      <c r="B1240" s="87">
        <v>45.121089437423507</v>
      </c>
      <c r="C1240" s="14">
        <v>4</v>
      </c>
      <c r="D1240" s="86">
        <v>0.92978889554639832</v>
      </c>
      <c r="E1240" s="86"/>
      <c r="F1240" s="14"/>
    </row>
    <row r="1241" spans="1:6" x14ac:dyDescent="0.25">
      <c r="A1241" s="86">
        <v>1240</v>
      </c>
      <c r="B1241" s="87">
        <v>38.705479705065954</v>
      </c>
      <c r="C1241" s="14">
        <v>3</v>
      </c>
      <c r="D1241" s="86">
        <v>0.66875001618897389</v>
      </c>
      <c r="E1241" s="86"/>
      <c r="F1241" s="14"/>
    </row>
    <row r="1242" spans="1:6" x14ac:dyDescent="0.25">
      <c r="A1242" s="86">
        <v>1241</v>
      </c>
      <c r="B1242" s="87">
        <v>43.367333541362314</v>
      </c>
      <c r="C1242" s="14">
        <v>2</v>
      </c>
      <c r="D1242" s="86">
        <v>0.34873556914767012</v>
      </c>
      <c r="E1242" s="86"/>
      <c r="F1242" s="14"/>
    </row>
    <row r="1243" spans="1:6" x14ac:dyDescent="0.25">
      <c r="A1243" s="86">
        <v>1242</v>
      </c>
      <c r="B1243" s="87">
        <v>47.772266493091593</v>
      </c>
      <c r="C1243" s="14">
        <v>2</v>
      </c>
      <c r="D1243" s="86">
        <v>0.49149100678485869</v>
      </c>
      <c r="E1243" s="86"/>
      <c r="F1243" s="14"/>
    </row>
    <row r="1244" spans="1:6" x14ac:dyDescent="0.25">
      <c r="A1244" s="86">
        <v>1243</v>
      </c>
      <c r="B1244" s="87">
        <v>39.910469235444907</v>
      </c>
      <c r="C1244" s="14">
        <v>4</v>
      </c>
      <c r="D1244" s="86">
        <v>0.58233618362284734</v>
      </c>
      <c r="E1244" s="86"/>
      <c r="F1244" s="14"/>
    </row>
    <row r="1245" spans="1:6" x14ac:dyDescent="0.25">
      <c r="A1245" s="86">
        <v>1244</v>
      </c>
      <c r="B1245" s="87">
        <v>45.382296315772692</v>
      </c>
      <c r="C1245" s="14">
        <v>1</v>
      </c>
      <c r="D1245" s="86">
        <v>0.29799505984493913</v>
      </c>
      <c r="E1245" s="86"/>
      <c r="F1245" s="14"/>
    </row>
    <row r="1246" spans="1:6" x14ac:dyDescent="0.25">
      <c r="A1246" s="86">
        <v>1245</v>
      </c>
      <c r="B1246" s="87">
        <v>42.94664108271536</v>
      </c>
      <c r="C1246" s="14">
        <v>1</v>
      </c>
      <c r="D1246" s="86">
        <v>8.2160146779427845E-2</v>
      </c>
      <c r="E1246" s="86"/>
      <c r="F1246" s="14"/>
    </row>
    <row r="1247" spans="1:6" x14ac:dyDescent="0.25">
      <c r="A1247" s="86">
        <v>1246</v>
      </c>
      <c r="B1247" s="87">
        <v>44.926377990457695</v>
      </c>
      <c r="C1247" s="14">
        <v>5</v>
      </c>
      <c r="D1247" s="86">
        <v>0.67621813602519987</v>
      </c>
      <c r="E1247" s="86"/>
      <c r="F1247" s="14"/>
    </row>
    <row r="1248" spans="1:6" x14ac:dyDescent="0.25">
      <c r="A1248" s="86">
        <v>1247</v>
      </c>
      <c r="B1248" s="87">
        <v>44.546038674860029</v>
      </c>
      <c r="C1248" s="14">
        <v>2</v>
      </c>
      <c r="D1248" s="86">
        <v>1.9037938578196689E-2</v>
      </c>
      <c r="E1248" s="86"/>
      <c r="F1248" s="14"/>
    </row>
    <row r="1249" spans="1:6" x14ac:dyDescent="0.25">
      <c r="A1249" s="86">
        <v>1248</v>
      </c>
      <c r="B1249" s="87">
        <v>39.985127381776692</v>
      </c>
      <c r="C1249" s="14">
        <v>4</v>
      </c>
      <c r="D1249" s="86">
        <v>3.4501629818803781E-2</v>
      </c>
      <c r="E1249" s="86"/>
      <c r="F1249" s="14"/>
    </row>
    <row r="1250" spans="1:6" x14ac:dyDescent="0.25">
      <c r="A1250" s="86">
        <v>1249</v>
      </c>
      <c r="B1250" s="87">
        <v>43.164692437465419</v>
      </c>
      <c r="C1250" s="14">
        <v>5</v>
      </c>
      <c r="D1250" s="86">
        <v>0.31700004833836881</v>
      </c>
      <c r="E1250" s="86"/>
      <c r="F1250" s="14"/>
    </row>
    <row r="1251" spans="1:6" x14ac:dyDescent="0.25">
      <c r="A1251" s="86">
        <v>1250</v>
      </c>
      <c r="B1251" s="87">
        <v>33.223113854881376</v>
      </c>
      <c r="C1251" s="14">
        <v>2</v>
      </c>
      <c r="D1251" s="86">
        <v>0.12000562800380432</v>
      </c>
      <c r="E1251" s="86"/>
      <c r="F1251" s="14"/>
    </row>
    <row r="1252" spans="1:6" x14ac:dyDescent="0.25">
      <c r="A1252" s="86">
        <v>1251</v>
      </c>
      <c r="B1252" s="87">
        <v>47.973992417944828</v>
      </c>
      <c r="C1252" s="14">
        <v>4</v>
      </c>
      <c r="D1252" s="86">
        <v>0.13181148878793303</v>
      </c>
      <c r="E1252" s="86"/>
      <c r="F1252" s="14"/>
    </row>
    <row r="1253" spans="1:6" x14ac:dyDescent="0.25">
      <c r="A1253" s="86">
        <v>1252</v>
      </c>
      <c r="B1253" s="87">
        <v>45.662511633388931</v>
      </c>
      <c r="C1253" s="14">
        <v>2</v>
      </c>
      <c r="D1253" s="86">
        <v>0.80226556520939618</v>
      </c>
      <c r="E1253" s="86"/>
      <c r="F1253" s="14"/>
    </row>
    <row r="1254" spans="1:6" x14ac:dyDescent="0.25">
      <c r="A1254" s="86">
        <v>1253</v>
      </c>
      <c r="B1254" s="87">
        <v>44.407386207574746</v>
      </c>
      <c r="C1254" s="14">
        <v>2</v>
      </c>
      <c r="D1254" s="86">
        <v>0.24307153084713773</v>
      </c>
      <c r="E1254" s="86"/>
      <c r="F1254" s="14"/>
    </row>
    <row r="1255" spans="1:6" x14ac:dyDescent="0.25">
      <c r="A1255" s="86">
        <v>1254</v>
      </c>
      <c r="B1255" s="87">
        <v>44.867601895355619</v>
      </c>
      <c r="C1255" s="14">
        <v>4</v>
      </c>
      <c r="D1255" s="86">
        <v>0.84688859423342611</v>
      </c>
      <c r="E1255" s="86"/>
      <c r="F1255" s="14"/>
    </row>
    <row r="1256" spans="1:6" x14ac:dyDescent="0.25">
      <c r="A1256" s="86">
        <v>1255</v>
      </c>
      <c r="B1256" s="87">
        <v>32.91825123084709</v>
      </c>
      <c r="C1256" s="14">
        <v>5</v>
      </c>
      <c r="D1256" s="86">
        <v>0.72162256775678857</v>
      </c>
      <c r="E1256" s="86"/>
      <c r="F1256" s="14"/>
    </row>
    <row r="1257" spans="1:6" x14ac:dyDescent="0.25">
      <c r="A1257" s="86">
        <v>1256</v>
      </c>
      <c r="B1257" s="87">
        <v>45.326316916878568</v>
      </c>
      <c r="C1257" s="14">
        <v>4</v>
      </c>
      <c r="D1257" s="86">
        <v>0.92231098428339886</v>
      </c>
      <c r="E1257" s="86"/>
      <c r="F1257" s="14"/>
    </row>
    <row r="1258" spans="1:6" x14ac:dyDescent="0.25">
      <c r="A1258" s="86">
        <v>1257</v>
      </c>
      <c r="B1258" s="87">
        <v>38.130315255664755</v>
      </c>
      <c r="C1258" s="14">
        <v>2</v>
      </c>
      <c r="D1258" s="86">
        <v>0.30180709405010309</v>
      </c>
      <c r="E1258" s="86"/>
      <c r="F1258" s="14"/>
    </row>
    <row r="1259" spans="1:6" x14ac:dyDescent="0.25">
      <c r="A1259" s="86">
        <v>1258</v>
      </c>
      <c r="B1259" s="87">
        <v>41.561543179675937</v>
      </c>
      <c r="C1259" s="14">
        <v>5</v>
      </c>
      <c r="D1259" s="86">
        <v>0.11221803882431769</v>
      </c>
      <c r="E1259" s="86"/>
      <c r="F1259" s="14"/>
    </row>
    <row r="1260" spans="1:6" x14ac:dyDescent="0.25">
      <c r="A1260" s="86">
        <v>1259</v>
      </c>
      <c r="B1260" s="87">
        <v>33.30460458016023</v>
      </c>
      <c r="C1260" s="14">
        <v>2</v>
      </c>
      <c r="D1260" s="86">
        <v>0.35330673084379915</v>
      </c>
      <c r="E1260" s="86"/>
      <c r="F1260" s="14"/>
    </row>
    <row r="1261" spans="1:6" x14ac:dyDescent="0.25">
      <c r="A1261" s="86">
        <v>1260</v>
      </c>
      <c r="B1261" s="87">
        <v>45.115649522238527</v>
      </c>
      <c r="C1261" s="14">
        <v>2</v>
      </c>
      <c r="D1261" s="86">
        <v>8.9154342046090962E-2</v>
      </c>
      <c r="E1261" s="86"/>
      <c r="F1261" s="14"/>
    </row>
    <row r="1262" spans="1:6" x14ac:dyDescent="0.25">
      <c r="A1262" s="86">
        <v>1261</v>
      </c>
      <c r="B1262" s="87">
        <v>38.273969943809789</v>
      </c>
      <c r="C1262" s="14">
        <v>1</v>
      </c>
      <c r="D1262" s="86">
        <v>0.40200794669342244</v>
      </c>
      <c r="E1262" s="86"/>
      <c r="F1262" s="14"/>
    </row>
    <row r="1263" spans="1:6" x14ac:dyDescent="0.25">
      <c r="A1263" s="86">
        <v>1262</v>
      </c>
      <c r="B1263" s="87">
        <v>44.46478669194039</v>
      </c>
      <c r="C1263" s="14">
        <v>3</v>
      </c>
      <c r="D1263" s="86">
        <v>0.44456536479690867</v>
      </c>
      <c r="E1263" s="86"/>
      <c r="F1263" s="14"/>
    </row>
    <row r="1264" spans="1:6" x14ac:dyDescent="0.25">
      <c r="A1264" s="86">
        <v>1263</v>
      </c>
      <c r="B1264" s="87">
        <v>38.538803432282293</v>
      </c>
      <c r="C1264" s="14">
        <v>2</v>
      </c>
      <c r="D1264" s="86">
        <v>0.10938390574150481</v>
      </c>
      <c r="E1264" s="86"/>
      <c r="F1264" s="14"/>
    </row>
    <row r="1265" spans="1:6" x14ac:dyDescent="0.25">
      <c r="A1265" s="86">
        <v>1264</v>
      </c>
      <c r="B1265" s="87">
        <v>48.440415407065302</v>
      </c>
      <c r="C1265" s="14">
        <v>2</v>
      </c>
      <c r="D1265" s="86">
        <v>0.8213455368908763</v>
      </c>
      <c r="E1265" s="86"/>
      <c r="F1265" s="14"/>
    </row>
    <row r="1266" spans="1:6" x14ac:dyDescent="0.25">
      <c r="A1266" s="86">
        <v>1265</v>
      </c>
      <c r="B1266" s="87">
        <v>49.63675336909364</v>
      </c>
      <c r="C1266" s="14">
        <v>1</v>
      </c>
      <c r="D1266" s="86">
        <v>0.57473425905937037</v>
      </c>
      <c r="E1266" s="86"/>
      <c r="F1266" s="14"/>
    </row>
    <row r="1267" spans="1:6" x14ac:dyDescent="0.25">
      <c r="A1267" s="86">
        <v>1266</v>
      </c>
      <c r="B1267" s="87">
        <v>40.908173554606037</v>
      </c>
      <c r="C1267" s="14">
        <v>2</v>
      </c>
      <c r="D1267" s="86">
        <v>0.84316331572261893</v>
      </c>
      <c r="E1267" s="86"/>
      <c r="F1267" s="14"/>
    </row>
    <row r="1268" spans="1:6" x14ac:dyDescent="0.25">
      <c r="A1268" s="86">
        <v>1267</v>
      </c>
      <c r="B1268" s="87">
        <v>42.788224158692174</v>
      </c>
      <c r="C1268" s="14">
        <v>4</v>
      </c>
      <c r="D1268" s="86">
        <v>0.99062207918516787</v>
      </c>
      <c r="E1268" s="86"/>
      <c r="F1268" s="14"/>
    </row>
    <row r="1269" spans="1:6" x14ac:dyDescent="0.25">
      <c r="A1269" s="86">
        <v>1268</v>
      </c>
      <c r="B1269" s="87">
        <v>47.587923285725992</v>
      </c>
      <c r="C1269" s="14">
        <v>1</v>
      </c>
      <c r="D1269" s="86">
        <v>0.36698068875474565</v>
      </c>
      <c r="E1269" s="86"/>
      <c r="F1269" s="14"/>
    </row>
    <row r="1270" spans="1:6" x14ac:dyDescent="0.25">
      <c r="A1270" s="86">
        <v>1269</v>
      </c>
      <c r="B1270" s="87">
        <v>46.367529188835761</v>
      </c>
      <c r="C1270" s="14">
        <v>4</v>
      </c>
      <c r="D1270" s="86">
        <v>0.12721685983111219</v>
      </c>
      <c r="E1270" s="86"/>
      <c r="F1270" s="14"/>
    </row>
    <row r="1271" spans="1:6" x14ac:dyDescent="0.25">
      <c r="A1271" s="86">
        <v>1270</v>
      </c>
      <c r="B1271" s="87">
        <v>48.272045200399589</v>
      </c>
      <c r="C1271" s="14">
        <v>4</v>
      </c>
      <c r="D1271" s="86">
        <v>0.75235403936088718</v>
      </c>
      <c r="E1271" s="86"/>
      <c r="F1271" s="14"/>
    </row>
    <row r="1272" spans="1:6" x14ac:dyDescent="0.25">
      <c r="A1272" s="86">
        <v>1271</v>
      </c>
      <c r="B1272" s="87">
        <v>39.077553987561259</v>
      </c>
      <c r="C1272" s="14">
        <v>4</v>
      </c>
      <c r="D1272" s="86">
        <v>1.2162897345370238E-3</v>
      </c>
      <c r="E1272" s="86"/>
      <c r="F1272" s="14"/>
    </row>
    <row r="1273" spans="1:6" x14ac:dyDescent="0.25">
      <c r="A1273" s="86">
        <v>1272</v>
      </c>
      <c r="B1273" s="87">
        <v>43.621037088421872</v>
      </c>
      <c r="C1273" s="14">
        <v>4</v>
      </c>
      <c r="D1273" s="86">
        <v>0.95308944966637965</v>
      </c>
      <c r="E1273" s="86"/>
      <c r="F1273" s="14"/>
    </row>
    <row r="1274" spans="1:6" x14ac:dyDescent="0.25">
      <c r="A1274" s="86">
        <v>1273</v>
      </c>
      <c r="B1274" s="87">
        <v>42.38165728963213</v>
      </c>
      <c r="C1274" s="14">
        <v>4</v>
      </c>
      <c r="D1274" s="86">
        <v>0.97956061720745657</v>
      </c>
      <c r="E1274" s="86"/>
      <c r="F1274" s="14"/>
    </row>
    <row r="1275" spans="1:6" x14ac:dyDescent="0.25">
      <c r="A1275" s="86">
        <v>1274</v>
      </c>
      <c r="B1275" s="87">
        <v>35.483390087727457</v>
      </c>
      <c r="C1275" s="14">
        <v>4</v>
      </c>
      <c r="D1275" s="86">
        <v>0.15176256270460231</v>
      </c>
      <c r="E1275" s="86"/>
      <c r="F1275" s="14"/>
    </row>
    <row r="1276" spans="1:6" x14ac:dyDescent="0.25">
      <c r="A1276" s="86">
        <v>1275</v>
      </c>
      <c r="B1276" s="87">
        <v>45.584818048489979</v>
      </c>
      <c r="C1276" s="14">
        <v>4</v>
      </c>
      <c r="D1276" s="86">
        <v>0.91423079861084544</v>
      </c>
      <c r="E1276" s="86"/>
      <c r="F1276" s="14"/>
    </row>
    <row r="1277" spans="1:6" x14ac:dyDescent="0.25">
      <c r="A1277" s="86">
        <v>1276</v>
      </c>
      <c r="B1277" s="87">
        <v>43.753868789615808</v>
      </c>
      <c r="C1277" s="14">
        <v>4</v>
      </c>
      <c r="D1277" s="86">
        <v>0.88454114607627288</v>
      </c>
      <c r="E1277" s="86"/>
      <c r="F1277" s="14"/>
    </row>
    <row r="1278" spans="1:6" x14ac:dyDescent="0.25">
      <c r="A1278" s="86">
        <v>1277</v>
      </c>
      <c r="B1278" s="87">
        <v>44.774407110133325</v>
      </c>
      <c r="C1278" s="14">
        <v>2</v>
      </c>
      <c r="D1278" s="86">
        <v>0.74948909699826027</v>
      </c>
      <c r="E1278" s="86"/>
      <c r="F1278" s="14"/>
    </row>
    <row r="1279" spans="1:6" x14ac:dyDescent="0.25">
      <c r="A1279" s="86">
        <v>1278</v>
      </c>
      <c r="B1279" s="87">
        <v>36.708149759186199</v>
      </c>
      <c r="C1279" s="14">
        <v>1</v>
      </c>
      <c r="D1279" s="86">
        <v>0.69860473389174815</v>
      </c>
      <c r="E1279" s="86"/>
      <c r="F1279" s="14"/>
    </row>
    <row r="1280" spans="1:6" x14ac:dyDescent="0.25">
      <c r="A1280" s="86">
        <v>1279</v>
      </c>
      <c r="B1280" s="87">
        <v>27.030728228390217</v>
      </c>
      <c r="C1280" s="14">
        <v>2</v>
      </c>
      <c r="D1280" s="86">
        <v>0.12268434005397022</v>
      </c>
      <c r="E1280" s="86"/>
      <c r="F1280" s="14"/>
    </row>
    <row r="1281" spans="1:6" x14ac:dyDescent="0.25">
      <c r="A1281" s="86">
        <v>1280</v>
      </c>
      <c r="B1281" s="87">
        <v>46.189688868587837</v>
      </c>
      <c r="C1281" s="14">
        <v>1</v>
      </c>
      <c r="D1281" s="86">
        <v>0.48249824834945332</v>
      </c>
      <c r="E1281" s="86"/>
      <c r="F1281" s="14"/>
    </row>
    <row r="1282" spans="1:6" x14ac:dyDescent="0.25">
      <c r="A1282" s="86">
        <v>1281</v>
      </c>
      <c r="B1282" s="87">
        <v>47.681965037889313</v>
      </c>
      <c r="C1282" s="14">
        <v>2</v>
      </c>
      <c r="D1282" s="86">
        <v>0.94300828660816483</v>
      </c>
      <c r="E1282" s="86"/>
      <c r="F1282" s="14"/>
    </row>
    <row r="1283" spans="1:6" x14ac:dyDescent="0.25">
      <c r="A1283" s="86">
        <v>1282</v>
      </c>
      <c r="B1283" s="87">
        <v>41.98657279118197</v>
      </c>
      <c r="C1283" s="14">
        <v>2</v>
      </c>
      <c r="D1283" s="86">
        <v>5.5045814164181861E-2</v>
      </c>
      <c r="E1283" s="86"/>
      <c r="F1283" s="14"/>
    </row>
    <row r="1284" spans="1:6" x14ac:dyDescent="0.25">
      <c r="A1284" s="86">
        <v>1283</v>
      </c>
      <c r="B1284" s="87">
        <v>40.422617070697015</v>
      </c>
      <c r="C1284" s="14">
        <v>2</v>
      </c>
      <c r="D1284" s="86">
        <v>1.7438688944375058E-2</v>
      </c>
      <c r="E1284" s="86"/>
      <c r="F1284" s="14"/>
    </row>
    <row r="1285" spans="1:6" x14ac:dyDescent="0.25">
      <c r="A1285" s="86">
        <v>1284</v>
      </c>
      <c r="B1285" s="87">
        <v>42.407089035230456</v>
      </c>
      <c r="C1285" s="14">
        <v>5</v>
      </c>
      <c r="D1285" s="86">
        <v>0.33727613994984385</v>
      </c>
      <c r="E1285" s="86"/>
      <c r="F1285" s="14"/>
    </row>
    <row r="1286" spans="1:6" x14ac:dyDescent="0.25">
      <c r="A1286" s="86">
        <v>1285</v>
      </c>
      <c r="B1286" s="87">
        <v>45.750186922639841</v>
      </c>
      <c r="C1286" s="14">
        <v>4</v>
      </c>
      <c r="D1286" s="86">
        <v>7.0038647959684508E-2</v>
      </c>
      <c r="E1286" s="86"/>
      <c r="F1286" s="14"/>
    </row>
    <row r="1287" spans="1:6" x14ac:dyDescent="0.25">
      <c r="A1287" s="86">
        <v>1286</v>
      </c>
      <c r="B1287" s="87">
        <v>31.432136888150126</v>
      </c>
      <c r="C1287" s="14">
        <v>5</v>
      </c>
      <c r="D1287" s="86">
        <v>0.96638654607452013</v>
      </c>
      <c r="E1287" s="86"/>
      <c r="F1287" s="14"/>
    </row>
    <row r="1288" spans="1:6" x14ac:dyDescent="0.25">
      <c r="A1288" s="86">
        <v>1287</v>
      </c>
      <c r="B1288" s="87">
        <v>48.009246706322301</v>
      </c>
      <c r="C1288" s="14">
        <v>2</v>
      </c>
      <c r="D1288" s="86">
        <v>0.55655305294039237</v>
      </c>
      <c r="E1288" s="86"/>
      <c r="F1288" s="14"/>
    </row>
    <row r="1289" spans="1:6" x14ac:dyDescent="0.25">
      <c r="A1289" s="86">
        <v>1288</v>
      </c>
      <c r="B1289" s="87">
        <v>47.30227373726666</v>
      </c>
      <c r="C1289" s="14">
        <v>2</v>
      </c>
      <c r="D1289" s="86">
        <v>0.74265988976628938</v>
      </c>
      <c r="E1289" s="86"/>
      <c r="F1289" s="14"/>
    </row>
    <row r="1290" spans="1:6" x14ac:dyDescent="0.25">
      <c r="A1290" s="86">
        <v>1289</v>
      </c>
      <c r="B1290" s="87">
        <v>34.533422871725634</v>
      </c>
      <c r="C1290" s="14">
        <v>2</v>
      </c>
      <c r="D1290" s="86">
        <v>7.0392612380445474E-2</v>
      </c>
      <c r="E1290" s="86"/>
      <c r="F1290" s="14"/>
    </row>
    <row r="1291" spans="1:6" x14ac:dyDescent="0.25">
      <c r="A1291" s="86">
        <v>1290</v>
      </c>
      <c r="B1291" s="87">
        <v>50.159633241826668</v>
      </c>
      <c r="C1291" s="14">
        <v>4</v>
      </c>
      <c r="D1291" s="86">
        <v>8.5744118772511979E-2</v>
      </c>
      <c r="E1291" s="86"/>
      <c r="F1291" s="14"/>
    </row>
    <row r="1292" spans="1:6" x14ac:dyDescent="0.25">
      <c r="A1292" s="86">
        <v>1291</v>
      </c>
      <c r="B1292" s="87">
        <v>32.993057170067914</v>
      </c>
      <c r="C1292" s="14">
        <v>4</v>
      </c>
      <c r="D1292" s="86">
        <v>0.77761302278017153</v>
      </c>
      <c r="E1292" s="86"/>
      <c r="F1292" s="14"/>
    </row>
    <row r="1293" spans="1:6" x14ac:dyDescent="0.25">
      <c r="A1293" s="86">
        <v>1292</v>
      </c>
      <c r="B1293" s="87">
        <v>42.111986426214571</v>
      </c>
      <c r="C1293" s="14">
        <v>5</v>
      </c>
      <c r="D1293" s="86">
        <v>0.23450762288059623</v>
      </c>
      <c r="E1293" s="86"/>
      <c r="F1293" s="14"/>
    </row>
    <row r="1294" spans="1:6" x14ac:dyDescent="0.25">
      <c r="A1294" s="86">
        <v>1293</v>
      </c>
      <c r="B1294" s="87">
        <v>48.784397671959596</v>
      </c>
      <c r="C1294" s="14">
        <v>2</v>
      </c>
      <c r="D1294" s="86">
        <v>0.38911943352969347</v>
      </c>
      <c r="E1294" s="86"/>
      <c r="F1294" s="14"/>
    </row>
    <row r="1295" spans="1:6" x14ac:dyDescent="0.25">
      <c r="A1295" s="86">
        <v>1294</v>
      </c>
      <c r="B1295" s="87">
        <v>45.672652499313699</v>
      </c>
      <c r="C1295" s="14">
        <v>2</v>
      </c>
      <c r="D1295" s="86">
        <v>0.46418867618102411</v>
      </c>
      <c r="E1295" s="86"/>
      <c r="F1295" s="14"/>
    </row>
    <row r="1296" spans="1:6" x14ac:dyDescent="0.25">
      <c r="A1296" s="86">
        <v>1295</v>
      </c>
      <c r="B1296" s="87">
        <v>45.78005245490931</v>
      </c>
      <c r="C1296" s="14">
        <v>4</v>
      </c>
      <c r="D1296" s="86">
        <v>0.66254194565835345</v>
      </c>
      <c r="E1296" s="86"/>
      <c r="F1296" s="14"/>
    </row>
    <row r="1297" spans="1:6" x14ac:dyDescent="0.25">
      <c r="A1297" s="86">
        <v>1296</v>
      </c>
      <c r="B1297" s="87">
        <v>46.321122221677797</v>
      </c>
      <c r="C1297" s="14">
        <v>2</v>
      </c>
      <c r="D1297" s="86">
        <v>0.29955470324188704</v>
      </c>
      <c r="E1297" s="86"/>
      <c r="F1297" s="14"/>
    </row>
    <row r="1298" spans="1:6" x14ac:dyDescent="0.25">
      <c r="A1298" s="86">
        <v>1297</v>
      </c>
      <c r="B1298" s="87">
        <v>41.612497620342765</v>
      </c>
      <c r="C1298" s="14">
        <v>2</v>
      </c>
      <c r="D1298" s="86">
        <v>0.45831330686057759</v>
      </c>
      <c r="E1298" s="86"/>
      <c r="F1298" s="14"/>
    </row>
    <row r="1299" spans="1:6" x14ac:dyDescent="0.25">
      <c r="A1299" s="86">
        <v>1298</v>
      </c>
      <c r="B1299" s="87">
        <v>50.32336502551334</v>
      </c>
      <c r="C1299" s="14">
        <v>1</v>
      </c>
      <c r="D1299" s="86">
        <v>0.92968066309716013</v>
      </c>
      <c r="E1299" s="86"/>
      <c r="F1299" s="14"/>
    </row>
    <row r="1300" spans="1:6" x14ac:dyDescent="0.25">
      <c r="A1300" s="86">
        <v>1299</v>
      </c>
      <c r="B1300" s="87">
        <v>39.362612364464439</v>
      </c>
      <c r="C1300" s="14">
        <v>4</v>
      </c>
      <c r="D1300" s="86">
        <v>0.18488298991114782</v>
      </c>
      <c r="E1300" s="86"/>
      <c r="F1300" s="14"/>
    </row>
    <row r="1301" spans="1:6" x14ac:dyDescent="0.25">
      <c r="A1301" s="86">
        <v>1300</v>
      </c>
      <c r="B1301" s="87">
        <v>35.995753927971236</v>
      </c>
      <c r="C1301" s="14">
        <v>3</v>
      </c>
      <c r="D1301" s="86">
        <v>0.17528254358929285</v>
      </c>
      <c r="E1301" s="86"/>
      <c r="F1301" s="14"/>
    </row>
    <row r="1302" spans="1:6" x14ac:dyDescent="0.25">
      <c r="A1302" s="86">
        <v>1301</v>
      </c>
      <c r="B1302" s="87">
        <v>38.814528119808529</v>
      </c>
      <c r="C1302" s="14">
        <v>4</v>
      </c>
      <c r="D1302" s="86">
        <v>0.34134570285785981</v>
      </c>
      <c r="E1302" s="86"/>
      <c r="F1302" s="14"/>
    </row>
    <row r="1303" spans="1:6" x14ac:dyDescent="0.25">
      <c r="A1303" s="86">
        <v>1302</v>
      </c>
      <c r="B1303" s="87">
        <v>43.084725115812034</v>
      </c>
      <c r="C1303" s="14">
        <v>3</v>
      </c>
      <c r="D1303" s="86">
        <v>0.37483265484170758</v>
      </c>
      <c r="E1303" s="86"/>
      <c r="F1303" s="14"/>
    </row>
    <row r="1304" spans="1:6" x14ac:dyDescent="0.25">
      <c r="A1304" s="86">
        <v>1303</v>
      </c>
      <c r="B1304" s="87">
        <v>37.292591054545483</v>
      </c>
      <c r="C1304" s="14">
        <v>2</v>
      </c>
      <c r="D1304" s="86">
        <v>0.52359660739848157</v>
      </c>
      <c r="E1304" s="86"/>
      <c r="F1304" s="14"/>
    </row>
    <row r="1305" spans="1:6" x14ac:dyDescent="0.25">
      <c r="A1305" s="86">
        <v>1304</v>
      </c>
      <c r="B1305" s="87">
        <v>43.520935827807989</v>
      </c>
      <c r="C1305" s="14">
        <v>5</v>
      </c>
      <c r="D1305" s="86">
        <v>0.76080742113427613</v>
      </c>
      <c r="E1305" s="86"/>
      <c r="F1305" s="14"/>
    </row>
    <row r="1306" spans="1:6" x14ac:dyDescent="0.25">
      <c r="A1306" s="86">
        <v>1305</v>
      </c>
      <c r="B1306" s="87">
        <v>40.66089331387775</v>
      </c>
      <c r="C1306" s="14">
        <v>2</v>
      </c>
      <c r="D1306" s="86">
        <v>0.36281770331508101</v>
      </c>
      <c r="E1306" s="86"/>
      <c r="F1306" s="14"/>
    </row>
    <row r="1307" spans="1:6" x14ac:dyDescent="0.25">
      <c r="A1307" s="86">
        <v>1306</v>
      </c>
      <c r="B1307" s="87">
        <v>48.770971256424673</v>
      </c>
      <c r="C1307" s="14">
        <v>4</v>
      </c>
      <c r="D1307" s="86">
        <v>0.68849124302484244</v>
      </c>
      <c r="E1307" s="86"/>
      <c r="F1307" s="14"/>
    </row>
    <row r="1308" spans="1:6" x14ac:dyDescent="0.25">
      <c r="A1308" s="86">
        <v>1307</v>
      </c>
      <c r="B1308" s="87">
        <v>38.010296061082045</v>
      </c>
      <c r="C1308" s="14">
        <v>4</v>
      </c>
      <c r="D1308" s="86">
        <v>0.86674819040323769</v>
      </c>
      <c r="E1308" s="86"/>
      <c r="F1308" s="14"/>
    </row>
    <row r="1309" spans="1:6" x14ac:dyDescent="0.25">
      <c r="A1309" s="86">
        <v>1308</v>
      </c>
      <c r="B1309" s="87">
        <v>36.069491210917477</v>
      </c>
      <c r="C1309" s="14">
        <v>2</v>
      </c>
      <c r="D1309" s="86">
        <v>0.34725477531009918</v>
      </c>
      <c r="E1309" s="86"/>
      <c r="F1309" s="14"/>
    </row>
    <row r="1310" spans="1:6" x14ac:dyDescent="0.25">
      <c r="A1310" s="86">
        <v>1309</v>
      </c>
      <c r="B1310" s="87">
        <v>44.407784111506771</v>
      </c>
      <c r="C1310" s="14">
        <v>4</v>
      </c>
      <c r="D1310" s="86">
        <v>0.96564809903155235</v>
      </c>
      <c r="E1310" s="86"/>
      <c r="F1310" s="14"/>
    </row>
    <row r="1311" spans="1:6" x14ac:dyDescent="0.25">
      <c r="A1311" s="86">
        <v>1310</v>
      </c>
      <c r="B1311" s="87">
        <v>46.657851266325451</v>
      </c>
      <c r="C1311" s="14">
        <v>1</v>
      </c>
      <c r="D1311" s="86">
        <v>0.83536465699936435</v>
      </c>
      <c r="E1311" s="86"/>
      <c r="F1311" s="14"/>
    </row>
    <row r="1312" spans="1:6" x14ac:dyDescent="0.25">
      <c r="A1312" s="86">
        <v>1311</v>
      </c>
      <c r="B1312" s="87">
        <v>45.059312009805581</v>
      </c>
      <c r="C1312" s="14">
        <v>2</v>
      </c>
      <c r="D1312" s="86">
        <v>0.86707343384036584</v>
      </c>
      <c r="E1312" s="86"/>
      <c r="F1312" s="14"/>
    </row>
    <row r="1313" spans="1:6" x14ac:dyDescent="0.25">
      <c r="A1313" s="86">
        <v>1312</v>
      </c>
      <c r="B1313" s="87">
        <v>44.782149183782167</v>
      </c>
      <c r="C1313" s="14">
        <v>2</v>
      </c>
      <c r="D1313" s="86">
        <v>0.58744827973853408</v>
      </c>
      <c r="E1313" s="86"/>
      <c r="F1313" s="14"/>
    </row>
    <row r="1314" spans="1:6" x14ac:dyDescent="0.25">
      <c r="A1314" s="86">
        <v>1313</v>
      </c>
      <c r="B1314" s="87">
        <v>29.491093295626342</v>
      </c>
      <c r="C1314" s="14">
        <v>1</v>
      </c>
      <c r="D1314" s="86">
        <v>0.12946461895286665</v>
      </c>
      <c r="E1314" s="86"/>
      <c r="F1314" s="14"/>
    </row>
    <row r="1315" spans="1:6" x14ac:dyDescent="0.25">
      <c r="A1315" s="86">
        <v>1314</v>
      </c>
      <c r="B1315" s="87">
        <v>45.559488621045602</v>
      </c>
      <c r="C1315" s="14">
        <v>2</v>
      </c>
      <c r="D1315" s="86">
        <v>0.96670822045561211</v>
      </c>
      <c r="E1315" s="86"/>
      <c r="F1315" s="14"/>
    </row>
    <row r="1316" spans="1:6" x14ac:dyDescent="0.25">
      <c r="A1316" s="86">
        <v>1315</v>
      </c>
      <c r="B1316" s="87">
        <v>45.424371814413462</v>
      </c>
      <c r="C1316" s="14">
        <v>5</v>
      </c>
      <c r="D1316" s="86">
        <v>0.20089831795696222</v>
      </c>
      <c r="E1316" s="86"/>
      <c r="F1316" s="14"/>
    </row>
    <row r="1317" spans="1:6" x14ac:dyDescent="0.25">
      <c r="A1317" s="86">
        <v>1316</v>
      </c>
      <c r="B1317" s="87">
        <v>46.36705170411733</v>
      </c>
      <c r="C1317" s="14">
        <v>2</v>
      </c>
      <c r="D1317" s="86">
        <v>0.34701948615851042</v>
      </c>
      <c r="E1317" s="86"/>
      <c r="F1317" s="14"/>
    </row>
    <row r="1318" spans="1:6" x14ac:dyDescent="0.25">
      <c r="A1318" s="86">
        <v>1317</v>
      </c>
      <c r="B1318" s="87">
        <v>39.573211547001847</v>
      </c>
      <c r="C1318" s="14">
        <v>2</v>
      </c>
      <c r="D1318" s="86">
        <v>3.9110253373944137E-2</v>
      </c>
      <c r="E1318" s="86"/>
      <c r="F1318" s="14"/>
    </row>
    <row r="1319" spans="1:6" x14ac:dyDescent="0.25">
      <c r="A1319" s="86">
        <v>1318</v>
      </c>
      <c r="B1319" s="87">
        <v>47.498906491789967</v>
      </c>
      <c r="C1319" s="14">
        <v>4</v>
      </c>
      <c r="D1319" s="86">
        <v>0.10948825725120614</v>
      </c>
      <c r="E1319" s="86"/>
      <c r="F1319" s="14"/>
    </row>
    <row r="1320" spans="1:6" x14ac:dyDescent="0.25">
      <c r="A1320" s="86">
        <v>1319</v>
      </c>
      <c r="B1320" s="87">
        <v>35.231232681660913</v>
      </c>
      <c r="C1320" s="14">
        <v>1</v>
      </c>
      <c r="D1320" s="86">
        <v>0.83079219992542086</v>
      </c>
      <c r="E1320" s="86"/>
      <c r="F1320" s="14"/>
    </row>
    <row r="1321" spans="1:6" x14ac:dyDescent="0.25">
      <c r="A1321" s="86">
        <v>1320</v>
      </c>
      <c r="B1321" s="87">
        <v>43.92962295639154</v>
      </c>
      <c r="C1321" s="14">
        <v>4</v>
      </c>
      <c r="D1321" s="86">
        <v>0.68435139718999571</v>
      </c>
      <c r="E1321" s="86"/>
      <c r="F1321" s="14"/>
    </row>
    <row r="1322" spans="1:6" x14ac:dyDescent="0.25">
      <c r="A1322" s="86">
        <v>1321</v>
      </c>
      <c r="B1322" s="87">
        <v>42.805453398948885</v>
      </c>
      <c r="C1322" s="14">
        <v>5</v>
      </c>
      <c r="D1322" s="86">
        <v>0.77450105248606171</v>
      </c>
      <c r="E1322" s="86"/>
      <c r="F1322" s="14"/>
    </row>
    <row r="1323" spans="1:6" x14ac:dyDescent="0.25">
      <c r="A1323" s="86">
        <v>1322</v>
      </c>
      <c r="B1323" s="87">
        <v>40.727678646697314</v>
      </c>
      <c r="C1323" s="14">
        <v>4</v>
      </c>
      <c r="D1323" s="86">
        <v>0.55693237730620504</v>
      </c>
      <c r="E1323" s="86"/>
      <c r="F1323" s="14"/>
    </row>
    <row r="1324" spans="1:6" x14ac:dyDescent="0.25">
      <c r="A1324" s="86">
        <v>1323</v>
      </c>
      <c r="B1324" s="87">
        <v>47.295634425943717</v>
      </c>
      <c r="C1324" s="14">
        <v>3</v>
      </c>
      <c r="D1324" s="86">
        <v>0.18150555022222192</v>
      </c>
      <c r="E1324" s="86"/>
      <c r="F1324" s="14"/>
    </row>
    <row r="1325" spans="1:6" x14ac:dyDescent="0.25">
      <c r="A1325" s="86">
        <v>1324</v>
      </c>
      <c r="B1325" s="87">
        <v>45.724863179537351</v>
      </c>
      <c r="C1325" s="14">
        <v>2</v>
      </c>
      <c r="D1325" s="86">
        <v>0.79392866258925454</v>
      </c>
      <c r="E1325" s="86"/>
      <c r="F1325" s="14"/>
    </row>
    <row r="1326" spans="1:6" x14ac:dyDescent="0.25">
      <c r="A1326" s="86">
        <v>1325</v>
      </c>
      <c r="B1326" s="87">
        <v>42.207807377388235</v>
      </c>
      <c r="C1326" s="14">
        <v>2</v>
      </c>
      <c r="D1326" s="86">
        <v>0.62893790488667956</v>
      </c>
      <c r="E1326" s="86"/>
      <c r="F1326" s="14"/>
    </row>
    <row r="1327" spans="1:6" x14ac:dyDescent="0.25">
      <c r="A1327" s="86">
        <v>1326</v>
      </c>
      <c r="B1327" s="87">
        <v>34.463619153364561</v>
      </c>
      <c r="C1327" s="14">
        <v>4</v>
      </c>
      <c r="D1327" s="86">
        <v>0.12858290763441271</v>
      </c>
      <c r="E1327" s="86"/>
      <c r="F1327" s="14"/>
    </row>
    <row r="1328" spans="1:6" x14ac:dyDescent="0.25">
      <c r="A1328" s="86">
        <v>1327</v>
      </c>
      <c r="B1328" s="87">
        <v>31.809031492564827</v>
      </c>
      <c r="C1328" s="14">
        <v>1</v>
      </c>
      <c r="D1328" s="86">
        <v>0.55950723052013762</v>
      </c>
      <c r="E1328" s="86"/>
      <c r="F1328" s="14"/>
    </row>
    <row r="1329" spans="1:6" x14ac:dyDescent="0.25">
      <c r="A1329" s="86">
        <v>1328</v>
      </c>
      <c r="B1329" s="87">
        <v>45.638739715621341</v>
      </c>
      <c r="C1329" s="14">
        <v>5</v>
      </c>
      <c r="D1329" s="86">
        <v>0.27808274575117709</v>
      </c>
      <c r="E1329" s="86"/>
      <c r="F1329" s="14"/>
    </row>
    <row r="1330" spans="1:6" x14ac:dyDescent="0.25">
      <c r="A1330" s="86">
        <v>1329</v>
      </c>
      <c r="B1330" s="87">
        <v>42.549004314758349</v>
      </c>
      <c r="C1330" s="14">
        <v>2</v>
      </c>
      <c r="D1330" s="86">
        <v>0.94409265798592945</v>
      </c>
      <c r="E1330" s="86"/>
      <c r="F1330" s="14"/>
    </row>
    <row r="1331" spans="1:6" x14ac:dyDescent="0.25">
      <c r="A1331" s="86">
        <v>1330</v>
      </c>
      <c r="B1331" s="87">
        <v>41.092562236706726</v>
      </c>
      <c r="C1331" s="14">
        <v>4</v>
      </c>
      <c r="D1331" s="86">
        <v>0.95348789795345668</v>
      </c>
      <c r="E1331" s="86"/>
      <c r="F1331" s="14"/>
    </row>
    <row r="1332" spans="1:6" x14ac:dyDescent="0.25">
      <c r="A1332" s="86">
        <v>1331</v>
      </c>
      <c r="B1332" s="87">
        <v>45.288447831233498</v>
      </c>
      <c r="C1332" s="14">
        <v>5</v>
      </c>
      <c r="D1332" s="86">
        <v>0.64617933350682899</v>
      </c>
      <c r="E1332" s="86"/>
      <c r="F1332" s="14"/>
    </row>
    <row r="1333" spans="1:6" x14ac:dyDescent="0.25">
      <c r="A1333" s="86">
        <v>1332</v>
      </c>
      <c r="B1333" s="87">
        <v>45.547722033341415</v>
      </c>
      <c r="C1333" s="14">
        <v>2</v>
      </c>
      <c r="D1333" s="86">
        <v>8.2822477874925915E-2</v>
      </c>
      <c r="E1333" s="86"/>
      <c r="F1333" s="14"/>
    </row>
    <row r="1334" spans="1:6" x14ac:dyDescent="0.25">
      <c r="A1334" s="86">
        <v>1333</v>
      </c>
      <c r="B1334" s="87">
        <v>40.318082023411989</v>
      </c>
      <c r="C1334" s="14">
        <v>2</v>
      </c>
      <c r="D1334" s="86">
        <v>0.27542008288740383</v>
      </c>
      <c r="E1334" s="86"/>
      <c r="F1334" s="14"/>
    </row>
    <row r="1335" spans="1:6" x14ac:dyDescent="0.25">
      <c r="A1335" s="86">
        <v>1334</v>
      </c>
      <c r="B1335" s="87">
        <v>37.00668002635939</v>
      </c>
      <c r="C1335" s="14">
        <v>4</v>
      </c>
      <c r="D1335" s="86">
        <v>0.96849227092695911</v>
      </c>
      <c r="E1335" s="86"/>
      <c r="F1335" s="14"/>
    </row>
    <row r="1336" spans="1:6" x14ac:dyDescent="0.25">
      <c r="A1336" s="86">
        <v>1335</v>
      </c>
      <c r="B1336" s="87">
        <v>43.188038029591553</v>
      </c>
      <c r="C1336" s="14">
        <v>1</v>
      </c>
      <c r="D1336" s="86">
        <v>0.86321774000995166</v>
      </c>
      <c r="E1336" s="86"/>
      <c r="F1336" s="14"/>
    </row>
    <row r="1337" spans="1:6" x14ac:dyDescent="0.25">
      <c r="A1337" s="86">
        <v>1336</v>
      </c>
      <c r="B1337" s="87">
        <v>35.361563272424974</v>
      </c>
      <c r="C1337" s="14">
        <v>2</v>
      </c>
      <c r="D1337" s="86">
        <v>0.1651324536173141</v>
      </c>
      <c r="E1337" s="86"/>
      <c r="F1337" s="14"/>
    </row>
    <row r="1338" spans="1:6" x14ac:dyDescent="0.25">
      <c r="A1338" s="86">
        <v>1337</v>
      </c>
      <c r="B1338" s="87">
        <v>45.784963726298884</v>
      </c>
      <c r="C1338" s="14">
        <v>1</v>
      </c>
      <c r="D1338" s="86">
        <v>0.85371362513382609</v>
      </c>
      <c r="E1338" s="86"/>
      <c r="F1338" s="14"/>
    </row>
    <row r="1339" spans="1:6" x14ac:dyDescent="0.25">
      <c r="A1339" s="86">
        <v>1338</v>
      </c>
      <c r="B1339" s="87">
        <v>46.944342097383924</v>
      </c>
      <c r="C1339" s="14">
        <v>4</v>
      </c>
      <c r="D1339" s="86">
        <v>0.26178990328009988</v>
      </c>
      <c r="E1339" s="86"/>
      <c r="F1339" s="14"/>
    </row>
    <row r="1340" spans="1:6" x14ac:dyDescent="0.25">
      <c r="A1340" s="86">
        <v>1339</v>
      </c>
      <c r="B1340" s="87">
        <v>40.714098753931466</v>
      </c>
      <c r="C1340" s="14">
        <v>4</v>
      </c>
      <c r="D1340" s="86">
        <v>0.62083945753880043</v>
      </c>
      <c r="E1340" s="86"/>
      <c r="F1340" s="14"/>
    </row>
    <row r="1341" spans="1:6" x14ac:dyDescent="0.25">
      <c r="A1341" s="86">
        <v>1340</v>
      </c>
      <c r="B1341" s="87">
        <v>42.892321511651971</v>
      </c>
      <c r="C1341" s="14">
        <v>3</v>
      </c>
      <c r="D1341" s="86">
        <v>0.67291265563339142</v>
      </c>
      <c r="E1341" s="86"/>
      <c r="F1341" s="14"/>
    </row>
    <row r="1342" spans="1:6" x14ac:dyDescent="0.25">
      <c r="A1342" s="86">
        <v>1341</v>
      </c>
      <c r="B1342" s="87">
        <v>50.938160706544295</v>
      </c>
      <c r="C1342" s="14">
        <v>2</v>
      </c>
      <c r="D1342" s="86">
        <v>0.43173968168894861</v>
      </c>
      <c r="E1342" s="86"/>
      <c r="F1342" s="14"/>
    </row>
    <row r="1343" spans="1:6" x14ac:dyDescent="0.25">
      <c r="A1343" s="86">
        <v>1342</v>
      </c>
      <c r="B1343" s="87">
        <v>40.32602873336873</v>
      </c>
      <c r="C1343" s="14">
        <v>3</v>
      </c>
      <c r="D1343" s="86">
        <v>0.16378923961209024</v>
      </c>
      <c r="E1343" s="86"/>
      <c r="F1343" s="14"/>
    </row>
    <row r="1344" spans="1:6" x14ac:dyDescent="0.25">
      <c r="A1344" s="86">
        <v>1343</v>
      </c>
      <c r="B1344" s="87">
        <v>48.926381163590122</v>
      </c>
      <c r="C1344" s="14">
        <v>2</v>
      </c>
      <c r="D1344" s="86">
        <v>0.19267558331999979</v>
      </c>
      <c r="E1344" s="86"/>
      <c r="F1344" s="14"/>
    </row>
    <row r="1345" spans="1:6" x14ac:dyDescent="0.25">
      <c r="A1345" s="86">
        <v>1344</v>
      </c>
      <c r="B1345" s="87">
        <v>41.41982116777217</v>
      </c>
      <c r="C1345" s="14">
        <v>1</v>
      </c>
      <c r="D1345" s="86">
        <v>0.96492368559486474</v>
      </c>
      <c r="E1345" s="86"/>
      <c r="F1345" s="14"/>
    </row>
    <row r="1346" spans="1:6" x14ac:dyDescent="0.25">
      <c r="A1346" s="86">
        <v>1345</v>
      </c>
      <c r="B1346" s="87">
        <v>36.539984188828385</v>
      </c>
      <c r="C1346" s="14">
        <v>2</v>
      </c>
      <c r="D1346" s="86">
        <v>0.72462409495264213</v>
      </c>
      <c r="E1346" s="86"/>
      <c r="F1346" s="14"/>
    </row>
    <row r="1347" spans="1:6" x14ac:dyDescent="0.25">
      <c r="A1347" s="86">
        <v>1346</v>
      </c>
      <c r="B1347" s="87">
        <v>51.223310032917652</v>
      </c>
      <c r="C1347" s="14">
        <v>1</v>
      </c>
      <c r="D1347" s="86">
        <v>0.12375611524106167</v>
      </c>
      <c r="E1347" s="86"/>
      <c r="F1347" s="14"/>
    </row>
    <row r="1348" spans="1:6" x14ac:dyDescent="0.25">
      <c r="A1348" s="86">
        <v>1347</v>
      </c>
      <c r="B1348" s="87">
        <v>51.143024388118647</v>
      </c>
      <c r="C1348" s="14">
        <v>1</v>
      </c>
      <c r="D1348" s="86">
        <v>0.21585244491038902</v>
      </c>
      <c r="E1348" s="86"/>
      <c r="F1348" s="14"/>
    </row>
    <row r="1349" spans="1:6" x14ac:dyDescent="0.25">
      <c r="A1349" s="86">
        <v>1348</v>
      </c>
      <c r="B1349" s="87">
        <v>52.099039743887261</v>
      </c>
      <c r="C1349" s="14">
        <v>2</v>
      </c>
      <c r="D1349" s="86">
        <v>0.24362129309871772</v>
      </c>
      <c r="E1349" s="86"/>
      <c r="F1349" s="14"/>
    </row>
    <row r="1350" spans="1:6" x14ac:dyDescent="0.25">
      <c r="A1350" s="86">
        <v>1349</v>
      </c>
      <c r="B1350" s="87">
        <v>41.167220383038511</v>
      </c>
      <c r="C1350" s="14">
        <v>4</v>
      </c>
      <c r="D1350" s="86">
        <v>0.99746823540474061</v>
      </c>
      <c r="E1350" s="86"/>
      <c r="F1350" s="14"/>
    </row>
    <row r="1351" spans="1:6" x14ac:dyDescent="0.25">
      <c r="A1351" s="86">
        <v>1350</v>
      </c>
      <c r="B1351" s="87">
        <v>49.795130502723623</v>
      </c>
      <c r="C1351" s="14">
        <v>2</v>
      </c>
      <c r="D1351" s="86">
        <v>0.51371456447277553</v>
      </c>
      <c r="E1351" s="86"/>
      <c r="F1351" s="14"/>
    </row>
    <row r="1352" spans="1:6" x14ac:dyDescent="0.25">
      <c r="A1352" s="86">
        <v>1351</v>
      </c>
      <c r="B1352" s="87">
        <v>41.400107870111242</v>
      </c>
      <c r="C1352" s="14">
        <v>5</v>
      </c>
      <c r="D1352" s="86">
        <v>0.34910528859561418</v>
      </c>
      <c r="E1352" s="86"/>
      <c r="F1352" s="14"/>
    </row>
    <row r="1353" spans="1:6" x14ac:dyDescent="0.25">
      <c r="A1353" s="86">
        <v>1352</v>
      </c>
      <c r="B1353" s="87">
        <v>37.646566392475506</v>
      </c>
      <c r="C1353" s="14">
        <v>4</v>
      </c>
      <c r="D1353" s="86">
        <v>0.67331648571721214</v>
      </c>
      <c r="E1353" s="86"/>
      <c r="F1353" s="14"/>
    </row>
    <row r="1354" spans="1:6" x14ac:dyDescent="0.25">
      <c r="A1354" s="86">
        <v>1353</v>
      </c>
      <c r="B1354" s="87">
        <v>39.789659917340032</v>
      </c>
      <c r="C1354" s="14">
        <v>4</v>
      </c>
      <c r="D1354" s="86">
        <v>0.16527774753772406</v>
      </c>
      <c r="E1354" s="86"/>
      <c r="F1354" s="14"/>
    </row>
    <row r="1355" spans="1:6" x14ac:dyDescent="0.25">
      <c r="A1355" s="86">
        <v>1354</v>
      </c>
      <c r="B1355" s="87">
        <v>43.082428641690058</v>
      </c>
      <c r="C1355" s="14">
        <v>1</v>
      </c>
      <c r="D1355" s="86">
        <v>0.70700722855388587</v>
      </c>
      <c r="E1355" s="86"/>
      <c r="F1355" s="14"/>
    </row>
    <row r="1356" spans="1:6" x14ac:dyDescent="0.25">
      <c r="A1356" s="86">
        <v>1355</v>
      </c>
      <c r="B1356" s="87">
        <v>48.656340817949967</v>
      </c>
      <c r="C1356" s="14">
        <v>3</v>
      </c>
      <c r="D1356" s="86">
        <v>0.6798380417198413</v>
      </c>
      <c r="E1356" s="86"/>
      <c r="F1356" s="14"/>
    </row>
    <row r="1357" spans="1:6" x14ac:dyDescent="0.25">
      <c r="A1357" s="86">
        <v>1356</v>
      </c>
      <c r="B1357" s="87">
        <v>39.655469658435322</v>
      </c>
      <c r="C1357" s="14">
        <v>2</v>
      </c>
      <c r="D1357" s="86">
        <v>0.96650931267612372</v>
      </c>
      <c r="E1357" s="86"/>
      <c r="F1357" s="14"/>
    </row>
    <row r="1358" spans="1:6" x14ac:dyDescent="0.25">
      <c r="A1358" s="86">
        <v>1357</v>
      </c>
      <c r="B1358" s="87">
        <v>47.955211352353217</v>
      </c>
      <c r="C1358" s="14">
        <v>2</v>
      </c>
      <c r="D1358" s="86">
        <v>0.17680181049806865</v>
      </c>
      <c r="E1358" s="86"/>
      <c r="F1358" s="14"/>
    </row>
    <row r="1359" spans="1:6" x14ac:dyDescent="0.25">
      <c r="A1359" s="86">
        <v>1358</v>
      </c>
      <c r="B1359" s="87">
        <v>50.473090590792708</v>
      </c>
      <c r="C1359" s="14">
        <v>4</v>
      </c>
      <c r="D1359" s="86">
        <v>5.0935710133268586E-3</v>
      </c>
      <c r="E1359" s="86"/>
      <c r="F1359" s="14"/>
    </row>
    <row r="1360" spans="1:6" x14ac:dyDescent="0.25">
      <c r="A1360" s="86">
        <v>1359</v>
      </c>
      <c r="B1360" s="87">
        <v>42.40824295663333</v>
      </c>
      <c r="C1360" s="14">
        <v>2</v>
      </c>
      <c r="D1360" s="86">
        <v>0.36752892184096664</v>
      </c>
      <c r="E1360" s="86"/>
      <c r="F1360" s="14"/>
    </row>
    <row r="1361" spans="1:6" x14ac:dyDescent="0.25">
      <c r="A1361" s="86">
        <v>1360</v>
      </c>
      <c r="B1361" s="87">
        <v>49.143500286270864</v>
      </c>
      <c r="C1361" s="14">
        <v>2</v>
      </c>
      <c r="D1361" s="86">
        <v>0.26659973995107134</v>
      </c>
      <c r="E1361" s="86"/>
      <c r="F1361" s="14"/>
    </row>
    <row r="1362" spans="1:6" x14ac:dyDescent="0.25">
      <c r="A1362" s="86">
        <v>1361</v>
      </c>
      <c r="B1362" s="87">
        <v>48.924061952100601</v>
      </c>
      <c r="C1362" s="14">
        <v>4</v>
      </c>
      <c r="D1362" s="86">
        <v>0.71159517347025347</v>
      </c>
      <c r="E1362" s="86"/>
      <c r="F1362" s="14"/>
    </row>
    <row r="1363" spans="1:6" x14ac:dyDescent="0.25">
      <c r="A1363" s="86">
        <v>1362</v>
      </c>
      <c r="B1363" s="87">
        <v>44.19214291771641</v>
      </c>
      <c r="C1363" s="14">
        <v>3</v>
      </c>
      <c r="D1363" s="86">
        <v>0.1355238938089478</v>
      </c>
      <c r="E1363" s="86"/>
      <c r="F1363" s="14"/>
    </row>
    <row r="1364" spans="1:6" x14ac:dyDescent="0.25">
      <c r="A1364" s="86">
        <v>1363</v>
      </c>
      <c r="B1364" s="87">
        <v>36.568962963763624</v>
      </c>
      <c r="C1364" s="14">
        <v>5</v>
      </c>
      <c r="D1364" s="86">
        <v>0.39403696811717925</v>
      </c>
      <c r="E1364" s="86"/>
      <c r="F1364" s="14"/>
    </row>
    <row r="1365" spans="1:6" x14ac:dyDescent="0.25">
      <c r="A1365" s="86">
        <v>1364</v>
      </c>
      <c r="B1365" s="87">
        <v>34.819277056492865</v>
      </c>
      <c r="C1365" s="14">
        <v>5</v>
      </c>
      <c r="D1365" s="86">
        <v>0.36168605284345079</v>
      </c>
      <c r="E1365" s="86"/>
      <c r="F1365" s="14"/>
    </row>
    <row r="1366" spans="1:6" x14ac:dyDescent="0.25">
      <c r="A1366" s="86">
        <v>1365</v>
      </c>
      <c r="B1366" s="87">
        <v>37.112044987559784</v>
      </c>
      <c r="C1366" s="14">
        <v>2</v>
      </c>
      <c r="D1366" s="86">
        <v>0.75922962195190358</v>
      </c>
      <c r="E1366" s="86"/>
      <c r="F1366" s="14"/>
    </row>
    <row r="1367" spans="1:6" x14ac:dyDescent="0.25">
      <c r="A1367" s="86">
        <v>1366</v>
      </c>
      <c r="B1367" s="87">
        <v>45.219007910753135</v>
      </c>
      <c r="C1367" s="14">
        <v>2</v>
      </c>
      <c r="D1367" s="86">
        <v>0.82948379192193467</v>
      </c>
      <c r="E1367" s="86"/>
      <c r="F1367" s="14"/>
    </row>
    <row r="1368" spans="1:6" x14ac:dyDescent="0.25">
      <c r="A1368" s="86">
        <v>1367</v>
      </c>
      <c r="B1368" s="87">
        <v>45.014837718888884</v>
      </c>
      <c r="C1368" s="14">
        <v>3</v>
      </c>
      <c r="D1368" s="86">
        <v>0.60896946260120555</v>
      </c>
      <c r="E1368" s="86"/>
      <c r="F1368" s="14"/>
    </row>
    <row r="1369" spans="1:6" x14ac:dyDescent="0.25">
      <c r="A1369" s="86">
        <v>1368</v>
      </c>
      <c r="B1369" s="87">
        <v>43.476734385301825</v>
      </c>
      <c r="C1369" s="14">
        <v>2</v>
      </c>
      <c r="D1369" s="86">
        <v>0.58113681576899989</v>
      </c>
      <c r="E1369" s="86"/>
      <c r="F1369" s="14"/>
    </row>
    <row r="1370" spans="1:6" x14ac:dyDescent="0.25">
      <c r="A1370" s="86">
        <v>1369</v>
      </c>
      <c r="B1370" s="87">
        <v>44.335502020083368</v>
      </c>
      <c r="C1370" s="14">
        <v>2</v>
      </c>
      <c r="D1370" s="86">
        <v>0.93291962454768629</v>
      </c>
      <c r="E1370" s="86"/>
      <c r="F1370" s="14"/>
    </row>
    <row r="1371" spans="1:6" x14ac:dyDescent="0.25">
      <c r="A1371" s="86">
        <v>1370</v>
      </c>
      <c r="B1371" s="87">
        <v>36.63573124355753</v>
      </c>
      <c r="C1371" s="14">
        <v>3</v>
      </c>
      <c r="D1371" s="86">
        <v>0.14218305347411986</v>
      </c>
      <c r="E1371" s="86"/>
      <c r="F1371" s="14"/>
    </row>
    <row r="1372" spans="1:6" x14ac:dyDescent="0.25">
      <c r="A1372" s="86">
        <v>1371</v>
      </c>
      <c r="B1372" s="87">
        <v>43.2213425887021</v>
      </c>
      <c r="C1372" s="14">
        <v>2</v>
      </c>
      <c r="D1372" s="86">
        <v>0.79337737350952175</v>
      </c>
      <c r="E1372" s="86"/>
      <c r="F1372" s="14"/>
    </row>
    <row r="1373" spans="1:6" x14ac:dyDescent="0.25">
      <c r="A1373" s="86">
        <v>1372</v>
      </c>
      <c r="B1373" s="87">
        <v>35.065886544878595</v>
      </c>
      <c r="C1373" s="14">
        <v>5</v>
      </c>
      <c r="D1373" s="86">
        <v>0.95606401402807784</v>
      </c>
      <c r="E1373" s="86"/>
      <c r="F1373" s="14"/>
    </row>
    <row r="1374" spans="1:6" x14ac:dyDescent="0.25">
      <c r="A1374" s="86">
        <v>1373</v>
      </c>
      <c r="B1374" s="87">
        <v>35.811467564024497</v>
      </c>
      <c r="C1374" s="14">
        <v>5</v>
      </c>
      <c r="D1374" s="86">
        <v>0.35808107055358607</v>
      </c>
      <c r="E1374" s="86"/>
      <c r="F1374" s="14"/>
    </row>
    <row r="1375" spans="1:6" x14ac:dyDescent="0.25">
      <c r="A1375" s="86">
        <v>1374</v>
      </c>
      <c r="B1375" s="87">
        <v>44.616808731341735</v>
      </c>
      <c r="C1375" s="14">
        <v>4</v>
      </c>
      <c r="D1375" s="86">
        <v>0.47371175613022076</v>
      </c>
      <c r="E1375" s="86"/>
      <c r="F1375" s="14"/>
    </row>
    <row r="1376" spans="1:6" x14ac:dyDescent="0.25">
      <c r="A1376" s="86">
        <v>1375</v>
      </c>
      <c r="B1376" s="87">
        <v>36.79335804405855</v>
      </c>
      <c r="C1376" s="14">
        <v>2</v>
      </c>
      <c r="D1376" s="86">
        <v>0.28257522843466332</v>
      </c>
      <c r="E1376" s="86"/>
      <c r="F1376" s="14"/>
    </row>
    <row r="1377" spans="1:6" x14ac:dyDescent="0.25">
      <c r="A1377" s="86">
        <v>1376</v>
      </c>
      <c r="B1377" s="87">
        <v>48.858214535692241</v>
      </c>
      <c r="C1377" s="14">
        <v>4</v>
      </c>
      <c r="D1377" s="86">
        <v>0.5002533385436424</v>
      </c>
      <c r="E1377" s="86"/>
      <c r="F1377" s="14"/>
    </row>
    <row r="1378" spans="1:6" x14ac:dyDescent="0.25">
      <c r="A1378" s="86">
        <v>1377</v>
      </c>
      <c r="B1378" s="87">
        <v>43.841811242935364</v>
      </c>
      <c r="C1378" s="14">
        <v>2</v>
      </c>
      <c r="D1378" s="86">
        <v>0.81284181084825846</v>
      </c>
      <c r="E1378" s="86"/>
      <c r="F1378" s="14"/>
    </row>
    <row r="1379" spans="1:6" x14ac:dyDescent="0.25">
      <c r="A1379" s="86">
        <v>1378</v>
      </c>
      <c r="B1379" s="87">
        <v>35.264315551437903</v>
      </c>
      <c r="C1379" s="14">
        <v>5</v>
      </c>
      <c r="D1379" s="86">
        <v>0.59615056981526748</v>
      </c>
      <c r="E1379" s="86"/>
      <c r="F1379" s="14"/>
    </row>
    <row r="1380" spans="1:6" x14ac:dyDescent="0.25">
      <c r="A1380" s="86">
        <v>1379</v>
      </c>
      <c r="B1380" s="87">
        <v>45.696066303542466</v>
      </c>
      <c r="C1380" s="14">
        <v>2</v>
      </c>
      <c r="D1380" s="86">
        <v>0.37355958929804767</v>
      </c>
      <c r="E1380" s="86"/>
      <c r="F1380" s="14"/>
    </row>
    <row r="1381" spans="1:6" x14ac:dyDescent="0.25">
      <c r="A1381" s="86">
        <v>1380</v>
      </c>
      <c r="B1381" s="87">
        <v>43.05259153113002</v>
      </c>
      <c r="C1381" s="14">
        <v>2</v>
      </c>
      <c r="D1381" s="86">
        <v>0.31386340264866808</v>
      </c>
      <c r="E1381" s="86"/>
      <c r="F1381" s="14"/>
    </row>
    <row r="1382" spans="1:6" x14ac:dyDescent="0.25">
      <c r="A1382" s="86">
        <v>1381</v>
      </c>
      <c r="B1382" s="87">
        <v>35.955736161093228</v>
      </c>
      <c r="C1382" s="14">
        <v>5</v>
      </c>
      <c r="D1382" s="86">
        <v>0.10374952486687694</v>
      </c>
      <c r="E1382" s="86"/>
      <c r="F1382" s="14"/>
    </row>
    <row r="1383" spans="1:6" x14ac:dyDescent="0.25">
      <c r="A1383" s="86">
        <v>1382</v>
      </c>
      <c r="B1383" s="87">
        <v>42.164396058404236</v>
      </c>
      <c r="C1383" s="14">
        <v>2</v>
      </c>
      <c r="D1383" s="86">
        <v>6.5434315387825404E-2</v>
      </c>
      <c r="E1383" s="86"/>
      <c r="F1383" s="14"/>
    </row>
    <row r="1384" spans="1:6" x14ac:dyDescent="0.25">
      <c r="A1384" s="86">
        <v>1383</v>
      </c>
      <c r="B1384" s="87">
        <v>44.774003521859413</v>
      </c>
      <c r="C1384" s="14">
        <v>5</v>
      </c>
      <c r="D1384" s="86">
        <v>0.41270005801841181</v>
      </c>
      <c r="E1384" s="86"/>
      <c r="F1384" s="14"/>
    </row>
    <row r="1385" spans="1:6" x14ac:dyDescent="0.25">
      <c r="A1385" s="86">
        <v>1384</v>
      </c>
      <c r="B1385" s="87">
        <v>38.776943251257762</v>
      </c>
      <c r="C1385" s="14">
        <v>2</v>
      </c>
      <c r="D1385" s="86">
        <v>0.77577191179925931</v>
      </c>
      <c r="E1385" s="86"/>
      <c r="F1385" s="14"/>
    </row>
    <row r="1386" spans="1:6" x14ac:dyDescent="0.25">
      <c r="A1386" s="86">
        <v>1385</v>
      </c>
      <c r="B1386" s="87">
        <v>43.71559043135494</v>
      </c>
      <c r="C1386" s="14">
        <v>4</v>
      </c>
      <c r="D1386" s="86">
        <v>0.98900967748605662</v>
      </c>
      <c r="E1386" s="86"/>
      <c r="F1386" s="14"/>
    </row>
    <row r="1387" spans="1:6" x14ac:dyDescent="0.25">
      <c r="A1387" s="86">
        <v>1386</v>
      </c>
      <c r="B1387" s="87">
        <v>38.186556134285638</v>
      </c>
      <c r="C1387" s="14">
        <v>3</v>
      </c>
      <c r="D1387" s="86">
        <v>0.22961645708034606</v>
      </c>
      <c r="E1387" s="86"/>
      <c r="F1387" s="14"/>
    </row>
    <row r="1388" spans="1:6" x14ac:dyDescent="0.25">
      <c r="A1388" s="86">
        <v>1387</v>
      </c>
      <c r="B1388" s="87">
        <v>41.416609514606535</v>
      </c>
      <c r="C1388" s="14">
        <v>2</v>
      </c>
      <c r="D1388" s="86">
        <v>0.13689087899315833</v>
      </c>
      <c r="E1388" s="86"/>
      <c r="F1388" s="14"/>
    </row>
    <row r="1389" spans="1:6" x14ac:dyDescent="0.25">
      <c r="A1389" s="86">
        <v>1388</v>
      </c>
      <c r="B1389" s="87">
        <v>48.180231710255612</v>
      </c>
      <c r="C1389" s="14">
        <v>2</v>
      </c>
      <c r="D1389" s="86">
        <v>0.33865279905426482</v>
      </c>
      <c r="E1389" s="86"/>
      <c r="F1389" s="14"/>
    </row>
    <row r="1390" spans="1:6" x14ac:dyDescent="0.25">
      <c r="A1390" s="86">
        <v>1389</v>
      </c>
      <c r="B1390" s="87">
        <v>52.672930900705978</v>
      </c>
      <c r="C1390" s="14">
        <v>2</v>
      </c>
      <c r="D1390" s="86">
        <v>0.3274653179301944</v>
      </c>
      <c r="E1390" s="86"/>
      <c r="F1390" s="14"/>
    </row>
    <row r="1391" spans="1:6" x14ac:dyDescent="0.25">
      <c r="A1391" s="86">
        <v>1390</v>
      </c>
      <c r="B1391" s="87">
        <v>51.067604539974127</v>
      </c>
      <c r="C1391" s="14">
        <v>4</v>
      </c>
      <c r="D1391" s="86">
        <v>0.46108073906946123</v>
      </c>
      <c r="E1391" s="86"/>
      <c r="F1391" s="14"/>
    </row>
    <row r="1392" spans="1:6" x14ac:dyDescent="0.25">
      <c r="A1392" s="86">
        <v>1391</v>
      </c>
      <c r="B1392" s="87">
        <v>43.622196694166632</v>
      </c>
      <c r="C1392" s="14">
        <v>3</v>
      </c>
      <c r="D1392" s="86">
        <v>0.19961686430394843</v>
      </c>
      <c r="E1392" s="86"/>
      <c r="F1392" s="14"/>
    </row>
    <row r="1393" spans="1:6" x14ac:dyDescent="0.25">
      <c r="A1393" s="86">
        <v>1392</v>
      </c>
      <c r="B1393" s="87">
        <v>31.529998518060893</v>
      </c>
      <c r="C1393" s="14">
        <v>2</v>
      </c>
      <c r="D1393" s="86">
        <v>6.5355156850694818E-2</v>
      </c>
      <c r="E1393" s="86"/>
      <c r="F1393" s="14"/>
    </row>
    <row r="1394" spans="1:6" x14ac:dyDescent="0.25">
      <c r="A1394" s="86">
        <v>1393</v>
      </c>
      <c r="B1394" s="87">
        <v>47.294520294934046</v>
      </c>
      <c r="C1394" s="14">
        <v>4</v>
      </c>
      <c r="D1394" s="86">
        <v>0.92754321588514721</v>
      </c>
      <c r="E1394" s="86"/>
      <c r="F1394" s="14"/>
    </row>
    <row r="1395" spans="1:6" x14ac:dyDescent="0.25">
      <c r="A1395" s="86">
        <v>1394</v>
      </c>
      <c r="B1395" s="87">
        <v>42.062981714814669</v>
      </c>
      <c r="C1395" s="14">
        <v>4</v>
      </c>
      <c r="D1395" s="86">
        <v>0.99586153608629269</v>
      </c>
      <c r="E1395" s="86"/>
      <c r="F1395" s="14"/>
    </row>
    <row r="1396" spans="1:6" x14ac:dyDescent="0.25">
      <c r="A1396" s="86">
        <v>1395</v>
      </c>
      <c r="B1396" s="87">
        <v>42.314536580641288</v>
      </c>
      <c r="C1396" s="14">
        <v>2</v>
      </c>
      <c r="D1396" s="86">
        <v>0.40379652112639985</v>
      </c>
      <c r="E1396" s="86"/>
      <c r="F1396" s="14"/>
    </row>
    <row r="1397" spans="1:6" x14ac:dyDescent="0.25">
      <c r="A1397" s="86">
        <v>1396</v>
      </c>
      <c r="B1397" s="87">
        <v>43.859660076457658</v>
      </c>
      <c r="C1397" s="14">
        <v>2</v>
      </c>
      <c r="D1397" s="86">
        <v>0.29637003369773962</v>
      </c>
      <c r="E1397" s="86"/>
      <c r="F1397" s="14"/>
    </row>
    <row r="1398" spans="1:6" x14ac:dyDescent="0.25">
      <c r="A1398" s="86">
        <v>1397</v>
      </c>
      <c r="B1398" s="87">
        <v>45.126114395650802</v>
      </c>
      <c r="C1398" s="14">
        <v>5</v>
      </c>
      <c r="D1398" s="86">
        <v>0.548105717616437</v>
      </c>
      <c r="E1398" s="86"/>
      <c r="F1398" s="14"/>
    </row>
    <row r="1399" spans="1:6" x14ac:dyDescent="0.25">
      <c r="A1399" s="86">
        <v>1398</v>
      </c>
      <c r="B1399" s="87">
        <v>42.341167722377577</v>
      </c>
      <c r="C1399" s="14">
        <v>2</v>
      </c>
      <c r="D1399" s="86">
        <v>0.38011456846783065</v>
      </c>
      <c r="E1399" s="86"/>
      <c r="F1399" s="14"/>
    </row>
    <row r="1400" spans="1:6" x14ac:dyDescent="0.25">
      <c r="A1400" s="86">
        <v>1399</v>
      </c>
      <c r="B1400" s="87">
        <v>53.629628377500921</v>
      </c>
      <c r="C1400" s="14">
        <v>4</v>
      </c>
      <c r="D1400" s="86">
        <v>0.55173358846729714</v>
      </c>
      <c r="E1400" s="86"/>
      <c r="F1400" s="14"/>
    </row>
    <row r="1401" spans="1:6" x14ac:dyDescent="0.25">
      <c r="A1401" s="86">
        <v>1400</v>
      </c>
      <c r="B1401" s="87">
        <v>50.019571057753637</v>
      </c>
      <c r="C1401" s="14">
        <v>2</v>
      </c>
      <c r="D1401" s="86">
        <v>0.59166536339393505</v>
      </c>
      <c r="E1401" s="86"/>
      <c r="F1401" s="14"/>
    </row>
    <row r="1402" spans="1:6" x14ac:dyDescent="0.25">
      <c r="A1402" s="86">
        <v>1401</v>
      </c>
      <c r="B1402" s="87">
        <v>41.592613792425254</v>
      </c>
      <c r="C1402" s="14">
        <v>4</v>
      </c>
      <c r="D1402" s="86">
        <v>0.30531885132952497</v>
      </c>
      <c r="E1402" s="86"/>
      <c r="F1402" s="14"/>
    </row>
    <row r="1403" spans="1:6" x14ac:dyDescent="0.25">
      <c r="A1403" s="86">
        <v>1402</v>
      </c>
      <c r="B1403" s="87">
        <v>49.858272172394209</v>
      </c>
      <c r="C1403" s="14">
        <v>2</v>
      </c>
      <c r="D1403" s="86">
        <v>0.2565940227111424</v>
      </c>
      <c r="E1403" s="86"/>
      <c r="F1403" s="14"/>
    </row>
    <row r="1404" spans="1:6" x14ac:dyDescent="0.25">
      <c r="A1404" s="86">
        <v>1403</v>
      </c>
      <c r="B1404" s="87">
        <v>45.965475687233265</v>
      </c>
      <c r="C1404" s="14">
        <v>2</v>
      </c>
      <c r="D1404" s="86">
        <v>0.32443558119475369</v>
      </c>
      <c r="E1404" s="86"/>
      <c r="F1404" s="14"/>
    </row>
    <row r="1405" spans="1:6" x14ac:dyDescent="0.25">
      <c r="A1405" s="86">
        <v>1404</v>
      </c>
      <c r="B1405" s="87">
        <v>35.958839811763028</v>
      </c>
      <c r="C1405" s="14">
        <v>1</v>
      </c>
      <c r="D1405" s="86">
        <v>0.60670102587663299</v>
      </c>
      <c r="E1405" s="86"/>
      <c r="F1405" s="14"/>
    </row>
    <row r="1406" spans="1:6" x14ac:dyDescent="0.25">
      <c r="A1406" s="86">
        <v>1405</v>
      </c>
      <c r="B1406" s="87">
        <v>41.062492068129359</v>
      </c>
      <c r="C1406" s="14">
        <v>1</v>
      </c>
      <c r="D1406" s="86">
        <v>0.20012393409785389</v>
      </c>
      <c r="E1406" s="86"/>
      <c r="F1406" s="14"/>
    </row>
    <row r="1407" spans="1:6" x14ac:dyDescent="0.25">
      <c r="A1407" s="86">
        <v>1406</v>
      </c>
      <c r="B1407" s="87">
        <v>52.975974535336718</v>
      </c>
      <c r="C1407" s="14">
        <v>5</v>
      </c>
      <c r="D1407" s="86">
        <v>0.36614852795174557</v>
      </c>
      <c r="E1407" s="86"/>
      <c r="F1407" s="14"/>
    </row>
    <row r="1408" spans="1:6" x14ac:dyDescent="0.25">
      <c r="A1408" s="86">
        <v>1407</v>
      </c>
      <c r="B1408" s="87">
        <v>50.428980097756721</v>
      </c>
      <c r="C1408" s="14">
        <v>4</v>
      </c>
      <c r="D1408" s="86">
        <v>0.70940087705486099</v>
      </c>
      <c r="E1408" s="86"/>
      <c r="F1408" s="14"/>
    </row>
    <row r="1409" spans="1:6" x14ac:dyDescent="0.25">
      <c r="A1409" s="86">
        <v>1408</v>
      </c>
      <c r="B1409" s="87">
        <v>44.415349970557145</v>
      </c>
      <c r="C1409" s="14">
        <v>2</v>
      </c>
      <c r="D1409" s="86">
        <v>0.98384269652382261</v>
      </c>
      <c r="E1409" s="86"/>
      <c r="F1409" s="14"/>
    </row>
    <row r="1410" spans="1:6" x14ac:dyDescent="0.25">
      <c r="A1410" s="86">
        <v>1409</v>
      </c>
      <c r="B1410" s="87">
        <v>39.981455296918284</v>
      </c>
      <c r="C1410" s="14">
        <v>4</v>
      </c>
      <c r="D1410" s="86">
        <v>0.22268388754013724</v>
      </c>
      <c r="E1410" s="86"/>
      <c r="F1410" s="14"/>
    </row>
    <row r="1411" spans="1:6" x14ac:dyDescent="0.25">
      <c r="A1411" s="86">
        <v>1410</v>
      </c>
      <c r="B1411" s="87">
        <v>45.449780822644243</v>
      </c>
      <c r="C1411" s="14">
        <v>1</v>
      </c>
      <c r="D1411" s="86">
        <v>0.52354916793004413</v>
      </c>
      <c r="E1411" s="86"/>
      <c r="F1411" s="14"/>
    </row>
    <row r="1412" spans="1:6" x14ac:dyDescent="0.25">
      <c r="A1412" s="86">
        <v>1411</v>
      </c>
      <c r="B1412" s="87">
        <v>39.277864511284861</v>
      </c>
      <c r="C1412" s="14">
        <v>4</v>
      </c>
      <c r="D1412" s="86">
        <v>0.31520634590914687</v>
      </c>
      <c r="E1412" s="86"/>
      <c r="F1412" s="14"/>
    </row>
    <row r="1413" spans="1:6" x14ac:dyDescent="0.25">
      <c r="A1413" s="86">
        <v>1412</v>
      </c>
      <c r="B1413" s="87">
        <v>47.213779902784154</v>
      </c>
      <c r="C1413" s="14">
        <v>4</v>
      </c>
      <c r="D1413" s="86">
        <v>0.59285861908230753</v>
      </c>
      <c r="E1413" s="86"/>
      <c r="F1413" s="14"/>
    </row>
    <row r="1414" spans="1:6" x14ac:dyDescent="0.25">
      <c r="A1414" s="86">
        <v>1413</v>
      </c>
      <c r="B1414" s="87">
        <v>41.201536755004781</v>
      </c>
      <c r="C1414" s="14">
        <v>5</v>
      </c>
      <c r="D1414" s="86">
        <v>0.8724493078869594</v>
      </c>
      <c r="E1414" s="86"/>
      <c r="F1414" s="14"/>
    </row>
    <row r="1415" spans="1:6" x14ac:dyDescent="0.25">
      <c r="A1415" s="86">
        <v>1414</v>
      </c>
      <c r="B1415" s="87">
        <v>47.054948021803284</v>
      </c>
      <c r="C1415" s="14">
        <v>1</v>
      </c>
      <c r="D1415" s="86">
        <v>0.5179986929689262</v>
      </c>
      <c r="E1415" s="86"/>
      <c r="F1415" s="14"/>
    </row>
    <row r="1416" spans="1:6" x14ac:dyDescent="0.25">
      <c r="A1416" s="86">
        <v>1415</v>
      </c>
      <c r="B1416" s="87">
        <v>48.458423402160406</v>
      </c>
      <c r="C1416" s="14">
        <v>4</v>
      </c>
      <c r="D1416" s="86">
        <v>0.56377021876110978</v>
      </c>
      <c r="E1416" s="86"/>
      <c r="F1416" s="14"/>
    </row>
    <row r="1417" spans="1:6" x14ac:dyDescent="0.25">
      <c r="A1417" s="86">
        <v>1416</v>
      </c>
      <c r="B1417" s="87">
        <v>52.043492354976479</v>
      </c>
      <c r="C1417" s="14">
        <v>5</v>
      </c>
      <c r="D1417" s="86">
        <v>0.76752930353522886</v>
      </c>
      <c r="E1417" s="86"/>
      <c r="F1417" s="14"/>
    </row>
    <row r="1418" spans="1:6" x14ac:dyDescent="0.25">
      <c r="A1418" s="86">
        <v>1417</v>
      </c>
      <c r="B1418" s="87">
        <v>51.994857125799172</v>
      </c>
      <c r="C1418" s="14">
        <v>2</v>
      </c>
      <c r="D1418" s="86">
        <v>9.6126712616216858E-2</v>
      </c>
      <c r="E1418" s="86"/>
      <c r="F1418" s="14"/>
    </row>
    <row r="1419" spans="1:6" x14ac:dyDescent="0.25">
      <c r="A1419" s="86">
        <v>1418</v>
      </c>
      <c r="B1419" s="87">
        <v>47.003618414571974</v>
      </c>
      <c r="C1419" s="14">
        <v>2</v>
      </c>
      <c r="D1419" s="86">
        <v>0.45720751929508141</v>
      </c>
      <c r="E1419" s="86"/>
      <c r="F1419" s="14"/>
    </row>
    <row r="1420" spans="1:6" x14ac:dyDescent="0.25">
      <c r="A1420" s="86">
        <v>1419</v>
      </c>
      <c r="B1420" s="87">
        <v>37.363929545215797</v>
      </c>
      <c r="C1420" s="14">
        <v>3</v>
      </c>
      <c r="D1420" s="86">
        <v>0.13390694021863447</v>
      </c>
      <c r="E1420" s="86"/>
      <c r="F1420" s="14"/>
    </row>
    <row r="1421" spans="1:6" x14ac:dyDescent="0.25">
      <c r="A1421" s="86">
        <v>1420</v>
      </c>
      <c r="B1421" s="87">
        <v>40.648933458549436</v>
      </c>
      <c r="C1421" s="14">
        <v>4</v>
      </c>
      <c r="D1421" s="86">
        <v>0.8710863957617111</v>
      </c>
      <c r="E1421" s="86"/>
      <c r="F1421" s="14"/>
    </row>
    <row r="1422" spans="1:6" x14ac:dyDescent="0.25">
      <c r="A1422" s="86">
        <v>1421</v>
      </c>
      <c r="B1422" s="87">
        <v>44.753647893565358</v>
      </c>
      <c r="C1422" s="14">
        <v>2</v>
      </c>
      <c r="D1422" s="86">
        <v>0.77633415224451552</v>
      </c>
      <c r="E1422" s="86"/>
      <c r="F1422" s="14"/>
    </row>
    <row r="1423" spans="1:6" x14ac:dyDescent="0.25">
      <c r="A1423" s="86">
        <v>1422</v>
      </c>
      <c r="B1423" s="87">
        <v>50.996709427970927</v>
      </c>
      <c r="C1423" s="14">
        <v>2</v>
      </c>
      <c r="D1423" s="86">
        <v>0.39338445896607643</v>
      </c>
      <c r="E1423" s="86"/>
      <c r="F1423" s="14"/>
    </row>
    <row r="1424" spans="1:6" x14ac:dyDescent="0.25">
      <c r="A1424" s="86">
        <v>1423</v>
      </c>
      <c r="B1424" s="87">
        <v>52.942596079781651</v>
      </c>
      <c r="C1424" s="14">
        <v>3</v>
      </c>
      <c r="D1424" s="86">
        <v>5.9234515609160154E-2</v>
      </c>
      <c r="E1424" s="86"/>
      <c r="F1424" s="14"/>
    </row>
    <row r="1425" spans="1:6" x14ac:dyDescent="0.25">
      <c r="A1425" s="86">
        <v>1424</v>
      </c>
      <c r="B1425" s="87">
        <v>40.240013271948555</v>
      </c>
      <c r="C1425" s="14">
        <v>2</v>
      </c>
      <c r="D1425" s="86">
        <v>0.13153251186221526</v>
      </c>
      <c r="E1425" s="86"/>
      <c r="F1425" s="14"/>
    </row>
    <row r="1426" spans="1:6" x14ac:dyDescent="0.25">
      <c r="A1426" s="86">
        <v>1425</v>
      </c>
      <c r="B1426" s="87">
        <v>47.194714620098239</v>
      </c>
      <c r="C1426" s="14">
        <v>2</v>
      </c>
      <c r="D1426" s="86">
        <v>0.838603269949032</v>
      </c>
      <c r="E1426" s="86"/>
      <c r="F1426" s="14"/>
    </row>
    <row r="1427" spans="1:6" x14ac:dyDescent="0.25">
      <c r="A1427" s="86">
        <v>1426</v>
      </c>
      <c r="B1427" s="87">
        <v>41.679157897640835</v>
      </c>
      <c r="C1427" s="14">
        <v>4</v>
      </c>
      <c r="D1427" s="86">
        <v>0.42637903172834779</v>
      </c>
      <c r="E1427" s="86"/>
      <c r="F1427" s="14"/>
    </row>
    <row r="1428" spans="1:6" x14ac:dyDescent="0.25">
      <c r="A1428" s="86">
        <v>1427</v>
      </c>
      <c r="B1428" s="87">
        <v>40.592823319791933</v>
      </c>
      <c r="C1428" s="14">
        <v>4</v>
      </c>
      <c r="D1428" s="86">
        <v>2.4878032614189083E-2</v>
      </c>
      <c r="E1428" s="86"/>
      <c r="F1428" s="14"/>
    </row>
    <row r="1429" spans="1:6" x14ac:dyDescent="0.25">
      <c r="A1429" s="86">
        <v>1428</v>
      </c>
      <c r="B1429" s="87">
        <v>45.581316493888153</v>
      </c>
      <c r="C1429" s="14">
        <v>4</v>
      </c>
      <c r="D1429" s="86">
        <v>0.73388244662941571</v>
      </c>
      <c r="E1429" s="86"/>
      <c r="F1429" s="14"/>
    </row>
    <row r="1430" spans="1:6" x14ac:dyDescent="0.25">
      <c r="A1430" s="86">
        <v>1429</v>
      </c>
      <c r="B1430" s="87">
        <v>47.772266493091593</v>
      </c>
      <c r="C1430" s="14">
        <v>2</v>
      </c>
      <c r="D1430" s="86">
        <v>0.52755057317070098</v>
      </c>
      <c r="E1430" s="86"/>
      <c r="F1430" s="14"/>
    </row>
    <row r="1431" spans="1:6" x14ac:dyDescent="0.25">
      <c r="A1431" s="86">
        <v>1430</v>
      </c>
      <c r="B1431" s="87">
        <v>57.332545106299222</v>
      </c>
      <c r="C1431" s="14">
        <v>2</v>
      </c>
      <c r="D1431" s="86">
        <v>0.83382205251480213</v>
      </c>
      <c r="E1431" s="86"/>
      <c r="F1431" s="14"/>
    </row>
    <row r="1432" spans="1:6" x14ac:dyDescent="0.25">
      <c r="A1432" s="86">
        <v>1431</v>
      </c>
      <c r="B1432" s="87">
        <v>36.085441474249819</v>
      </c>
      <c r="C1432" s="14">
        <v>4</v>
      </c>
      <c r="D1432" s="86">
        <v>0.20223503305496626</v>
      </c>
      <c r="E1432" s="86"/>
      <c r="F1432" s="14"/>
    </row>
    <row r="1433" spans="1:6" x14ac:dyDescent="0.25">
      <c r="A1433" s="86">
        <v>1432</v>
      </c>
      <c r="B1433" s="87">
        <v>45.542503807489993</v>
      </c>
      <c r="C1433" s="14">
        <v>2</v>
      </c>
      <c r="D1433" s="86">
        <v>0.90887681363910433</v>
      </c>
      <c r="E1433" s="86"/>
      <c r="F1433" s="14"/>
    </row>
    <row r="1434" spans="1:6" x14ac:dyDescent="0.25">
      <c r="A1434" s="86">
        <v>1433</v>
      </c>
      <c r="B1434" s="87">
        <v>48.313575002219295</v>
      </c>
      <c r="C1434" s="14">
        <v>5</v>
      </c>
      <c r="D1434" s="86">
        <v>1.1230198821933768E-2</v>
      </c>
      <c r="E1434" s="86"/>
      <c r="F1434" s="14"/>
    </row>
    <row r="1435" spans="1:6" x14ac:dyDescent="0.25">
      <c r="A1435" s="86">
        <v>1434</v>
      </c>
      <c r="B1435" s="87">
        <v>36.455344338144641</v>
      </c>
      <c r="C1435" s="14">
        <v>4</v>
      </c>
      <c r="D1435" s="86">
        <v>0.4432232280657854</v>
      </c>
      <c r="E1435" s="86"/>
      <c r="F1435" s="14"/>
    </row>
    <row r="1436" spans="1:6" x14ac:dyDescent="0.25">
      <c r="A1436" s="86">
        <v>1435</v>
      </c>
      <c r="B1436" s="87">
        <v>44.010300820780685</v>
      </c>
      <c r="C1436" s="14">
        <v>1</v>
      </c>
      <c r="D1436" s="86">
        <v>0.21865642825845644</v>
      </c>
      <c r="E1436" s="86"/>
      <c r="F1436" s="14"/>
    </row>
    <row r="1437" spans="1:6" x14ac:dyDescent="0.25">
      <c r="A1437" s="86">
        <v>1436</v>
      </c>
      <c r="B1437" s="87">
        <v>49.251525519473944</v>
      </c>
      <c r="C1437" s="14">
        <v>1</v>
      </c>
      <c r="D1437" s="86">
        <v>0.85340320128664771</v>
      </c>
      <c r="E1437" s="86"/>
      <c r="F1437" s="14"/>
    </row>
    <row r="1438" spans="1:6" x14ac:dyDescent="0.25">
      <c r="A1438" s="86">
        <v>1437</v>
      </c>
      <c r="B1438" s="87">
        <v>32.261596056167036</v>
      </c>
      <c r="C1438" s="14">
        <v>5</v>
      </c>
      <c r="D1438" s="86">
        <v>0.67052364914518725</v>
      </c>
      <c r="E1438" s="86"/>
      <c r="F1438" s="14"/>
    </row>
    <row r="1439" spans="1:6" x14ac:dyDescent="0.25">
      <c r="A1439" s="86">
        <v>1438</v>
      </c>
      <c r="B1439" s="87">
        <v>48.10107156515005</v>
      </c>
      <c r="C1439" s="14">
        <v>2</v>
      </c>
      <c r="D1439" s="86">
        <v>0.1232563485338628</v>
      </c>
      <c r="E1439" s="86"/>
      <c r="F1439" s="14"/>
    </row>
    <row r="1440" spans="1:6" x14ac:dyDescent="0.25">
      <c r="A1440" s="86">
        <v>1439</v>
      </c>
      <c r="B1440" s="87">
        <v>36.772644302225672</v>
      </c>
      <c r="C1440" s="14">
        <v>4</v>
      </c>
      <c r="D1440" s="86">
        <v>0.21978739140762482</v>
      </c>
      <c r="E1440" s="86"/>
      <c r="F1440" s="14"/>
    </row>
    <row r="1441" spans="1:6" x14ac:dyDescent="0.25">
      <c r="A1441" s="86">
        <v>1440</v>
      </c>
      <c r="B1441" s="87">
        <v>43.827844814921264</v>
      </c>
      <c r="C1441" s="14">
        <v>2</v>
      </c>
      <c r="D1441" s="86">
        <v>0.33411812273209796</v>
      </c>
      <c r="E1441" s="86"/>
      <c r="F1441" s="14"/>
    </row>
    <row r="1442" spans="1:6" x14ac:dyDescent="0.25">
      <c r="A1442" s="86">
        <v>1441</v>
      </c>
      <c r="B1442" s="87">
        <v>42.83033376338426</v>
      </c>
      <c r="C1442" s="14">
        <v>2</v>
      </c>
      <c r="D1442" s="86">
        <v>0.75769222923102719</v>
      </c>
      <c r="E1442" s="86"/>
      <c r="F1442" s="14"/>
    </row>
    <row r="1443" spans="1:6" x14ac:dyDescent="0.25">
      <c r="A1443" s="86">
        <v>1442</v>
      </c>
      <c r="B1443" s="87">
        <v>39.959400050400291</v>
      </c>
      <c r="C1443" s="14">
        <v>5</v>
      </c>
      <c r="D1443" s="86">
        <v>0.38016408685440073</v>
      </c>
      <c r="E1443" s="86"/>
      <c r="F1443" s="14"/>
    </row>
    <row r="1444" spans="1:6" x14ac:dyDescent="0.25">
      <c r="A1444" s="86">
        <v>1443</v>
      </c>
      <c r="B1444" s="87">
        <v>42.319555854526698</v>
      </c>
      <c r="C1444" s="14">
        <v>5</v>
      </c>
      <c r="D1444" s="86">
        <v>0.8862991920195834</v>
      </c>
      <c r="E1444" s="86"/>
      <c r="F1444" s="14"/>
    </row>
    <row r="1445" spans="1:6" x14ac:dyDescent="0.25">
      <c r="A1445" s="86">
        <v>1444</v>
      </c>
      <c r="B1445" s="87">
        <v>40.66131395517732</v>
      </c>
      <c r="C1445" s="14">
        <v>5</v>
      </c>
      <c r="D1445" s="86">
        <v>0.78668803527818898</v>
      </c>
      <c r="E1445" s="86"/>
      <c r="F1445" s="14"/>
    </row>
    <row r="1446" spans="1:6" x14ac:dyDescent="0.25">
      <c r="A1446" s="86">
        <v>1445</v>
      </c>
      <c r="B1446" s="87">
        <v>34.725985637458507</v>
      </c>
      <c r="C1446" s="14">
        <v>2</v>
      </c>
      <c r="D1446" s="86">
        <v>2.5022778283774749E-2</v>
      </c>
      <c r="E1446" s="86"/>
      <c r="F1446" s="14"/>
    </row>
    <row r="1447" spans="1:6" x14ac:dyDescent="0.25">
      <c r="A1447" s="86">
        <v>1446</v>
      </c>
      <c r="B1447" s="87">
        <v>45.346365590710775</v>
      </c>
      <c r="C1447" s="14">
        <v>4</v>
      </c>
      <c r="D1447" s="86">
        <v>0.55925842109194446</v>
      </c>
      <c r="E1447" s="86"/>
      <c r="F1447" s="14"/>
    </row>
    <row r="1448" spans="1:6" x14ac:dyDescent="0.25">
      <c r="A1448" s="86">
        <v>1447</v>
      </c>
      <c r="B1448" s="87">
        <v>39.010069480689708</v>
      </c>
      <c r="C1448" s="14">
        <v>2</v>
      </c>
      <c r="D1448" s="86">
        <v>0.80199298082091275</v>
      </c>
      <c r="E1448" s="86"/>
      <c r="F1448" s="14"/>
    </row>
    <row r="1449" spans="1:6" x14ac:dyDescent="0.25">
      <c r="A1449" s="86">
        <v>1448</v>
      </c>
      <c r="B1449" s="87">
        <v>38.612915881793015</v>
      </c>
      <c r="C1449" s="14">
        <v>4</v>
      </c>
      <c r="D1449" s="86">
        <v>0.75436124657420178</v>
      </c>
      <c r="E1449" s="86"/>
      <c r="F1449" s="14"/>
    </row>
    <row r="1450" spans="1:6" x14ac:dyDescent="0.25">
      <c r="A1450" s="86">
        <v>1449</v>
      </c>
      <c r="B1450" s="87">
        <v>42.723888777225511</v>
      </c>
      <c r="C1450" s="14">
        <v>4</v>
      </c>
      <c r="D1450" s="86">
        <v>0.71805701099162644</v>
      </c>
      <c r="E1450" s="86"/>
      <c r="F1450" s="14"/>
    </row>
    <row r="1451" spans="1:6" x14ac:dyDescent="0.25">
      <c r="A1451" s="86">
        <v>1450</v>
      </c>
      <c r="B1451" s="87">
        <v>44.646662894927431</v>
      </c>
      <c r="C1451" s="14">
        <v>5</v>
      </c>
      <c r="D1451" s="86">
        <v>0.5040041448360445</v>
      </c>
      <c r="E1451" s="86"/>
      <c r="F1451" s="14"/>
    </row>
    <row r="1452" spans="1:6" x14ac:dyDescent="0.25">
      <c r="A1452" s="86">
        <v>1451</v>
      </c>
      <c r="B1452" s="87">
        <v>44.271001792702009</v>
      </c>
      <c r="C1452" s="14">
        <v>1</v>
      </c>
      <c r="D1452" s="86">
        <v>0.31838267477678039</v>
      </c>
      <c r="E1452" s="86"/>
      <c r="F1452" s="14"/>
    </row>
    <row r="1453" spans="1:6" x14ac:dyDescent="0.25">
      <c r="A1453" s="86">
        <v>1452</v>
      </c>
      <c r="B1453" s="87">
        <v>43.103472075352329</v>
      </c>
      <c r="C1453" s="14">
        <v>4</v>
      </c>
      <c r="D1453" s="86">
        <v>0.30936327226071303</v>
      </c>
      <c r="E1453" s="86"/>
      <c r="F1453" s="14"/>
    </row>
    <row r="1454" spans="1:6" x14ac:dyDescent="0.25">
      <c r="A1454" s="86">
        <v>1453</v>
      </c>
      <c r="B1454" s="87">
        <v>43.419896650782903</v>
      </c>
      <c r="C1454" s="14">
        <v>4</v>
      </c>
      <c r="D1454" s="86">
        <v>0.90632474893658377</v>
      </c>
      <c r="E1454" s="86"/>
      <c r="F1454" s="14"/>
    </row>
    <row r="1455" spans="1:6" x14ac:dyDescent="0.25">
      <c r="A1455" s="86">
        <v>1454</v>
      </c>
      <c r="B1455" s="87">
        <v>35.535072124155704</v>
      </c>
      <c r="C1455" s="14">
        <v>1</v>
      </c>
      <c r="D1455" s="86">
        <v>6.8230870008505473E-2</v>
      </c>
      <c r="E1455" s="86"/>
      <c r="F1455" s="14"/>
    </row>
    <row r="1456" spans="1:6" x14ac:dyDescent="0.25">
      <c r="A1456" s="86">
        <v>1455</v>
      </c>
      <c r="B1456" s="87">
        <v>43.811178324511275</v>
      </c>
      <c r="C1456" s="14">
        <v>2</v>
      </c>
      <c r="D1456" s="86">
        <v>0.72542359563168624</v>
      </c>
      <c r="E1456" s="86"/>
      <c r="F1456" s="14"/>
    </row>
    <row r="1457" spans="1:6" x14ac:dyDescent="0.25">
      <c r="A1457" s="86">
        <v>1456</v>
      </c>
      <c r="B1457" s="87">
        <v>42.851763732294785</v>
      </c>
      <c r="C1457" s="14">
        <v>1</v>
      </c>
      <c r="D1457" s="86">
        <v>0.28037789893274911</v>
      </c>
      <c r="E1457" s="86"/>
      <c r="F1457" s="14"/>
    </row>
    <row r="1458" spans="1:6" x14ac:dyDescent="0.25">
      <c r="A1458" s="86">
        <v>1457</v>
      </c>
      <c r="B1458" s="87">
        <v>47.935247943649301</v>
      </c>
      <c r="C1458" s="14">
        <v>2</v>
      </c>
      <c r="D1458" s="86">
        <v>0.73019724593223934</v>
      </c>
      <c r="E1458" s="86"/>
      <c r="F1458" s="14"/>
    </row>
    <row r="1459" spans="1:6" x14ac:dyDescent="0.25">
      <c r="A1459" s="86">
        <v>1458</v>
      </c>
      <c r="B1459" s="87">
        <v>47.891239768767264</v>
      </c>
      <c r="C1459" s="14">
        <v>2</v>
      </c>
      <c r="D1459" s="86">
        <v>0.77191384461757517</v>
      </c>
      <c r="E1459" s="86"/>
      <c r="F1459" s="14"/>
    </row>
    <row r="1460" spans="1:6" x14ac:dyDescent="0.25">
      <c r="A1460" s="86">
        <v>1459</v>
      </c>
      <c r="B1460" s="87">
        <v>52.0083631221205</v>
      </c>
      <c r="C1460" s="14">
        <v>4</v>
      </c>
      <c r="D1460" s="86">
        <v>0.17927944995684275</v>
      </c>
      <c r="E1460" s="86"/>
      <c r="F1460" s="14"/>
    </row>
    <row r="1461" spans="1:6" x14ac:dyDescent="0.25">
      <c r="A1461" s="86">
        <v>1460</v>
      </c>
      <c r="B1461" s="87">
        <v>50.006269697740208</v>
      </c>
      <c r="C1461" s="14">
        <v>4</v>
      </c>
      <c r="D1461" s="86">
        <v>0.70434534735257637</v>
      </c>
      <c r="E1461" s="86"/>
      <c r="F1461" s="14"/>
    </row>
    <row r="1462" spans="1:6" x14ac:dyDescent="0.25">
      <c r="A1462" s="86">
        <v>1461</v>
      </c>
      <c r="B1462" s="87">
        <v>41.998674755057436</v>
      </c>
      <c r="C1462" s="14">
        <v>5</v>
      </c>
      <c r="D1462" s="86">
        <v>0.86451548732993322</v>
      </c>
      <c r="E1462" s="86"/>
      <c r="F1462" s="14"/>
    </row>
    <row r="1463" spans="1:6" x14ac:dyDescent="0.25">
      <c r="A1463" s="86">
        <v>1462</v>
      </c>
      <c r="B1463" s="87">
        <v>37.976826656056801</v>
      </c>
      <c r="C1463" s="14">
        <v>2</v>
      </c>
      <c r="D1463" s="86">
        <v>0.90637381530590289</v>
      </c>
      <c r="E1463" s="86"/>
      <c r="F1463" s="14"/>
    </row>
    <row r="1464" spans="1:6" x14ac:dyDescent="0.25">
      <c r="A1464" s="86">
        <v>1463</v>
      </c>
      <c r="B1464" s="87">
        <v>45.639615104271797</v>
      </c>
      <c r="C1464" s="14">
        <v>2</v>
      </c>
      <c r="D1464" s="86">
        <v>0.18248326811920479</v>
      </c>
      <c r="E1464" s="86"/>
      <c r="F1464" s="14"/>
    </row>
    <row r="1465" spans="1:6" x14ac:dyDescent="0.25">
      <c r="A1465" s="86">
        <v>1464</v>
      </c>
      <c r="B1465" s="87">
        <v>48.843048711540177</v>
      </c>
      <c r="C1465" s="14">
        <v>4</v>
      </c>
      <c r="D1465" s="86">
        <v>0.66159094894249282</v>
      </c>
      <c r="E1465" s="86"/>
      <c r="F1465" s="14"/>
    </row>
    <row r="1466" spans="1:6" x14ac:dyDescent="0.25">
      <c r="A1466" s="86">
        <v>1465</v>
      </c>
      <c r="B1466" s="87">
        <v>38.886309989145957</v>
      </c>
      <c r="C1466" s="14">
        <v>4</v>
      </c>
      <c r="D1466" s="86">
        <v>0.18315715796876098</v>
      </c>
      <c r="E1466" s="86"/>
      <c r="F1466" s="14"/>
    </row>
    <row r="1467" spans="1:6" x14ac:dyDescent="0.25">
      <c r="A1467" s="86">
        <v>1466</v>
      </c>
      <c r="B1467" s="87">
        <v>40.295526554808021</v>
      </c>
      <c r="C1467" s="14">
        <v>4</v>
      </c>
      <c r="D1467" s="86">
        <v>0.28456980800975451</v>
      </c>
      <c r="E1467" s="86"/>
      <c r="F1467" s="14"/>
    </row>
    <row r="1468" spans="1:6" x14ac:dyDescent="0.25">
      <c r="A1468" s="86">
        <v>1467</v>
      </c>
      <c r="B1468" s="87">
        <v>41.50844005777617</v>
      </c>
      <c r="C1468" s="14">
        <v>4</v>
      </c>
      <c r="D1468" s="86">
        <v>0.57112291770121737</v>
      </c>
      <c r="E1468" s="86"/>
      <c r="F1468" s="14"/>
    </row>
    <row r="1469" spans="1:6" x14ac:dyDescent="0.25">
      <c r="A1469" s="86">
        <v>1468</v>
      </c>
      <c r="B1469" s="87">
        <v>48.5241343943635</v>
      </c>
      <c r="C1469" s="14">
        <v>4</v>
      </c>
      <c r="D1469" s="86">
        <v>0.86237814144515612</v>
      </c>
      <c r="E1469" s="86"/>
      <c r="F1469" s="14"/>
    </row>
    <row r="1470" spans="1:6" x14ac:dyDescent="0.25">
      <c r="A1470" s="86">
        <v>1469</v>
      </c>
      <c r="B1470" s="87">
        <v>39.335645846556872</v>
      </c>
      <c r="C1470" s="14">
        <v>2</v>
      </c>
      <c r="D1470" s="86">
        <v>0.65088710397471783</v>
      </c>
      <c r="E1470" s="86"/>
      <c r="F1470" s="14"/>
    </row>
    <row r="1471" spans="1:6" x14ac:dyDescent="0.25">
      <c r="A1471" s="86">
        <v>1470</v>
      </c>
      <c r="B1471" s="87">
        <v>32.143452694406733</v>
      </c>
      <c r="C1471" s="14">
        <v>2</v>
      </c>
      <c r="D1471" s="86">
        <v>0.59668934331186152</v>
      </c>
      <c r="E1471" s="86"/>
      <c r="F1471" s="14"/>
    </row>
    <row r="1472" spans="1:6" x14ac:dyDescent="0.25">
      <c r="A1472" s="86">
        <v>1471</v>
      </c>
      <c r="B1472" s="87">
        <v>43.516706677444745</v>
      </c>
      <c r="C1472" s="14">
        <v>5</v>
      </c>
      <c r="D1472" s="86">
        <v>0.71672655637249227</v>
      </c>
      <c r="E1472" s="86"/>
      <c r="F1472" s="14"/>
    </row>
    <row r="1473" spans="1:6" x14ac:dyDescent="0.25">
      <c r="A1473" s="86">
        <v>1472</v>
      </c>
      <c r="B1473" s="87">
        <v>39.888686837337445</v>
      </c>
      <c r="C1473" s="14">
        <v>1</v>
      </c>
      <c r="D1473" s="86">
        <v>0.1841855573206358</v>
      </c>
      <c r="E1473" s="86"/>
      <c r="F1473" s="14"/>
    </row>
    <row r="1474" spans="1:6" x14ac:dyDescent="0.25">
      <c r="A1474" s="86">
        <v>1473</v>
      </c>
      <c r="B1474" s="87">
        <v>48.956599125056528</v>
      </c>
      <c r="C1474" s="14">
        <v>1</v>
      </c>
      <c r="D1474" s="86">
        <v>0.132509984484804</v>
      </c>
      <c r="E1474" s="86"/>
      <c r="F1474" s="14"/>
    </row>
    <row r="1475" spans="1:6" x14ac:dyDescent="0.25">
      <c r="A1475" s="86">
        <v>1474</v>
      </c>
      <c r="B1475" s="87">
        <v>33.864671417512</v>
      </c>
      <c r="C1475" s="14">
        <v>2</v>
      </c>
      <c r="D1475" s="86">
        <v>0.52280475926744518</v>
      </c>
      <c r="E1475" s="86"/>
      <c r="F1475" s="14"/>
    </row>
    <row r="1476" spans="1:6" x14ac:dyDescent="0.25">
      <c r="A1476" s="86">
        <v>1475</v>
      </c>
      <c r="B1476" s="87">
        <v>50.860899131628685</v>
      </c>
      <c r="C1476" s="14">
        <v>2</v>
      </c>
      <c r="D1476" s="86">
        <v>7.2509567775703387E-2</v>
      </c>
      <c r="E1476" s="86"/>
      <c r="F1476" s="14"/>
    </row>
    <row r="1477" spans="1:6" x14ac:dyDescent="0.25">
      <c r="A1477" s="86">
        <v>1476</v>
      </c>
      <c r="B1477" s="87">
        <v>43.76161086326465</v>
      </c>
      <c r="C1477" s="14">
        <v>4</v>
      </c>
      <c r="D1477" s="86">
        <v>0.95746786354747038</v>
      </c>
      <c r="E1477" s="86"/>
      <c r="F1477" s="14"/>
    </row>
    <row r="1478" spans="1:6" x14ac:dyDescent="0.25">
      <c r="A1478" s="86">
        <v>1477</v>
      </c>
      <c r="B1478" s="87">
        <v>49.580864919669693</v>
      </c>
      <c r="C1478" s="14">
        <v>1</v>
      </c>
      <c r="D1478" s="86">
        <v>0.92982627033609866</v>
      </c>
      <c r="E1478" s="86"/>
      <c r="F1478" s="14"/>
    </row>
    <row r="1479" spans="1:6" x14ac:dyDescent="0.25">
      <c r="A1479" s="86">
        <v>1478</v>
      </c>
      <c r="B1479" s="87">
        <v>35.87854279828025</v>
      </c>
      <c r="C1479" s="14">
        <v>2</v>
      </c>
      <c r="D1479" s="86">
        <v>0.66755872429313734</v>
      </c>
      <c r="E1479" s="86"/>
      <c r="F1479" s="14"/>
    </row>
    <row r="1480" spans="1:6" x14ac:dyDescent="0.25">
      <c r="A1480" s="86">
        <v>1479</v>
      </c>
      <c r="B1480" s="87">
        <v>31.529998518060893</v>
      </c>
      <c r="C1480" s="14">
        <v>4</v>
      </c>
      <c r="D1480" s="86">
        <v>0.99170091296560414</v>
      </c>
      <c r="E1480" s="86"/>
      <c r="F1480" s="14"/>
    </row>
    <row r="1481" spans="1:6" x14ac:dyDescent="0.25">
      <c r="A1481" s="86">
        <v>1480</v>
      </c>
      <c r="B1481" s="87">
        <v>37.981260442727944</v>
      </c>
      <c r="C1481" s="14">
        <v>3</v>
      </c>
      <c r="D1481" s="86">
        <v>0.65032369001283785</v>
      </c>
      <c r="E1481" s="86"/>
      <c r="F1481" s="14"/>
    </row>
    <row r="1482" spans="1:6" x14ac:dyDescent="0.25">
      <c r="A1482" s="86">
        <v>1481</v>
      </c>
      <c r="B1482" s="87">
        <v>43.018934542822535</v>
      </c>
      <c r="C1482" s="14">
        <v>4</v>
      </c>
      <c r="D1482" s="86">
        <v>0.49993607244087113</v>
      </c>
      <c r="E1482" s="86"/>
      <c r="F1482" s="14"/>
    </row>
    <row r="1483" spans="1:6" x14ac:dyDescent="0.25">
      <c r="A1483" s="86">
        <v>1482</v>
      </c>
      <c r="B1483" s="87">
        <v>46.096477030339884</v>
      </c>
      <c r="C1483" s="14">
        <v>2</v>
      </c>
      <c r="D1483" s="86">
        <v>0.52149389557164083</v>
      </c>
      <c r="E1483" s="86"/>
      <c r="F1483" s="14"/>
    </row>
    <row r="1484" spans="1:6" x14ac:dyDescent="0.25">
      <c r="A1484" s="86">
        <v>1483</v>
      </c>
      <c r="B1484" s="87">
        <v>49.718869371979963</v>
      </c>
      <c r="C1484" s="14">
        <v>5</v>
      </c>
      <c r="D1484" s="86">
        <v>0.68151443587601901</v>
      </c>
      <c r="E1484" s="86"/>
      <c r="F1484" s="14"/>
    </row>
    <row r="1485" spans="1:6" x14ac:dyDescent="0.25">
      <c r="A1485" s="86">
        <v>1484</v>
      </c>
      <c r="B1485" s="87">
        <v>40.341899415914668</v>
      </c>
      <c r="C1485" s="14">
        <v>2</v>
      </c>
      <c r="D1485" s="86">
        <v>0.53765393812594597</v>
      </c>
      <c r="E1485" s="86"/>
      <c r="F1485" s="14"/>
    </row>
    <row r="1486" spans="1:6" x14ac:dyDescent="0.25">
      <c r="A1486" s="86">
        <v>1485</v>
      </c>
      <c r="B1486" s="87">
        <v>39.968136883879197</v>
      </c>
      <c r="C1486" s="14">
        <v>2</v>
      </c>
      <c r="D1486" s="86">
        <v>0.3956268404350568</v>
      </c>
      <c r="E1486" s="86"/>
      <c r="F1486" s="14"/>
    </row>
    <row r="1487" spans="1:6" x14ac:dyDescent="0.25">
      <c r="A1487" s="86">
        <v>1486</v>
      </c>
      <c r="B1487" s="87">
        <v>46.149466465401929</v>
      </c>
      <c r="C1487" s="14">
        <v>2</v>
      </c>
      <c r="D1487" s="86">
        <v>0.42734269136982628</v>
      </c>
      <c r="E1487" s="86"/>
      <c r="F1487" s="14"/>
    </row>
    <row r="1488" spans="1:6" x14ac:dyDescent="0.25">
      <c r="A1488" s="86">
        <v>1487</v>
      </c>
      <c r="B1488" s="87">
        <v>40.372248117244453</v>
      </c>
      <c r="C1488" s="14">
        <v>5</v>
      </c>
      <c r="D1488" s="86">
        <v>0.54137840196256637</v>
      </c>
      <c r="E1488" s="86"/>
      <c r="F1488" s="14"/>
    </row>
    <row r="1489" spans="1:6" x14ac:dyDescent="0.25">
      <c r="A1489" s="86">
        <v>1488</v>
      </c>
      <c r="B1489" s="87">
        <v>49.248183126444928</v>
      </c>
      <c r="C1489" s="14">
        <v>2</v>
      </c>
      <c r="D1489" s="86">
        <v>0.24415455638359351</v>
      </c>
      <c r="E1489" s="86"/>
      <c r="F1489" s="14"/>
    </row>
    <row r="1490" spans="1:6" x14ac:dyDescent="0.25">
      <c r="A1490" s="86">
        <v>1489</v>
      </c>
      <c r="B1490" s="87">
        <v>40.389357986321556</v>
      </c>
      <c r="C1490" s="14">
        <v>4</v>
      </c>
      <c r="D1490" s="86">
        <v>0.15734248452864363</v>
      </c>
      <c r="E1490" s="86"/>
      <c r="F1490" s="14"/>
    </row>
    <row r="1491" spans="1:6" x14ac:dyDescent="0.25">
      <c r="A1491" s="86">
        <v>1490</v>
      </c>
      <c r="B1491" s="87">
        <v>48.373146905185422</v>
      </c>
      <c r="C1491" s="14">
        <v>5</v>
      </c>
      <c r="D1491" s="86">
        <v>0.25137289568998755</v>
      </c>
      <c r="E1491" s="86"/>
      <c r="F1491" s="14"/>
    </row>
    <row r="1492" spans="1:6" x14ac:dyDescent="0.25">
      <c r="A1492" s="86">
        <v>1491</v>
      </c>
      <c r="B1492" s="87">
        <v>40.45009517937433</v>
      </c>
      <c r="C1492" s="14">
        <v>3</v>
      </c>
      <c r="D1492" s="86">
        <v>0.52509988546462916</v>
      </c>
      <c r="E1492" s="86"/>
      <c r="F1492" s="14"/>
    </row>
    <row r="1493" spans="1:6" x14ac:dyDescent="0.25">
      <c r="A1493" s="86">
        <v>1492</v>
      </c>
      <c r="B1493" s="87">
        <v>46.339744125696598</v>
      </c>
      <c r="C1493" s="14">
        <v>1</v>
      </c>
      <c r="D1493" s="86">
        <v>0.37271159588214708</v>
      </c>
      <c r="E1493" s="86"/>
      <c r="F1493" s="14"/>
    </row>
    <row r="1494" spans="1:6" x14ac:dyDescent="0.25">
      <c r="A1494" s="86">
        <v>1493</v>
      </c>
      <c r="B1494" s="87">
        <v>37.763834365585353</v>
      </c>
      <c r="C1494" s="14">
        <v>5</v>
      </c>
      <c r="D1494" s="86">
        <v>4.2285101474772713E-2</v>
      </c>
      <c r="E1494" s="86"/>
      <c r="F1494" s="14"/>
    </row>
    <row r="1495" spans="1:6" x14ac:dyDescent="0.25">
      <c r="A1495" s="86">
        <v>1494</v>
      </c>
      <c r="B1495" s="87">
        <v>34.4105956122512</v>
      </c>
      <c r="C1495" s="14">
        <v>1</v>
      </c>
      <c r="D1495" s="86">
        <v>0.66901137116607257</v>
      </c>
      <c r="E1495" s="86"/>
      <c r="F1495" s="14"/>
    </row>
    <row r="1496" spans="1:6" x14ac:dyDescent="0.25">
      <c r="A1496" s="86">
        <v>1495</v>
      </c>
      <c r="B1496" s="87">
        <v>46.178445240337169</v>
      </c>
      <c r="C1496" s="14">
        <v>2</v>
      </c>
      <c r="D1496" s="86">
        <v>0.57662377917993601</v>
      </c>
      <c r="E1496" s="86"/>
      <c r="F1496" s="14"/>
    </row>
    <row r="1497" spans="1:6" x14ac:dyDescent="0.25">
      <c r="A1497" s="86">
        <v>1496</v>
      </c>
      <c r="B1497" s="87">
        <v>32.798561728093773</v>
      </c>
      <c r="C1497" s="14">
        <v>2</v>
      </c>
      <c r="D1497" s="86">
        <v>4.5199102624950971E-2</v>
      </c>
      <c r="E1497" s="86"/>
      <c r="F1497" s="14"/>
    </row>
    <row r="1498" spans="1:6" x14ac:dyDescent="0.25">
      <c r="A1498" s="86">
        <v>1497</v>
      </c>
      <c r="B1498" s="87">
        <v>34.403888088825624</v>
      </c>
      <c r="C1498" s="14">
        <v>2</v>
      </c>
      <c r="D1498" s="86">
        <v>0.3087809354212937</v>
      </c>
      <c r="E1498" s="86"/>
      <c r="F1498" s="14"/>
    </row>
    <row r="1499" spans="1:6" x14ac:dyDescent="0.25">
      <c r="A1499" s="86">
        <v>1498</v>
      </c>
      <c r="B1499" s="87">
        <v>50.98436303739436</v>
      </c>
      <c r="C1499" s="14">
        <v>4</v>
      </c>
      <c r="D1499" s="86">
        <v>0.54081111220375688</v>
      </c>
      <c r="E1499" s="86"/>
      <c r="F1499" s="14"/>
    </row>
    <row r="1500" spans="1:6" x14ac:dyDescent="0.25">
      <c r="A1500" s="86">
        <v>1499</v>
      </c>
      <c r="B1500" s="87">
        <v>36.067490322573576</v>
      </c>
      <c r="C1500" s="14">
        <v>5</v>
      </c>
      <c r="D1500" s="86">
        <v>0.33022677248690413</v>
      </c>
      <c r="E1500" s="86"/>
      <c r="F1500" s="14"/>
    </row>
    <row r="1501" spans="1:6" x14ac:dyDescent="0.25">
      <c r="A1501" s="86">
        <v>1500</v>
      </c>
      <c r="B1501" s="87">
        <v>41.580267401848687</v>
      </c>
      <c r="C1501" s="14">
        <v>2</v>
      </c>
      <c r="D1501" s="86">
        <v>0.67492852756162147</v>
      </c>
      <c r="E1501" s="86"/>
      <c r="F1501" s="14"/>
    </row>
    <row r="1502" spans="1:6" x14ac:dyDescent="0.25">
      <c r="A1502" s="86">
        <v>1501</v>
      </c>
      <c r="B1502" s="87">
        <v>35.213270161300898</v>
      </c>
      <c r="C1502" s="14">
        <v>5</v>
      </c>
      <c r="D1502" s="86">
        <v>0.1986899605650726</v>
      </c>
      <c r="E1502" s="86"/>
      <c r="F1502" s="14"/>
    </row>
    <row r="1503" spans="1:6" x14ac:dyDescent="0.25">
      <c r="A1503" s="86">
        <v>1502</v>
      </c>
      <c r="B1503" s="87">
        <v>43.565955815545749</v>
      </c>
      <c r="C1503" s="14">
        <v>4</v>
      </c>
      <c r="D1503" s="86">
        <v>0.11169227609048216</v>
      </c>
      <c r="E1503" s="86"/>
      <c r="F1503" s="14"/>
    </row>
    <row r="1504" spans="1:6" x14ac:dyDescent="0.25">
      <c r="A1504" s="86">
        <v>1503</v>
      </c>
      <c r="B1504" s="87">
        <v>40.378392890823307</v>
      </c>
      <c r="C1504" s="14">
        <v>4</v>
      </c>
      <c r="D1504" s="86">
        <v>0.69239010404930068</v>
      </c>
      <c r="E1504" s="86"/>
      <c r="F1504" s="14"/>
    </row>
    <row r="1505" spans="1:6" x14ac:dyDescent="0.25">
      <c r="A1505" s="86">
        <v>1504</v>
      </c>
      <c r="B1505" s="87">
        <v>46.707521045726025</v>
      </c>
      <c r="C1505" s="14">
        <v>5</v>
      </c>
      <c r="D1505" s="86">
        <v>0.60123942549346043</v>
      </c>
      <c r="E1505" s="86"/>
      <c r="F1505" s="14"/>
    </row>
    <row r="1506" spans="1:6" x14ac:dyDescent="0.25">
      <c r="A1506" s="86">
        <v>1505</v>
      </c>
      <c r="B1506" s="87">
        <v>43.572117642150261</v>
      </c>
      <c r="C1506" s="14">
        <v>2</v>
      </c>
      <c r="D1506" s="86">
        <v>0.78320339712823761</v>
      </c>
      <c r="E1506" s="86"/>
      <c r="F1506" s="14"/>
    </row>
    <row r="1507" spans="1:6" x14ac:dyDescent="0.25">
      <c r="A1507" s="86">
        <v>1506</v>
      </c>
      <c r="B1507" s="87">
        <v>53.067196853924543</v>
      </c>
      <c r="C1507" s="14">
        <v>1</v>
      </c>
      <c r="D1507" s="86">
        <v>0.28651521474085984</v>
      </c>
      <c r="E1507" s="86"/>
      <c r="F1507" s="14"/>
    </row>
    <row r="1508" spans="1:6" x14ac:dyDescent="0.25">
      <c r="A1508" s="86">
        <v>1507</v>
      </c>
      <c r="B1508" s="87">
        <v>51.599454304203391</v>
      </c>
      <c r="C1508" s="14">
        <v>2</v>
      </c>
      <c r="D1508" s="86">
        <v>0.43140424712435643</v>
      </c>
      <c r="E1508" s="86"/>
      <c r="F1508" s="14"/>
    </row>
    <row r="1509" spans="1:6" x14ac:dyDescent="0.25">
      <c r="A1509" s="86">
        <v>1508</v>
      </c>
      <c r="B1509" s="87">
        <v>34.800268617225811</v>
      </c>
      <c r="C1509" s="14">
        <v>2</v>
      </c>
      <c r="D1509" s="86">
        <v>0.99984416100270646</v>
      </c>
      <c r="E1509" s="86"/>
      <c r="F1509" s="14"/>
    </row>
    <row r="1510" spans="1:6" x14ac:dyDescent="0.25">
      <c r="A1510" s="86">
        <v>1509</v>
      </c>
      <c r="B1510" s="87">
        <v>44.197264509755769</v>
      </c>
      <c r="C1510" s="14">
        <v>2</v>
      </c>
      <c r="D1510" s="86">
        <v>0.50000167674033491</v>
      </c>
      <c r="E1510" s="86"/>
      <c r="F1510" s="14"/>
    </row>
    <row r="1511" spans="1:6" x14ac:dyDescent="0.25">
      <c r="A1511" s="86">
        <v>1510</v>
      </c>
      <c r="B1511" s="87">
        <v>39.440908489603316</v>
      </c>
      <c r="C1511" s="14">
        <v>4</v>
      </c>
      <c r="D1511" s="86">
        <v>0.2441655149665084</v>
      </c>
      <c r="E1511" s="86"/>
      <c r="F1511" s="14"/>
    </row>
    <row r="1512" spans="1:6" x14ac:dyDescent="0.25">
      <c r="A1512" s="86">
        <v>1511</v>
      </c>
      <c r="B1512" s="87">
        <v>46.165814632666297</v>
      </c>
      <c r="C1512" s="14">
        <v>2</v>
      </c>
      <c r="D1512" s="86">
        <v>0.36934514908167371</v>
      </c>
      <c r="E1512" s="86"/>
      <c r="F1512" s="14"/>
    </row>
    <row r="1513" spans="1:6" x14ac:dyDescent="0.25">
      <c r="A1513" s="86">
        <v>1512</v>
      </c>
      <c r="B1513" s="87">
        <v>45.358331130380975</v>
      </c>
      <c r="C1513" s="14">
        <v>4</v>
      </c>
      <c r="D1513" s="86">
        <v>0.76906571628663378</v>
      </c>
      <c r="E1513" s="86"/>
      <c r="F1513" s="14"/>
    </row>
    <row r="1514" spans="1:6" x14ac:dyDescent="0.25">
      <c r="A1514" s="86">
        <v>1513</v>
      </c>
      <c r="B1514" s="87">
        <v>48.043489181844052</v>
      </c>
      <c r="C1514" s="14">
        <v>5</v>
      </c>
      <c r="D1514" s="86">
        <v>0.65581244918424275</v>
      </c>
      <c r="E1514" s="86"/>
      <c r="F1514" s="14"/>
    </row>
    <row r="1515" spans="1:6" x14ac:dyDescent="0.25">
      <c r="A1515" s="86">
        <v>1514</v>
      </c>
      <c r="B1515" s="87">
        <v>50.063908924465068</v>
      </c>
      <c r="C1515" s="14">
        <v>5</v>
      </c>
      <c r="D1515" s="86">
        <v>0.41102234912080782</v>
      </c>
      <c r="E1515" s="86"/>
      <c r="F1515" s="14"/>
    </row>
    <row r="1516" spans="1:6" x14ac:dyDescent="0.25">
      <c r="A1516" s="86">
        <v>1515</v>
      </c>
      <c r="B1516" s="87">
        <v>47.970229383616243</v>
      </c>
      <c r="C1516" s="14">
        <v>1</v>
      </c>
      <c r="D1516" s="86">
        <v>0.53245911155267023</v>
      </c>
      <c r="E1516" s="86"/>
      <c r="F1516" s="14"/>
    </row>
    <row r="1517" spans="1:6" x14ac:dyDescent="0.25">
      <c r="A1517" s="86">
        <v>1516</v>
      </c>
      <c r="B1517" s="87">
        <v>44.24337020679377</v>
      </c>
      <c r="C1517" s="14">
        <v>4</v>
      </c>
      <c r="D1517" s="86">
        <v>0.87115781131914749</v>
      </c>
      <c r="E1517" s="86"/>
      <c r="F1517" s="14"/>
    </row>
    <row r="1518" spans="1:6" x14ac:dyDescent="0.25">
      <c r="A1518" s="86">
        <v>1517</v>
      </c>
      <c r="B1518" s="87">
        <v>41.327473349490901</v>
      </c>
      <c r="C1518" s="14">
        <v>2</v>
      </c>
      <c r="D1518" s="86">
        <v>0.19796244925868478</v>
      </c>
      <c r="E1518" s="86"/>
      <c r="F1518" s="14"/>
    </row>
    <row r="1519" spans="1:6" x14ac:dyDescent="0.25">
      <c r="A1519" s="86">
        <v>1518</v>
      </c>
      <c r="B1519" s="87">
        <v>44.942862581927329</v>
      </c>
      <c r="C1519" s="14">
        <v>5</v>
      </c>
      <c r="D1519" s="86">
        <v>0.33299317107251947</v>
      </c>
      <c r="E1519" s="86"/>
      <c r="F1519" s="14"/>
    </row>
    <row r="1520" spans="1:6" x14ac:dyDescent="0.25">
      <c r="A1520" s="86">
        <v>1519</v>
      </c>
      <c r="B1520" s="87">
        <v>40.730225231862278</v>
      </c>
      <c r="C1520" s="14">
        <v>2</v>
      </c>
      <c r="D1520" s="86">
        <v>0.67062405608268039</v>
      </c>
      <c r="E1520" s="86"/>
      <c r="F1520" s="14"/>
    </row>
    <row r="1521" spans="1:6" x14ac:dyDescent="0.25">
      <c r="A1521" s="86">
        <v>1520</v>
      </c>
      <c r="B1521" s="87">
        <v>40.804178519800189</v>
      </c>
      <c r="C1521" s="14">
        <v>4</v>
      </c>
      <c r="D1521" s="86">
        <v>0.57971336984697619</v>
      </c>
      <c r="E1521" s="86"/>
      <c r="F1521" s="14"/>
    </row>
    <row r="1522" spans="1:6" x14ac:dyDescent="0.25">
      <c r="A1522" s="86">
        <v>1521</v>
      </c>
      <c r="B1522" s="87">
        <v>52.592167771188542</v>
      </c>
      <c r="C1522" s="14">
        <v>2</v>
      </c>
      <c r="D1522" s="86">
        <v>0.94828726534763519</v>
      </c>
      <c r="E1522" s="86"/>
      <c r="F1522" s="14"/>
    </row>
    <row r="1523" spans="1:6" x14ac:dyDescent="0.25">
      <c r="A1523" s="86">
        <v>1522</v>
      </c>
      <c r="B1523" s="87">
        <v>41.177850102365483</v>
      </c>
      <c r="C1523" s="14">
        <v>2</v>
      </c>
      <c r="D1523" s="86">
        <v>0.59274879856125084</v>
      </c>
      <c r="E1523" s="86"/>
      <c r="F1523" s="14"/>
    </row>
    <row r="1524" spans="1:6" x14ac:dyDescent="0.25">
      <c r="A1524" s="86">
        <v>1523</v>
      </c>
      <c r="B1524" s="87">
        <v>49.592699719476514</v>
      </c>
      <c r="C1524" s="14">
        <v>5</v>
      </c>
      <c r="D1524" s="86">
        <v>0.38955962945470624</v>
      </c>
      <c r="E1524" s="86"/>
      <c r="F1524" s="14"/>
    </row>
    <row r="1525" spans="1:6" x14ac:dyDescent="0.25">
      <c r="A1525" s="86">
        <v>1524</v>
      </c>
      <c r="B1525" s="87">
        <v>46.016248228959739</v>
      </c>
      <c r="C1525" s="14">
        <v>5</v>
      </c>
      <c r="D1525" s="86">
        <v>0.42833506137803257</v>
      </c>
      <c r="E1525" s="86"/>
      <c r="F1525" s="14"/>
    </row>
    <row r="1526" spans="1:6" x14ac:dyDescent="0.25">
      <c r="A1526" s="86">
        <v>1525</v>
      </c>
      <c r="B1526" s="87">
        <v>44.634953150642104</v>
      </c>
      <c r="C1526" s="14">
        <v>4</v>
      </c>
      <c r="D1526" s="86">
        <v>0.88049379306901887</v>
      </c>
      <c r="E1526" s="86"/>
      <c r="F1526" s="14"/>
    </row>
    <row r="1527" spans="1:6" x14ac:dyDescent="0.25">
      <c r="A1527" s="86">
        <v>1526</v>
      </c>
      <c r="B1527" s="87">
        <v>34.861295711714774</v>
      </c>
      <c r="C1527" s="14">
        <v>3</v>
      </c>
      <c r="D1527" s="86">
        <v>0.11686356981382218</v>
      </c>
      <c r="E1527" s="86"/>
      <c r="F1527" s="14"/>
    </row>
    <row r="1528" spans="1:6" x14ac:dyDescent="0.25">
      <c r="A1528" s="86">
        <v>1527</v>
      </c>
      <c r="B1528" s="87">
        <v>39.611813912750222</v>
      </c>
      <c r="C1528" s="14">
        <v>5</v>
      </c>
      <c r="D1528" s="86">
        <v>0.69123656855918325</v>
      </c>
      <c r="E1528" s="86"/>
      <c r="F1528" s="14"/>
    </row>
    <row r="1529" spans="1:6" x14ac:dyDescent="0.25">
      <c r="A1529" s="86">
        <v>1528</v>
      </c>
      <c r="B1529" s="87">
        <v>38.786220097215846</v>
      </c>
      <c r="C1529" s="14">
        <v>4</v>
      </c>
      <c r="D1529" s="86">
        <v>0.85066139056341528</v>
      </c>
      <c r="E1529" s="86"/>
      <c r="F1529" s="14"/>
    </row>
    <row r="1530" spans="1:6" x14ac:dyDescent="0.25">
      <c r="A1530" s="86">
        <v>1529</v>
      </c>
      <c r="B1530" s="87">
        <v>41.478017460001865</v>
      </c>
      <c r="C1530" s="14">
        <v>1</v>
      </c>
      <c r="D1530" s="86">
        <v>0.16233433498776428</v>
      </c>
      <c r="E1530" s="86"/>
      <c r="F1530" s="14"/>
    </row>
    <row r="1531" spans="1:6" x14ac:dyDescent="0.25">
      <c r="A1531" s="86">
        <v>1530</v>
      </c>
      <c r="B1531" s="87">
        <v>39.798590018443065</v>
      </c>
      <c r="C1531" s="14">
        <v>2</v>
      </c>
      <c r="D1531" s="86">
        <v>0.66531228711700285</v>
      </c>
      <c r="E1531" s="86"/>
      <c r="F1531" s="14"/>
    </row>
    <row r="1532" spans="1:6" x14ac:dyDescent="0.25">
      <c r="A1532" s="86">
        <v>1531</v>
      </c>
      <c r="B1532" s="87">
        <v>40.202968415876967</v>
      </c>
      <c r="C1532" s="14">
        <v>5</v>
      </c>
      <c r="D1532" s="86">
        <v>0.30990505869109919</v>
      </c>
      <c r="E1532" s="86"/>
      <c r="F1532" s="14"/>
    </row>
    <row r="1533" spans="1:6" x14ac:dyDescent="0.25">
      <c r="A1533" s="86">
        <v>1532</v>
      </c>
      <c r="B1533" s="87">
        <v>49.131313057267107</v>
      </c>
      <c r="C1533" s="14">
        <v>2</v>
      </c>
      <c r="D1533" s="86">
        <v>0.34582617198284327</v>
      </c>
      <c r="E1533" s="86"/>
      <c r="F1533" s="14"/>
    </row>
    <row r="1534" spans="1:6" x14ac:dyDescent="0.25">
      <c r="A1534" s="86">
        <v>1533</v>
      </c>
      <c r="B1534" s="87">
        <v>42.605813627567841</v>
      </c>
      <c r="C1534" s="14">
        <v>4</v>
      </c>
      <c r="D1534" s="86">
        <v>0.3181820775443075</v>
      </c>
      <c r="E1534" s="86"/>
      <c r="F1534" s="14"/>
    </row>
    <row r="1535" spans="1:6" x14ac:dyDescent="0.25">
      <c r="A1535" s="86">
        <v>1534</v>
      </c>
      <c r="B1535" s="87">
        <v>46.853108410112327</v>
      </c>
      <c r="C1535" s="14">
        <v>4</v>
      </c>
      <c r="D1535" s="86">
        <v>9.1764581904474785E-2</v>
      </c>
      <c r="E1535" s="86"/>
      <c r="F1535" s="14"/>
    </row>
    <row r="1536" spans="1:6" x14ac:dyDescent="0.25">
      <c r="A1536" s="86">
        <v>1535</v>
      </c>
      <c r="B1536" s="87">
        <v>44.319256170972949</v>
      </c>
      <c r="C1536" s="14">
        <v>1</v>
      </c>
      <c r="D1536" s="86">
        <v>0.25563818264142901</v>
      </c>
      <c r="E1536" s="86"/>
      <c r="F1536" s="14"/>
    </row>
    <row r="1537" spans="1:6" x14ac:dyDescent="0.25">
      <c r="A1537" s="86">
        <v>1536</v>
      </c>
      <c r="B1537" s="87">
        <v>45.125693754351232</v>
      </c>
      <c r="C1537" s="14">
        <v>2</v>
      </c>
      <c r="D1537" s="86">
        <v>0.97956932099394622</v>
      </c>
      <c r="E1537" s="86"/>
      <c r="F1537" s="14"/>
    </row>
    <row r="1538" spans="1:6" x14ac:dyDescent="0.25">
      <c r="A1538" s="86">
        <v>1537</v>
      </c>
      <c r="B1538" s="87">
        <v>51.870347301126458</v>
      </c>
      <c r="C1538" s="14">
        <v>2</v>
      </c>
      <c r="D1538" s="86">
        <v>0.10331045929500615</v>
      </c>
      <c r="E1538" s="86"/>
      <c r="F1538" s="14"/>
    </row>
    <row r="1539" spans="1:6" x14ac:dyDescent="0.25">
      <c r="A1539" s="86">
        <v>1538</v>
      </c>
      <c r="B1539" s="87">
        <v>49.08694108450436</v>
      </c>
      <c r="C1539" s="14">
        <v>2</v>
      </c>
      <c r="D1539" s="86">
        <v>0.66964450329708491</v>
      </c>
      <c r="E1539" s="86"/>
      <c r="F1539" s="14"/>
    </row>
    <row r="1540" spans="1:6" x14ac:dyDescent="0.25">
      <c r="A1540" s="86">
        <v>1539</v>
      </c>
      <c r="B1540" s="87">
        <v>41.581063209712738</v>
      </c>
      <c r="C1540" s="14">
        <v>5</v>
      </c>
      <c r="D1540" s="86">
        <v>0.23580714254416169</v>
      </c>
      <c r="E1540" s="86"/>
      <c r="F1540" s="14"/>
    </row>
    <row r="1541" spans="1:6" x14ac:dyDescent="0.25">
      <c r="A1541" s="86">
        <v>1540</v>
      </c>
      <c r="B1541" s="87">
        <v>41.06991581863258</v>
      </c>
      <c r="C1541" s="14">
        <v>2</v>
      </c>
      <c r="D1541" s="86">
        <v>0.63257597596832371</v>
      </c>
      <c r="E1541" s="86"/>
      <c r="F1541" s="14"/>
    </row>
    <row r="1542" spans="1:6" x14ac:dyDescent="0.25">
      <c r="A1542" s="86">
        <v>1541</v>
      </c>
      <c r="B1542" s="87">
        <v>45.41792008637276</v>
      </c>
      <c r="C1542" s="14">
        <v>3</v>
      </c>
      <c r="D1542" s="86">
        <v>0.96764498505181329</v>
      </c>
      <c r="E1542" s="86"/>
      <c r="F1542" s="14"/>
    </row>
    <row r="1543" spans="1:6" x14ac:dyDescent="0.25">
      <c r="A1543" s="86">
        <v>1542</v>
      </c>
      <c r="B1543" s="87">
        <v>45.653257524798391</v>
      </c>
      <c r="C1543" s="14">
        <v>1</v>
      </c>
      <c r="D1543" s="86">
        <v>0.8270921628398511</v>
      </c>
      <c r="E1543" s="86"/>
      <c r="F1543" s="14"/>
    </row>
    <row r="1544" spans="1:6" x14ac:dyDescent="0.25">
      <c r="A1544" s="86">
        <v>1543</v>
      </c>
      <c r="B1544" s="87">
        <v>33.178730513434857</v>
      </c>
      <c r="C1544" s="14">
        <v>5</v>
      </c>
      <c r="D1544" s="86">
        <v>0.71489897074227016</v>
      </c>
      <c r="E1544" s="86"/>
      <c r="F1544" s="14"/>
    </row>
    <row r="1545" spans="1:6" x14ac:dyDescent="0.25">
      <c r="A1545" s="86">
        <v>1544</v>
      </c>
      <c r="B1545" s="87">
        <v>36.758490290929331</v>
      </c>
      <c r="C1545" s="14">
        <v>2</v>
      </c>
      <c r="D1545" s="86">
        <v>0.50164577584909464</v>
      </c>
      <c r="E1545" s="86"/>
      <c r="F1545" s="14"/>
    </row>
    <row r="1546" spans="1:6" x14ac:dyDescent="0.25">
      <c r="A1546" s="86">
        <v>1545</v>
      </c>
      <c r="B1546" s="87">
        <v>45.896433670684928</v>
      </c>
      <c r="C1546" s="14">
        <v>3</v>
      </c>
      <c r="D1546" s="86">
        <v>0.91430234539561306</v>
      </c>
      <c r="E1546" s="86"/>
      <c r="F1546" s="14"/>
    </row>
    <row r="1547" spans="1:6" x14ac:dyDescent="0.25">
      <c r="A1547" s="86">
        <v>1546</v>
      </c>
      <c r="B1547" s="87">
        <v>47.222511051921174</v>
      </c>
      <c r="C1547" s="14">
        <v>2</v>
      </c>
      <c r="D1547" s="86">
        <v>0.86363788689080956</v>
      </c>
      <c r="E1547" s="86"/>
      <c r="F1547" s="14"/>
    </row>
    <row r="1548" spans="1:6" x14ac:dyDescent="0.25">
      <c r="A1548" s="86">
        <v>1547</v>
      </c>
      <c r="B1548" s="87">
        <v>47.659477781387977</v>
      </c>
      <c r="C1548" s="14">
        <v>4</v>
      </c>
      <c r="D1548" s="86">
        <v>0.30974847179613452</v>
      </c>
      <c r="E1548" s="86"/>
      <c r="F1548" s="14"/>
    </row>
    <row r="1549" spans="1:6" x14ac:dyDescent="0.25">
      <c r="A1549" s="86">
        <v>1548</v>
      </c>
      <c r="B1549" s="87">
        <v>41.113526089582592</v>
      </c>
      <c r="C1549" s="14">
        <v>2</v>
      </c>
      <c r="D1549" s="86">
        <v>0.46684861237168573</v>
      </c>
      <c r="E1549" s="86"/>
      <c r="F1549" s="14"/>
    </row>
    <row r="1550" spans="1:6" x14ac:dyDescent="0.25">
      <c r="A1550" s="86">
        <v>1549</v>
      </c>
      <c r="B1550" s="87">
        <v>39.567407833936159</v>
      </c>
      <c r="C1550" s="14">
        <v>2</v>
      </c>
      <c r="D1550" s="86">
        <v>0.96046814159435556</v>
      </c>
      <c r="E1550" s="86"/>
      <c r="F1550" s="14"/>
    </row>
    <row r="1551" spans="1:6" x14ac:dyDescent="0.25">
      <c r="A1551" s="86">
        <v>1550</v>
      </c>
      <c r="B1551" s="87">
        <v>47.174626155872829</v>
      </c>
      <c r="C1551" s="14">
        <v>4</v>
      </c>
      <c r="D1551" s="86">
        <v>0.98408284256675249</v>
      </c>
      <c r="E1551" s="86"/>
      <c r="F1551" s="14"/>
    </row>
    <row r="1552" spans="1:6" x14ac:dyDescent="0.25">
      <c r="A1552" s="86">
        <v>1551</v>
      </c>
      <c r="B1552" s="87">
        <v>50.752191777399275</v>
      </c>
      <c r="C1552" s="14">
        <v>1</v>
      </c>
      <c r="D1552" s="86">
        <v>0.33660256724245541</v>
      </c>
      <c r="E1552" s="86"/>
      <c r="F1552" s="14"/>
    </row>
    <row r="1553" spans="1:6" x14ac:dyDescent="0.25">
      <c r="A1553" s="86">
        <v>1552</v>
      </c>
      <c r="B1553" s="87">
        <v>37.796155533549609</v>
      </c>
      <c r="C1553" s="14">
        <v>4</v>
      </c>
      <c r="D1553" s="86">
        <v>0.9001724001225645</v>
      </c>
      <c r="E1553" s="86"/>
      <c r="F1553" s="14"/>
    </row>
    <row r="1554" spans="1:6" x14ac:dyDescent="0.25">
      <c r="A1554" s="86">
        <v>1553</v>
      </c>
      <c r="B1554" s="87">
        <v>34.512504493584856</v>
      </c>
      <c r="C1554" s="14">
        <v>2</v>
      </c>
      <c r="D1554" s="86">
        <v>0.81649270540621377</v>
      </c>
      <c r="E1554" s="86"/>
      <c r="F1554" s="14"/>
    </row>
    <row r="1555" spans="1:6" x14ac:dyDescent="0.25">
      <c r="A1555" s="86">
        <v>1554</v>
      </c>
      <c r="B1555" s="87">
        <v>31.009403750766069</v>
      </c>
      <c r="C1555" s="14">
        <v>2</v>
      </c>
      <c r="D1555" s="86">
        <v>0.46764146840526788</v>
      </c>
      <c r="E1555" s="86"/>
      <c r="F1555" s="14"/>
    </row>
    <row r="1556" spans="1:6" x14ac:dyDescent="0.25">
      <c r="A1556" s="86">
        <v>1555</v>
      </c>
      <c r="B1556" s="87">
        <v>55.25034793606028</v>
      </c>
      <c r="C1556" s="14">
        <v>1</v>
      </c>
      <c r="D1556" s="86">
        <v>0.50304363603668101</v>
      </c>
      <c r="E1556" s="86"/>
      <c r="F1556" s="14"/>
    </row>
    <row r="1557" spans="1:6" x14ac:dyDescent="0.25">
      <c r="A1557" s="86">
        <v>1556</v>
      </c>
      <c r="B1557" s="87">
        <v>42.138788098207442</v>
      </c>
      <c r="C1557" s="14">
        <v>1</v>
      </c>
      <c r="D1557" s="86">
        <v>0.30482562468586138</v>
      </c>
      <c r="E1557" s="86"/>
      <c r="F1557" s="14"/>
    </row>
    <row r="1558" spans="1:6" x14ac:dyDescent="0.25">
      <c r="A1558" s="86">
        <v>1557</v>
      </c>
      <c r="B1558" s="87">
        <v>41.554369540215703</v>
      </c>
      <c r="C1558" s="14">
        <v>5</v>
      </c>
      <c r="D1558" s="86">
        <v>8.8237374761962695E-2</v>
      </c>
      <c r="E1558" s="86"/>
      <c r="F1558" s="14"/>
    </row>
    <row r="1559" spans="1:6" x14ac:dyDescent="0.25">
      <c r="A1559" s="86">
        <v>1558</v>
      </c>
      <c r="B1559" s="87">
        <v>48.47232730241376</v>
      </c>
      <c r="C1559" s="14">
        <v>4</v>
      </c>
      <c r="D1559" s="86">
        <v>0.84650481709333725</v>
      </c>
      <c r="E1559" s="86"/>
      <c r="F1559" s="14"/>
    </row>
    <row r="1560" spans="1:6" x14ac:dyDescent="0.25">
      <c r="A1560" s="86">
        <v>1559</v>
      </c>
      <c r="B1560" s="87">
        <v>42.358527702497668</v>
      </c>
      <c r="C1560" s="14">
        <v>2</v>
      </c>
      <c r="D1560" s="86">
        <v>0.41704806284926998</v>
      </c>
      <c r="E1560" s="86"/>
      <c r="F1560" s="14"/>
    </row>
    <row r="1561" spans="1:6" x14ac:dyDescent="0.25">
      <c r="A1561" s="86">
        <v>1560</v>
      </c>
      <c r="B1561" s="87">
        <v>33.314609021879733</v>
      </c>
      <c r="C1561" s="14">
        <v>2</v>
      </c>
      <c r="D1561" s="86">
        <v>0.2637472082051614</v>
      </c>
      <c r="E1561" s="86"/>
      <c r="F1561" s="14"/>
    </row>
    <row r="1562" spans="1:6" x14ac:dyDescent="0.25">
      <c r="A1562" s="86">
        <v>1561</v>
      </c>
      <c r="B1562" s="87">
        <v>44.743887878546957</v>
      </c>
      <c r="C1562" s="14">
        <v>4</v>
      </c>
      <c r="D1562" s="86">
        <v>0.55350528178465419</v>
      </c>
      <c r="E1562" s="86"/>
      <c r="F1562" s="14"/>
    </row>
    <row r="1563" spans="1:6" x14ac:dyDescent="0.25">
      <c r="A1563" s="86">
        <v>1562</v>
      </c>
      <c r="B1563" s="87">
        <v>39.438441485224757</v>
      </c>
      <c r="C1563" s="14">
        <v>5</v>
      </c>
      <c r="D1563" s="86">
        <v>0.6929435166910286</v>
      </c>
      <c r="E1563" s="86"/>
      <c r="F1563" s="14"/>
    </row>
    <row r="1564" spans="1:6" x14ac:dyDescent="0.25">
      <c r="A1564" s="86">
        <v>1563</v>
      </c>
      <c r="B1564" s="87">
        <v>39.815938629879383</v>
      </c>
      <c r="C1564" s="14">
        <v>1</v>
      </c>
      <c r="D1564" s="86">
        <v>0.96917458443582782</v>
      </c>
      <c r="E1564" s="86"/>
      <c r="F1564" s="14"/>
    </row>
    <row r="1565" spans="1:6" x14ac:dyDescent="0.25">
      <c r="A1565" s="86">
        <v>1564</v>
      </c>
      <c r="B1565" s="87">
        <v>47.746993909066077</v>
      </c>
      <c r="C1565" s="14">
        <v>5</v>
      </c>
      <c r="D1565" s="86">
        <v>0.3895831667641817</v>
      </c>
      <c r="E1565" s="86"/>
      <c r="F1565" s="14"/>
    </row>
    <row r="1566" spans="1:6" x14ac:dyDescent="0.25">
      <c r="A1566" s="86">
        <v>1565</v>
      </c>
      <c r="B1566" s="87">
        <v>40.851261923642596</v>
      </c>
      <c r="C1566" s="14">
        <v>5</v>
      </c>
      <c r="D1566" s="86">
        <v>0.86514053854456796</v>
      </c>
      <c r="E1566" s="86"/>
      <c r="F1566" s="14"/>
    </row>
    <row r="1567" spans="1:6" x14ac:dyDescent="0.25">
      <c r="A1567" s="86">
        <v>1566</v>
      </c>
      <c r="B1567" s="87">
        <v>40.973122844996396</v>
      </c>
      <c r="C1567" s="14">
        <v>3</v>
      </c>
      <c r="D1567" s="86">
        <v>0.21644188088195704</v>
      </c>
      <c r="E1567" s="86"/>
      <c r="F1567" s="14"/>
    </row>
    <row r="1568" spans="1:6" x14ac:dyDescent="0.25">
      <c r="A1568" s="86">
        <v>1567</v>
      </c>
      <c r="B1568" s="87">
        <v>47.780110884894384</v>
      </c>
      <c r="C1568" s="14">
        <v>2</v>
      </c>
      <c r="D1568" s="86">
        <v>0.80969856907096871</v>
      </c>
      <c r="E1568" s="86"/>
      <c r="F1568" s="14"/>
    </row>
    <row r="1569" spans="1:6" x14ac:dyDescent="0.25">
      <c r="A1569" s="86">
        <v>1568</v>
      </c>
      <c r="B1569" s="87">
        <v>35.497555467707571</v>
      </c>
      <c r="C1569" s="14">
        <v>4</v>
      </c>
      <c r="D1569" s="86">
        <v>0.26968378781023761</v>
      </c>
      <c r="E1569" s="86"/>
      <c r="F1569" s="14"/>
    </row>
    <row r="1570" spans="1:6" x14ac:dyDescent="0.25">
      <c r="A1570" s="86">
        <v>1569</v>
      </c>
      <c r="B1570" s="87">
        <v>33.386049830703996</v>
      </c>
      <c r="C1570" s="14">
        <v>2</v>
      </c>
      <c r="D1570" s="86">
        <v>0.28206143702336539</v>
      </c>
      <c r="E1570" s="86"/>
      <c r="F1570" s="14"/>
    </row>
    <row r="1571" spans="1:6" x14ac:dyDescent="0.25">
      <c r="A1571" s="86">
        <v>1570</v>
      </c>
      <c r="B1571" s="87">
        <v>40.806708051939495</v>
      </c>
      <c r="C1571" s="14">
        <v>5</v>
      </c>
      <c r="D1571" s="86">
        <v>0.51656344996409176</v>
      </c>
      <c r="E1571" s="86"/>
      <c r="F1571" s="14"/>
    </row>
    <row r="1572" spans="1:6" x14ac:dyDescent="0.25">
      <c r="A1572" s="86">
        <v>1571</v>
      </c>
      <c r="B1572" s="87">
        <v>46.999400632892502</v>
      </c>
      <c r="C1572" s="14">
        <v>2</v>
      </c>
      <c r="D1572" s="86">
        <v>0.381648692703353</v>
      </c>
      <c r="E1572" s="86"/>
      <c r="F1572" s="14"/>
    </row>
    <row r="1573" spans="1:6" x14ac:dyDescent="0.25">
      <c r="A1573" s="86">
        <v>1572</v>
      </c>
      <c r="B1573" s="87">
        <v>34.74099230003776</v>
      </c>
      <c r="C1573" s="14">
        <v>1</v>
      </c>
      <c r="D1573" s="86">
        <v>0.82141607665892857</v>
      </c>
      <c r="E1573" s="86"/>
      <c r="F1573" s="14"/>
    </row>
    <row r="1574" spans="1:6" x14ac:dyDescent="0.25">
      <c r="A1574" s="86">
        <v>1573</v>
      </c>
      <c r="B1574" s="87">
        <v>45.005305077545927</v>
      </c>
      <c r="C1574" s="14">
        <v>1</v>
      </c>
      <c r="D1574" s="86">
        <v>5.736809825789746E-2</v>
      </c>
      <c r="E1574" s="86"/>
      <c r="F1574" s="14"/>
    </row>
    <row r="1575" spans="1:6" x14ac:dyDescent="0.25">
      <c r="A1575" s="86">
        <v>1574</v>
      </c>
      <c r="B1575" s="87">
        <v>40.210125002311543</v>
      </c>
      <c r="C1575" s="14">
        <v>5</v>
      </c>
      <c r="D1575" s="86">
        <v>0.32917679278602907</v>
      </c>
      <c r="E1575" s="86"/>
      <c r="F1575" s="14"/>
    </row>
    <row r="1576" spans="1:6" x14ac:dyDescent="0.25">
      <c r="A1576" s="86">
        <v>1575</v>
      </c>
      <c r="B1576" s="87">
        <v>45.150420641555684</v>
      </c>
      <c r="C1576" s="14">
        <v>2</v>
      </c>
      <c r="D1576" s="86">
        <v>6.455909979954777E-2</v>
      </c>
      <c r="E1576" s="86"/>
      <c r="F1576" s="14"/>
    </row>
    <row r="1577" spans="1:6" x14ac:dyDescent="0.25">
      <c r="A1577" s="86">
        <v>1576</v>
      </c>
      <c r="B1577" s="87">
        <v>40.488794178934768</v>
      </c>
      <c r="C1577" s="14">
        <v>3</v>
      </c>
      <c r="D1577" s="86">
        <v>0.56243566146291124</v>
      </c>
      <c r="E1577" s="86"/>
      <c r="F1577" s="14"/>
    </row>
    <row r="1578" spans="1:6" x14ac:dyDescent="0.25">
      <c r="A1578" s="86">
        <v>1577</v>
      </c>
      <c r="B1578" s="87">
        <v>46.356024080858333</v>
      </c>
      <c r="C1578" s="14">
        <v>4</v>
      </c>
      <c r="D1578" s="86">
        <v>0.6083513041304881</v>
      </c>
      <c r="E1578" s="86"/>
      <c r="F1578" s="14"/>
    </row>
    <row r="1579" spans="1:6" x14ac:dyDescent="0.25">
      <c r="A1579" s="86">
        <v>1578</v>
      </c>
      <c r="B1579" s="87">
        <v>46.484581156953936</v>
      </c>
      <c r="C1579" s="14">
        <v>3</v>
      </c>
      <c r="D1579" s="86">
        <v>0.7953419676718877</v>
      </c>
      <c r="E1579" s="86"/>
      <c r="F1579" s="14"/>
    </row>
    <row r="1580" spans="1:6" x14ac:dyDescent="0.25">
      <c r="A1580" s="86">
        <v>1579</v>
      </c>
      <c r="B1580" s="87">
        <v>51.51835011417279</v>
      </c>
      <c r="C1580" s="14">
        <v>2</v>
      </c>
      <c r="D1580" s="86">
        <v>1.1142186482662297E-2</v>
      </c>
      <c r="E1580" s="86"/>
      <c r="F1580" s="14"/>
    </row>
    <row r="1581" spans="1:6" x14ac:dyDescent="0.25">
      <c r="A1581" s="86">
        <v>1580</v>
      </c>
      <c r="B1581" s="87">
        <v>43.448687842435902</v>
      </c>
      <c r="C1581" s="14">
        <v>5</v>
      </c>
      <c r="D1581" s="86">
        <v>0.6318842055417907</v>
      </c>
      <c r="E1581" s="86"/>
      <c r="F1581" s="14"/>
    </row>
    <row r="1582" spans="1:6" x14ac:dyDescent="0.25">
      <c r="A1582" s="86">
        <v>1581</v>
      </c>
      <c r="B1582" s="87">
        <v>39.339647623244673</v>
      </c>
      <c r="C1582" s="14">
        <v>5</v>
      </c>
      <c r="D1582" s="86">
        <v>0.27352040147501611</v>
      </c>
      <c r="E1582" s="86"/>
      <c r="F1582" s="14"/>
    </row>
    <row r="1583" spans="1:6" x14ac:dyDescent="0.25">
      <c r="A1583" s="86">
        <v>1582</v>
      </c>
      <c r="B1583" s="87">
        <v>42.260438698911457</v>
      </c>
      <c r="C1583" s="14">
        <v>4</v>
      </c>
      <c r="D1583" s="86">
        <v>0.11892176054559511</v>
      </c>
      <c r="E1583" s="86"/>
      <c r="F1583" s="14"/>
    </row>
    <row r="1584" spans="1:6" x14ac:dyDescent="0.25">
      <c r="A1584" s="86">
        <v>1583</v>
      </c>
      <c r="B1584" s="87">
        <v>44.248497483175015</v>
      </c>
      <c r="C1584" s="14">
        <v>2</v>
      </c>
      <c r="D1584" s="86">
        <v>0.50120682146067108</v>
      </c>
      <c r="E1584" s="86"/>
      <c r="F1584" s="14"/>
    </row>
    <row r="1585" spans="1:6" x14ac:dyDescent="0.25">
      <c r="A1585" s="86">
        <v>1584</v>
      </c>
      <c r="B1585" s="87">
        <v>39.378539890429238</v>
      </c>
      <c r="C1585" s="14">
        <v>2</v>
      </c>
      <c r="D1585" s="86">
        <v>0.34171513168819478</v>
      </c>
      <c r="E1585" s="86"/>
      <c r="F1585" s="14"/>
    </row>
    <row r="1586" spans="1:6" x14ac:dyDescent="0.25">
      <c r="A1586" s="86">
        <v>1585</v>
      </c>
      <c r="B1586" s="87">
        <v>37.018435245379806</v>
      </c>
      <c r="C1586" s="14">
        <v>1</v>
      </c>
      <c r="D1586" s="86">
        <v>0.68047375548188826</v>
      </c>
      <c r="E1586" s="86"/>
      <c r="F1586" s="14"/>
    </row>
    <row r="1587" spans="1:6" x14ac:dyDescent="0.25">
      <c r="A1587" s="86">
        <v>1586</v>
      </c>
      <c r="B1587" s="87">
        <v>39.881251718150452</v>
      </c>
      <c r="C1587" s="14">
        <v>4</v>
      </c>
      <c r="D1587" s="86">
        <v>0.41673491136398944</v>
      </c>
      <c r="E1587" s="86"/>
      <c r="F1587" s="14"/>
    </row>
    <row r="1588" spans="1:6" x14ac:dyDescent="0.25">
      <c r="A1588" s="86">
        <v>1587</v>
      </c>
      <c r="B1588" s="87">
        <v>42.31762317828543</v>
      </c>
      <c r="C1588" s="14">
        <v>4</v>
      </c>
      <c r="D1588" s="86">
        <v>0.44164072974713153</v>
      </c>
      <c r="E1588" s="86"/>
      <c r="F1588" s="14"/>
    </row>
    <row r="1589" spans="1:6" x14ac:dyDescent="0.25">
      <c r="A1589" s="86">
        <v>1588</v>
      </c>
      <c r="B1589" s="87">
        <v>42.611191014992073</v>
      </c>
      <c r="C1589" s="14">
        <v>2</v>
      </c>
      <c r="D1589" s="86">
        <v>0.82415206072945957</v>
      </c>
      <c r="E1589" s="86"/>
      <c r="F1589" s="14"/>
    </row>
    <row r="1590" spans="1:6" x14ac:dyDescent="0.25">
      <c r="A1590" s="86">
        <v>1589</v>
      </c>
      <c r="B1590" s="87">
        <v>48.219646936893696</v>
      </c>
      <c r="C1590" s="14">
        <v>2</v>
      </c>
      <c r="D1590" s="86">
        <v>0.47015539502696468</v>
      </c>
      <c r="E1590" s="86"/>
      <c r="F1590" s="14"/>
    </row>
    <row r="1591" spans="1:6" x14ac:dyDescent="0.25">
      <c r="A1591" s="86">
        <v>1590</v>
      </c>
      <c r="B1591" s="87">
        <v>42.207807377388235</v>
      </c>
      <c r="C1591" s="14">
        <v>5</v>
      </c>
      <c r="D1591" s="86">
        <v>0.14123329275425534</v>
      </c>
      <c r="E1591" s="86"/>
      <c r="F1591" s="14"/>
    </row>
    <row r="1592" spans="1:6" x14ac:dyDescent="0.25">
      <c r="A1592" s="86">
        <v>1591</v>
      </c>
      <c r="B1592" s="87">
        <v>45.719093572522979</v>
      </c>
      <c r="C1592" s="14">
        <v>3</v>
      </c>
      <c r="D1592" s="86">
        <v>0.1746747998282574</v>
      </c>
      <c r="E1592" s="86"/>
      <c r="F1592" s="14"/>
    </row>
    <row r="1593" spans="1:6" x14ac:dyDescent="0.25">
      <c r="A1593" s="86">
        <v>1592</v>
      </c>
      <c r="B1593" s="87">
        <v>44.827055484682205</v>
      </c>
      <c r="C1593" s="14">
        <v>5</v>
      </c>
      <c r="D1593" s="86">
        <v>0.19001390875075908</v>
      </c>
      <c r="E1593" s="86"/>
      <c r="F1593" s="14"/>
    </row>
    <row r="1594" spans="1:6" x14ac:dyDescent="0.25">
      <c r="A1594" s="86">
        <v>1593</v>
      </c>
      <c r="B1594" s="87">
        <v>44.727642029436538</v>
      </c>
      <c r="C1594" s="14">
        <v>2</v>
      </c>
      <c r="D1594" s="86">
        <v>9.096878669736419E-2</v>
      </c>
      <c r="E1594" s="86"/>
      <c r="F1594" s="14"/>
    </row>
    <row r="1595" spans="1:6" x14ac:dyDescent="0.25">
      <c r="A1595" s="86">
        <v>1594</v>
      </c>
      <c r="B1595" s="87">
        <v>44.965571527762222</v>
      </c>
      <c r="C1595" s="14">
        <v>5</v>
      </c>
      <c r="D1595" s="86">
        <v>0.94543446264295383</v>
      </c>
      <c r="E1595" s="86"/>
      <c r="F1595" s="14"/>
    </row>
    <row r="1596" spans="1:6" x14ac:dyDescent="0.25">
      <c r="A1596" s="86">
        <v>1595</v>
      </c>
      <c r="B1596" s="87">
        <v>50.214430297608487</v>
      </c>
      <c r="C1596" s="14">
        <v>5</v>
      </c>
      <c r="D1596" s="86">
        <v>0.89448907973156555</v>
      </c>
      <c r="E1596" s="86"/>
      <c r="F1596" s="14"/>
    </row>
    <row r="1597" spans="1:6" x14ac:dyDescent="0.25">
      <c r="A1597" s="86">
        <v>1596</v>
      </c>
      <c r="B1597" s="87">
        <v>45.539457000239054</v>
      </c>
      <c r="C1597" s="14">
        <v>1</v>
      </c>
      <c r="D1597" s="86">
        <v>0.26774530507827654</v>
      </c>
      <c r="E1597" s="86"/>
      <c r="F1597" s="14"/>
    </row>
    <row r="1598" spans="1:6" x14ac:dyDescent="0.25">
      <c r="A1598" s="86">
        <v>1597</v>
      </c>
      <c r="B1598" s="87">
        <v>42.200446154645761</v>
      </c>
      <c r="C1598" s="14">
        <v>2</v>
      </c>
      <c r="D1598" s="86">
        <v>0.54944514512354881</v>
      </c>
      <c r="E1598" s="86"/>
      <c r="F1598" s="14"/>
    </row>
    <row r="1599" spans="1:6" x14ac:dyDescent="0.25">
      <c r="A1599" s="86">
        <v>1598</v>
      </c>
      <c r="B1599" s="87">
        <v>37.593338215054246</v>
      </c>
      <c r="C1599" s="14">
        <v>4</v>
      </c>
      <c r="D1599" s="86">
        <v>0.22330952377914992</v>
      </c>
      <c r="E1599" s="86"/>
      <c r="F1599" s="14"/>
    </row>
    <row r="1600" spans="1:6" x14ac:dyDescent="0.25">
      <c r="A1600" s="86">
        <v>1599</v>
      </c>
      <c r="B1600" s="87">
        <v>43.15857040125411</v>
      </c>
      <c r="C1600" s="14">
        <v>1</v>
      </c>
      <c r="D1600" s="86">
        <v>0.63978668256712046</v>
      </c>
      <c r="E1600" s="86"/>
      <c r="F1600" s="14"/>
    </row>
    <row r="1601" spans="1:6" x14ac:dyDescent="0.25">
      <c r="A1601" s="86">
        <v>1600</v>
      </c>
      <c r="B1601" s="87">
        <v>44.617615907889558</v>
      </c>
      <c r="C1601" s="14">
        <v>2</v>
      </c>
      <c r="D1601" s="86">
        <v>0.99477810290658319</v>
      </c>
      <c r="E1601" s="86"/>
      <c r="F1601" s="14"/>
    </row>
    <row r="1602" spans="1:6" x14ac:dyDescent="0.25">
      <c r="A1602" s="86">
        <v>1601</v>
      </c>
      <c r="B1602" s="87">
        <v>34.383697306446265</v>
      </c>
      <c r="C1602" s="14">
        <v>4</v>
      </c>
      <c r="D1602" s="86">
        <v>0.28234401631347394</v>
      </c>
      <c r="E1602" s="86"/>
      <c r="F1602" s="14"/>
    </row>
    <row r="1603" spans="1:6" x14ac:dyDescent="0.25">
      <c r="A1603" s="86">
        <v>1602</v>
      </c>
      <c r="B1603" s="87">
        <v>44.946580141520826</v>
      </c>
      <c r="C1603" s="14">
        <v>4</v>
      </c>
      <c r="D1603" s="86">
        <v>0.88265481321385952</v>
      </c>
      <c r="E1603" s="86"/>
      <c r="F1603" s="14"/>
    </row>
    <row r="1604" spans="1:6" x14ac:dyDescent="0.25">
      <c r="A1604" s="86">
        <v>1603</v>
      </c>
      <c r="B1604" s="87">
        <v>41.286159552662866</v>
      </c>
      <c r="C1604" s="14">
        <v>5</v>
      </c>
      <c r="D1604" s="86">
        <v>0.75481827660486234</v>
      </c>
      <c r="E1604" s="86"/>
      <c r="F1604" s="14"/>
    </row>
    <row r="1605" spans="1:6" x14ac:dyDescent="0.25">
      <c r="A1605" s="86">
        <v>1604</v>
      </c>
      <c r="B1605" s="87">
        <v>46.719105734489858</v>
      </c>
      <c r="C1605" s="14">
        <v>4</v>
      </c>
      <c r="D1605" s="86">
        <v>0.62428132852461993</v>
      </c>
      <c r="E1605" s="86"/>
      <c r="F1605" s="14"/>
    </row>
    <row r="1606" spans="1:6" x14ac:dyDescent="0.25">
      <c r="A1606" s="86">
        <v>1605</v>
      </c>
      <c r="B1606" s="87">
        <v>49.083735115680611</v>
      </c>
      <c r="C1606" s="14">
        <v>4</v>
      </c>
      <c r="D1606" s="86">
        <v>0.30623839560523991</v>
      </c>
      <c r="E1606" s="86"/>
      <c r="F1606" s="14"/>
    </row>
    <row r="1607" spans="1:6" x14ac:dyDescent="0.25">
      <c r="A1607" s="86">
        <v>1606</v>
      </c>
      <c r="B1607" s="87">
        <v>36.532037478871644</v>
      </c>
      <c r="C1607" s="14">
        <v>3</v>
      </c>
      <c r="D1607" s="86">
        <v>0.10372911656824446</v>
      </c>
      <c r="E1607" s="86"/>
      <c r="F1607" s="14"/>
    </row>
    <row r="1608" spans="1:6" x14ac:dyDescent="0.25">
      <c r="A1608" s="86">
        <v>1607</v>
      </c>
      <c r="B1608" s="87">
        <v>44.385512859997107</v>
      </c>
      <c r="C1608" s="14">
        <v>5</v>
      </c>
      <c r="D1608" s="86">
        <v>0.67757959258223976</v>
      </c>
      <c r="E1608" s="86"/>
      <c r="F1608" s="14"/>
    </row>
    <row r="1609" spans="1:6" x14ac:dyDescent="0.25">
      <c r="A1609" s="86">
        <v>1608</v>
      </c>
      <c r="B1609" s="87">
        <v>45.538581611588597</v>
      </c>
      <c r="C1609" s="14">
        <v>5</v>
      </c>
      <c r="D1609" s="86">
        <v>0.98614722934102195</v>
      </c>
      <c r="E1609" s="86"/>
      <c r="F1609" s="14"/>
    </row>
    <row r="1610" spans="1:6" x14ac:dyDescent="0.25">
      <c r="A1610" s="86">
        <v>1609</v>
      </c>
      <c r="B1610" s="87">
        <v>51.842789611662738</v>
      </c>
      <c r="C1610" s="14">
        <v>4</v>
      </c>
      <c r="D1610" s="86">
        <v>0.78969852285811881</v>
      </c>
      <c r="E1610" s="86"/>
      <c r="F1610" s="14"/>
    </row>
    <row r="1611" spans="1:6" x14ac:dyDescent="0.25">
      <c r="A1611" s="86">
        <v>1610</v>
      </c>
      <c r="B1611" s="87">
        <v>51.597771739005111</v>
      </c>
      <c r="C1611" s="14">
        <v>2</v>
      </c>
      <c r="D1611" s="86">
        <v>0.4642693780443562</v>
      </c>
      <c r="E1611" s="86"/>
      <c r="F1611" s="14"/>
    </row>
    <row r="1612" spans="1:6" x14ac:dyDescent="0.25">
      <c r="A1612" s="86">
        <v>1611</v>
      </c>
      <c r="B1612" s="87">
        <v>53.553867468843237</v>
      </c>
      <c r="C1612" s="14">
        <v>5</v>
      </c>
      <c r="D1612" s="86">
        <v>0.4975503992982605</v>
      </c>
      <c r="E1612" s="86"/>
      <c r="F1612" s="14"/>
    </row>
    <row r="1613" spans="1:6" x14ac:dyDescent="0.25">
      <c r="A1613" s="86">
        <v>1612</v>
      </c>
      <c r="B1613" s="87">
        <v>37.851714291144162</v>
      </c>
      <c r="C1613" s="14">
        <v>5</v>
      </c>
      <c r="D1613" s="86">
        <v>0.71378668897678132</v>
      </c>
      <c r="E1613" s="86"/>
      <c r="F1613" s="14"/>
    </row>
    <row r="1614" spans="1:6" x14ac:dyDescent="0.25">
      <c r="A1614" s="86">
        <v>1613</v>
      </c>
      <c r="B1614" s="87">
        <v>43.770512542658253</v>
      </c>
      <c r="C1614" s="14">
        <v>5</v>
      </c>
      <c r="D1614" s="86">
        <v>0.2270040066617125</v>
      </c>
      <c r="E1614" s="86"/>
      <c r="F1614" s="14"/>
    </row>
    <row r="1615" spans="1:6" x14ac:dyDescent="0.25">
      <c r="A1615" s="86">
        <v>1614</v>
      </c>
      <c r="B1615" s="87">
        <v>37.288918969687074</v>
      </c>
      <c r="C1615" s="14">
        <v>5</v>
      </c>
      <c r="D1615" s="86">
        <v>0.27690163987065441</v>
      </c>
      <c r="E1615" s="86"/>
      <c r="F1615" s="14"/>
    </row>
    <row r="1616" spans="1:6" x14ac:dyDescent="0.25">
      <c r="A1616" s="86">
        <v>1615</v>
      </c>
      <c r="B1616" s="87">
        <v>49.823165676905774</v>
      </c>
      <c r="C1616" s="14">
        <v>4</v>
      </c>
      <c r="D1616" s="86">
        <v>0.53194478965803438</v>
      </c>
      <c r="E1616" s="86"/>
      <c r="F1616" s="14"/>
    </row>
    <row r="1617" spans="1:6" x14ac:dyDescent="0.25">
      <c r="A1617" s="86">
        <v>1616</v>
      </c>
      <c r="B1617" s="87">
        <v>28.547037795186043</v>
      </c>
      <c r="C1617" s="14">
        <v>4</v>
      </c>
      <c r="D1617" s="86">
        <v>0.66434155341340728</v>
      </c>
      <c r="E1617" s="86"/>
      <c r="F1617" s="14"/>
    </row>
    <row r="1618" spans="1:6" x14ac:dyDescent="0.25">
      <c r="A1618" s="86">
        <v>1617</v>
      </c>
      <c r="B1618" s="87">
        <v>38.601672253542347</v>
      </c>
      <c r="C1618" s="14">
        <v>4</v>
      </c>
      <c r="D1618" s="86">
        <v>0.25582302643615651</v>
      </c>
      <c r="E1618" s="86"/>
      <c r="F1618" s="14"/>
    </row>
    <row r="1619" spans="1:6" x14ac:dyDescent="0.25">
      <c r="A1619" s="86">
        <v>1618</v>
      </c>
      <c r="B1619" s="87">
        <v>41.338392970254063</v>
      </c>
      <c r="C1619" s="14">
        <v>1</v>
      </c>
      <c r="D1619" s="86">
        <v>0.54774882360733701</v>
      </c>
      <c r="E1619" s="86"/>
      <c r="F1619" s="14"/>
    </row>
    <row r="1620" spans="1:6" x14ac:dyDescent="0.25">
      <c r="A1620" s="86">
        <v>1619</v>
      </c>
      <c r="B1620" s="87">
        <v>47.249341145623475</v>
      </c>
      <c r="C1620" s="14">
        <v>2</v>
      </c>
      <c r="D1620" s="86">
        <v>1.0482644922580553E-2</v>
      </c>
      <c r="E1620" s="86"/>
      <c r="F1620" s="14"/>
    </row>
    <row r="1621" spans="1:6" x14ac:dyDescent="0.25">
      <c r="A1621" s="86">
        <v>1620</v>
      </c>
      <c r="B1621" s="87">
        <v>42.710098563809879</v>
      </c>
      <c r="C1621" s="14">
        <v>2</v>
      </c>
      <c r="D1621" s="86">
        <v>0.57026053668567833</v>
      </c>
      <c r="E1621" s="86"/>
      <c r="F1621" s="14"/>
    </row>
    <row r="1622" spans="1:6" x14ac:dyDescent="0.25">
      <c r="A1622" s="86">
        <v>1621</v>
      </c>
      <c r="B1622" s="87">
        <v>41.217850816217833</v>
      </c>
      <c r="C1622" s="14">
        <v>5</v>
      </c>
      <c r="D1622" s="86">
        <v>0.57485520770688525</v>
      </c>
      <c r="E1622" s="86"/>
      <c r="F1622" s="14"/>
    </row>
    <row r="1623" spans="1:6" x14ac:dyDescent="0.25">
      <c r="A1623" s="86">
        <v>1622</v>
      </c>
      <c r="B1623" s="87">
        <v>32.159550750628114</v>
      </c>
      <c r="C1623" s="14">
        <v>4</v>
      </c>
      <c r="D1623" s="86">
        <v>0.26015522447283801</v>
      </c>
      <c r="E1623" s="86"/>
      <c r="F1623" s="14"/>
    </row>
    <row r="1624" spans="1:6" x14ac:dyDescent="0.25">
      <c r="A1624" s="86">
        <v>1623</v>
      </c>
      <c r="B1624" s="87">
        <v>43.601386318521691</v>
      </c>
      <c r="C1624" s="14">
        <v>2</v>
      </c>
      <c r="D1624" s="86">
        <v>0.75615721761548105</v>
      </c>
      <c r="E1624" s="86"/>
      <c r="F1624" s="14"/>
    </row>
    <row r="1625" spans="1:6" x14ac:dyDescent="0.25">
      <c r="A1625" s="86">
        <v>1624</v>
      </c>
      <c r="B1625" s="87">
        <v>45.934973508672556</v>
      </c>
      <c r="C1625" s="14">
        <v>2</v>
      </c>
      <c r="D1625" s="86">
        <v>0.31197529698341386</v>
      </c>
      <c r="E1625" s="86"/>
      <c r="F1625" s="14"/>
    </row>
    <row r="1626" spans="1:6" x14ac:dyDescent="0.25">
      <c r="A1626" s="86">
        <v>1625</v>
      </c>
      <c r="B1626" s="87">
        <v>44.363270030196873</v>
      </c>
      <c r="C1626" s="14">
        <v>4</v>
      </c>
      <c r="D1626" s="86">
        <v>0.29306349774253337</v>
      </c>
      <c r="E1626" s="86"/>
      <c r="F1626" s="14"/>
    </row>
    <row r="1627" spans="1:6" x14ac:dyDescent="0.25">
      <c r="A1627" s="86">
        <v>1626</v>
      </c>
      <c r="B1627" s="87">
        <v>35.351740729645826</v>
      </c>
      <c r="C1627" s="14">
        <v>4</v>
      </c>
      <c r="D1627" s="86">
        <v>0.43640141990734693</v>
      </c>
      <c r="E1627" s="86"/>
      <c r="F1627" s="14"/>
    </row>
    <row r="1628" spans="1:6" x14ac:dyDescent="0.25">
      <c r="A1628" s="86">
        <v>1627</v>
      </c>
      <c r="B1628" s="87">
        <v>48.27804786543129</v>
      </c>
      <c r="C1628" s="14">
        <v>4</v>
      </c>
      <c r="D1628" s="86">
        <v>6.5951627260083523E-2</v>
      </c>
      <c r="E1628" s="86"/>
      <c r="F1628" s="14"/>
    </row>
    <row r="1629" spans="1:6" x14ac:dyDescent="0.25">
      <c r="A1629" s="86">
        <v>1628</v>
      </c>
      <c r="B1629" s="87">
        <v>30.726368999574333</v>
      </c>
      <c r="C1629" s="14">
        <v>4</v>
      </c>
      <c r="D1629" s="86">
        <v>0.77477139741529399</v>
      </c>
      <c r="E1629" s="86"/>
      <c r="F1629" s="14"/>
    </row>
    <row r="1630" spans="1:6" x14ac:dyDescent="0.25">
      <c r="A1630" s="86">
        <v>1629</v>
      </c>
      <c r="B1630" s="87">
        <v>42.557451246801065</v>
      </c>
      <c r="C1630" s="14">
        <v>5</v>
      </c>
      <c r="D1630" s="86">
        <v>0.46009371867241566</v>
      </c>
      <c r="E1630" s="86"/>
      <c r="F1630" s="14"/>
    </row>
    <row r="1631" spans="1:6" x14ac:dyDescent="0.25">
      <c r="A1631" s="86">
        <v>1630</v>
      </c>
      <c r="B1631" s="87">
        <v>41.179487192828674</v>
      </c>
      <c r="C1631" s="14">
        <v>1</v>
      </c>
      <c r="D1631" s="86">
        <v>0.58377217360463551</v>
      </c>
      <c r="E1631" s="86"/>
      <c r="F1631" s="14"/>
    </row>
    <row r="1632" spans="1:6" x14ac:dyDescent="0.25">
      <c r="A1632" s="86">
        <v>1631</v>
      </c>
      <c r="B1632" s="87">
        <v>40.942359186708927</v>
      </c>
      <c r="C1632" s="14">
        <v>1</v>
      </c>
      <c r="D1632" s="86">
        <v>0.99020488933297268</v>
      </c>
      <c r="E1632" s="86"/>
      <c r="F1632" s="14"/>
    </row>
    <row r="1633" spans="1:6" x14ac:dyDescent="0.25">
      <c r="A1633" s="86">
        <v>1632</v>
      </c>
      <c r="B1633" s="87">
        <v>43.324007487506606</v>
      </c>
      <c r="C1633" s="14">
        <v>1</v>
      </c>
      <c r="D1633" s="86">
        <v>0.77190309247847766</v>
      </c>
      <c r="E1633" s="86"/>
      <c r="F1633" s="14"/>
    </row>
    <row r="1634" spans="1:6" x14ac:dyDescent="0.25">
      <c r="A1634" s="86">
        <v>1633</v>
      </c>
      <c r="B1634" s="87">
        <v>45.837379042830435</v>
      </c>
      <c r="C1634" s="14">
        <v>5</v>
      </c>
      <c r="D1634" s="86">
        <v>0.53289336762626938</v>
      </c>
      <c r="E1634" s="86"/>
      <c r="F1634" s="14"/>
    </row>
    <row r="1635" spans="1:6" x14ac:dyDescent="0.25">
      <c r="A1635" s="86">
        <v>1634</v>
      </c>
      <c r="B1635" s="87">
        <v>53.216808732366189</v>
      </c>
      <c r="C1635" s="14">
        <v>4</v>
      </c>
      <c r="D1635" s="86">
        <v>0.44415036218387338</v>
      </c>
      <c r="E1635" s="86"/>
      <c r="F1635" s="14"/>
    </row>
    <row r="1636" spans="1:6" x14ac:dyDescent="0.25">
      <c r="A1636" s="86">
        <v>1635</v>
      </c>
      <c r="B1636" s="87">
        <v>54.158408597111702</v>
      </c>
      <c r="C1636" s="14">
        <v>4</v>
      </c>
      <c r="D1636" s="86">
        <v>0.41067283573663771</v>
      </c>
      <c r="E1636" s="86"/>
      <c r="F1636" s="14"/>
    </row>
    <row r="1637" spans="1:6" x14ac:dyDescent="0.25">
      <c r="A1637" s="86">
        <v>1636</v>
      </c>
      <c r="B1637" s="87">
        <v>38.226528426428558</v>
      </c>
      <c r="C1637" s="14">
        <v>5</v>
      </c>
      <c r="D1637" s="86">
        <v>0.20234011227567072</v>
      </c>
      <c r="E1637" s="86"/>
      <c r="F1637" s="14"/>
    </row>
    <row r="1638" spans="1:6" x14ac:dyDescent="0.25">
      <c r="A1638" s="86">
        <v>1637</v>
      </c>
      <c r="B1638" s="87">
        <v>45.226613560196711</v>
      </c>
      <c r="C1638" s="14">
        <v>4</v>
      </c>
      <c r="D1638" s="86">
        <v>0.72362763466184188</v>
      </c>
      <c r="E1638" s="86"/>
      <c r="F1638" s="14"/>
    </row>
    <row r="1639" spans="1:6" x14ac:dyDescent="0.25">
      <c r="A1639" s="86">
        <v>1638</v>
      </c>
      <c r="B1639" s="87">
        <v>43.158951252160477</v>
      </c>
      <c r="C1639" s="14">
        <v>5</v>
      </c>
      <c r="D1639" s="86">
        <v>9.0198194184102021E-2</v>
      </c>
      <c r="E1639" s="86"/>
      <c r="F1639" s="14"/>
    </row>
    <row r="1640" spans="1:6" x14ac:dyDescent="0.25">
      <c r="A1640" s="86">
        <v>1639</v>
      </c>
      <c r="B1640" s="87">
        <v>51.571078069508076</v>
      </c>
      <c r="C1640" s="14">
        <v>3</v>
      </c>
      <c r="D1640" s="86">
        <v>0.41664449599691367</v>
      </c>
      <c r="E1640" s="86"/>
      <c r="F1640" s="14"/>
    </row>
    <row r="1641" spans="1:6" x14ac:dyDescent="0.25">
      <c r="A1641" s="86">
        <v>1640</v>
      </c>
      <c r="B1641" s="87">
        <v>38.861583101941505</v>
      </c>
      <c r="C1641" s="14">
        <v>3</v>
      </c>
      <c r="D1641" s="86">
        <v>0.10745727326731469</v>
      </c>
      <c r="E1641" s="86"/>
      <c r="F1641" s="14"/>
    </row>
    <row r="1642" spans="1:6" x14ac:dyDescent="0.25">
      <c r="A1642" s="86">
        <v>1641</v>
      </c>
      <c r="B1642" s="87">
        <v>47.036905920656864</v>
      </c>
      <c r="C1642" s="14">
        <v>2</v>
      </c>
      <c r="D1642" s="86">
        <v>2.7575433000145533E-2</v>
      </c>
      <c r="E1642" s="86"/>
      <c r="F1642" s="14"/>
    </row>
    <row r="1643" spans="1:6" x14ac:dyDescent="0.25">
      <c r="A1643" s="86">
        <v>1642</v>
      </c>
      <c r="B1643" s="87">
        <v>41.06991581863258</v>
      </c>
      <c r="C1643" s="14">
        <v>4</v>
      </c>
      <c r="D1643" s="86">
        <v>0.9711466540815602</v>
      </c>
      <c r="E1643" s="86"/>
      <c r="F1643" s="14"/>
    </row>
    <row r="1644" spans="1:6" x14ac:dyDescent="0.25">
      <c r="A1644" s="86">
        <v>1643</v>
      </c>
      <c r="B1644" s="87">
        <v>40.510462890204508</v>
      </c>
      <c r="C1644" s="14">
        <v>4</v>
      </c>
      <c r="D1644" s="86">
        <v>0.70382059470703628</v>
      </c>
      <c r="E1644" s="86"/>
      <c r="F1644" s="14"/>
    </row>
    <row r="1645" spans="1:6" x14ac:dyDescent="0.25">
      <c r="A1645" s="86">
        <v>1644</v>
      </c>
      <c r="B1645" s="87">
        <v>39.41820522811031</v>
      </c>
      <c r="C1645" s="14">
        <v>4</v>
      </c>
      <c r="D1645" s="86">
        <v>0.17353499690403151</v>
      </c>
      <c r="E1645" s="86"/>
      <c r="F1645" s="14"/>
    </row>
    <row r="1646" spans="1:6" x14ac:dyDescent="0.25">
      <c r="A1646" s="86">
        <v>1645</v>
      </c>
      <c r="B1646" s="87">
        <v>41.401318634932977</v>
      </c>
      <c r="C1646" s="14">
        <v>2</v>
      </c>
      <c r="D1646" s="86">
        <v>0.72929267969914491</v>
      </c>
      <c r="E1646" s="86"/>
      <c r="F1646" s="14"/>
    </row>
    <row r="1647" spans="1:6" x14ac:dyDescent="0.25">
      <c r="A1647" s="86">
        <v>1646</v>
      </c>
      <c r="B1647" s="87">
        <v>45.365595719311386</v>
      </c>
      <c r="C1647" s="14">
        <v>3</v>
      </c>
      <c r="D1647" s="86">
        <v>0.79653870560553741</v>
      </c>
      <c r="E1647" s="86"/>
      <c r="F1647" s="14"/>
    </row>
    <row r="1648" spans="1:6" x14ac:dyDescent="0.25">
      <c r="A1648" s="86">
        <v>1647</v>
      </c>
      <c r="B1648" s="87">
        <v>44.966810714293388</v>
      </c>
      <c r="C1648" s="14">
        <v>2</v>
      </c>
      <c r="D1648" s="86">
        <v>7.533114996627166E-2</v>
      </c>
      <c r="E1648" s="86"/>
      <c r="F1648" s="14"/>
    </row>
    <row r="1649" spans="1:6" x14ac:dyDescent="0.25">
      <c r="A1649" s="86">
        <v>1648</v>
      </c>
      <c r="B1649" s="87">
        <v>41.706863379993592</v>
      </c>
      <c r="C1649" s="14">
        <v>5</v>
      </c>
      <c r="D1649" s="86">
        <v>1.3132250549041657E-4</v>
      </c>
      <c r="E1649" s="86"/>
      <c r="F1649" s="14"/>
    </row>
    <row r="1650" spans="1:6" x14ac:dyDescent="0.25">
      <c r="A1650" s="86">
        <v>1649</v>
      </c>
      <c r="B1650" s="87">
        <v>45.288447831233498</v>
      </c>
      <c r="C1650" s="14">
        <v>5</v>
      </c>
      <c r="D1650" s="86">
        <v>0.68546386492239897</v>
      </c>
      <c r="E1650" s="86"/>
      <c r="F1650" s="14"/>
    </row>
    <row r="1651" spans="1:6" x14ac:dyDescent="0.25">
      <c r="A1651" s="86">
        <v>1650</v>
      </c>
      <c r="B1651" s="87">
        <v>40.900238213333068</v>
      </c>
      <c r="C1651" s="14">
        <v>5</v>
      </c>
      <c r="D1651" s="86">
        <v>0.95201268030408404</v>
      </c>
      <c r="E1651" s="86"/>
      <c r="F1651" s="14"/>
    </row>
    <row r="1652" spans="1:6" x14ac:dyDescent="0.25">
      <c r="A1652" s="86">
        <v>1651</v>
      </c>
      <c r="B1652" s="87">
        <v>39.724523043667432</v>
      </c>
      <c r="C1652" s="14">
        <v>5</v>
      </c>
      <c r="D1652" s="86">
        <v>0.67185990251975936</v>
      </c>
      <c r="E1652" s="86"/>
      <c r="F1652" s="14"/>
    </row>
    <row r="1653" spans="1:6" x14ac:dyDescent="0.25">
      <c r="A1653" s="86">
        <v>1652</v>
      </c>
      <c r="B1653" s="87">
        <v>37.23498593387194</v>
      </c>
      <c r="C1653" s="14">
        <v>1</v>
      </c>
      <c r="D1653" s="86">
        <v>0.35141172583505453</v>
      </c>
      <c r="E1653" s="86"/>
      <c r="F1653" s="14"/>
    </row>
    <row r="1654" spans="1:6" x14ac:dyDescent="0.25">
      <c r="A1654" s="86">
        <v>1653</v>
      </c>
      <c r="B1654" s="87">
        <v>37.939946645899909</v>
      </c>
      <c r="C1654" s="14">
        <v>2</v>
      </c>
      <c r="D1654" s="86">
        <v>0.21243794874624511</v>
      </c>
      <c r="E1654" s="86"/>
      <c r="F1654" s="14"/>
    </row>
    <row r="1655" spans="1:6" x14ac:dyDescent="0.25">
      <c r="A1655" s="86">
        <v>1654</v>
      </c>
      <c r="B1655" s="87">
        <v>37.122742918989388</v>
      </c>
      <c r="C1655" s="14">
        <v>2</v>
      </c>
      <c r="D1655" s="86">
        <v>0.47495992144946031</v>
      </c>
      <c r="E1655" s="86"/>
      <c r="F1655" s="14"/>
    </row>
    <row r="1656" spans="1:6" x14ac:dyDescent="0.25">
      <c r="A1656" s="86">
        <v>1655</v>
      </c>
      <c r="B1656" s="87">
        <v>44.9858362065861</v>
      </c>
      <c r="C1656" s="14">
        <v>5</v>
      </c>
      <c r="D1656" s="86">
        <v>0.11828071092052972</v>
      </c>
      <c r="E1656" s="86"/>
      <c r="F1656" s="14"/>
    </row>
    <row r="1657" spans="1:6" x14ac:dyDescent="0.25">
      <c r="A1657" s="86">
        <v>1656</v>
      </c>
      <c r="B1657" s="87">
        <v>42.587782895105192</v>
      </c>
      <c r="C1657" s="14">
        <v>2</v>
      </c>
      <c r="D1657" s="86">
        <v>0.15197805289671373</v>
      </c>
      <c r="E1657" s="86"/>
      <c r="F1657" s="14"/>
    </row>
    <row r="1658" spans="1:6" x14ac:dyDescent="0.25">
      <c r="A1658" s="86">
        <v>1657</v>
      </c>
      <c r="B1658" s="87">
        <v>38.614041381486459</v>
      </c>
      <c r="C1658" s="14">
        <v>1</v>
      </c>
      <c r="D1658" s="86">
        <v>0.36880658866772398</v>
      </c>
      <c r="E1658" s="86"/>
      <c r="F1658" s="14"/>
    </row>
    <row r="1659" spans="1:6" x14ac:dyDescent="0.25">
      <c r="A1659" s="86">
        <v>1658</v>
      </c>
      <c r="B1659" s="87">
        <v>47.349544724391308</v>
      </c>
      <c r="C1659" s="14">
        <v>2</v>
      </c>
      <c r="D1659" s="86">
        <v>0.25152348194446339</v>
      </c>
      <c r="E1659" s="86"/>
      <c r="F1659" s="14"/>
    </row>
    <row r="1660" spans="1:6" x14ac:dyDescent="0.25">
      <c r="A1660" s="86">
        <v>1659</v>
      </c>
      <c r="B1660" s="87">
        <v>40.109443938825279</v>
      </c>
      <c r="C1660" s="14">
        <v>4</v>
      </c>
      <c r="D1660" s="86">
        <v>0.6944102587398</v>
      </c>
      <c r="E1660" s="86"/>
      <c r="F1660" s="14"/>
    </row>
    <row r="1661" spans="1:6" x14ac:dyDescent="0.25">
      <c r="A1661" s="86">
        <v>1660</v>
      </c>
      <c r="B1661" s="87">
        <v>40.651502781081945</v>
      </c>
      <c r="C1661" s="14">
        <v>2</v>
      </c>
      <c r="D1661" s="86">
        <v>0.78747732525251291</v>
      </c>
      <c r="E1661" s="86"/>
      <c r="F1661" s="14"/>
    </row>
    <row r="1662" spans="1:6" x14ac:dyDescent="0.25">
      <c r="A1662" s="86">
        <v>1661</v>
      </c>
      <c r="B1662" s="87">
        <v>31.780746207339689</v>
      </c>
      <c r="C1662" s="14">
        <v>5</v>
      </c>
      <c r="D1662" s="86">
        <v>0.6526015294088342</v>
      </c>
      <c r="E1662" s="86"/>
      <c r="F1662" s="14"/>
    </row>
    <row r="1663" spans="1:6" x14ac:dyDescent="0.25">
      <c r="A1663" s="86">
        <v>1662</v>
      </c>
      <c r="B1663" s="87">
        <v>42.559759089606814</v>
      </c>
      <c r="C1663" s="14">
        <v>5</v>
      </c>
      <c r="D1663" s="86">
        <v>6.3816663587038081E-2</v>
      </c>
      <c r="E1663" s="86"/>
      <c r="F1663" s="14"/>
    </row>
    <row r="1664" spans="1:6" x14ac:dyDescent="0.25">
      <c r="A1664" s="86">
        <v>1663</v>
      </c>
      <c r="B1664" s="87">
        <v>38.017219589499291</v>
      </c>
      <c r="C1664" s="14">
        <v>2</v>
      </c>
      <c r="D1664" s="86">
        <v>9.7536517639823406E-2</v>
      </c>
      <c r="E1664" s="86"/>
      <c r="F1664" s="14"/>
    </row>
    <row r="1665" spans="1:6" x14ac:dyDescent="0.25">
      <c r="A1665" s="86">
        <v>1664</v>
      </c>
      <c r="B1665" s="87">
        <v>42.697456587455235</v>
      </c>
      <c r="C1665" s="14">
        <v>2</v>
      </c>
      <c r="D1665" s="86">
        <v>0.42318780152514335</v>
      </c>
      <c r="E1665" s="86"/>
      <c r="F1665" s="14"/>
    </row>
    <row r="1666" spans="1:6" x14ac:dyDescent="0.25">
      <c r="A1666" s="86">
        <v>1665</v>
      </c>
      <c r="B1666" s="87">
        <v>37.983795659209136</v>
      </c>
      <c r="C1666" s="14">
        <v>1</v>
      </c>
      <c r="D1666" s="86">
        <v>0.22677801143164023</v>
      </c>
      <c r="E1666" s="86"/>
      <c r="F1666" s="14"/>
    </row>
    <row r="1667" spans="1:6" x14ac:dyDescent="0.25">
      <c r="A1667" s="86">
        <v>1666</v>
      </c>
      <c r="B1667" s="87">
        <v>39.204292074253317</v>
      </c>
      <c r="C1667" s="14">
        <v>1</v>
      </c>
      <c r="D1667" s="86">
        <v>0.39968800067120713</v>
      </c>
      <c r="E1667" s="86"/>
      <c r="F1667" s="14"/>
    </row>
    <row r="1668" spans="1:6" x14ac:dyDescent="0.25">
      <c r="A1668" s="86">
        <v>1667</v>
      </c>
      <c r="B1668" s="87">
        <v>38.300811406195862</v>
      </c>
      <c r="C1668" s="14">
        <v>2</v>
      </c>
      <c r="D1668" s="86">
        <v>0.72104807422388073</v>
      </c>
      <c r="E1668" s="86"/>
      <c r="F1668" s="14"/>
    </row>
    <row r="1669" spans="1:6" x14ac:dyDescent="0.25">
      <c r="A1669" s="86">
        <v>1668</v>
      </c>
      <c r="B1669" s="87">
        <v>50.351445674430579</v>
      </c>
      <c r="C1669" s="14">
        <v>1</v>
      </c>
      <c r="D1669" s="86">
        <v>0.55630844802702117</v>
      </c>
      <c r="E1669" s="86"/>
      <c r="F1669" s="14"/>
    </row>
    <row r="1670" spans="1:6" x14ac:dyDescent="0.25">
      <c r="A1670" s="86">
        <v>1669</v>
      </c>
      <c r="B1670" s="87">
        <v>38.842154021374881</v>
      </c>
      <c r="C1670" s="14">
        <v>1</v>
      </c>
      <c r="D1670" s="86">
        <v>0.75520121989537015</v>
      </c>
      <c r="E1670" s="86"/>
      <c r="F1670" s="14"/>
    </row>
    <row r="1671" spans="1:6" x14ac:dyDescent="0.25">
      <c r="A1671" s="86">
        <v>1670</v>
      </c>
      <c r="B1671" s="87">
        <v>38.72149818050093</v>
      </c>
      <c r="C1671" s="14">
        <v>5</v>
      </c>
      <c r="D1671" s="86">
        <v>0.53655532312244236</v>
      </c>
      <c r="E1671" s="86"/>
      <c r="F1671" s="14"/>
    </row>
    <row r="1672" spans="1:6" x14ac:dyDescent="0.25">
      <c r="A1672" s="86">
        <v>1671</v>
      </c>
      <c r="B1672" s="87">
        <v>52.344103091279976</v>
      </c>
      <c r="C1672" s="14">
        <v>1</v>
      </c>
      <c r="D1672" s="86">
        <v>0.99080732649161329</v>
      </c>
      <c r="E1672" s="86"/>
      <c r="F1672" s="14"/>
    </row>
    <row r="1673" spans="1:6" x14ac:dyDescent="0.25">
      <c r="A1673" s="86">
        <v>1672</v>
      </c>
      <c r="B1673" s="87">
        <v>40.478801105899038</v>
      </c>
      <c r="C1673" s="14">
        <v>4</v>
      </c>
      <c r="D1673" s="86">
        <v>0.22843764551389112</v>
      </c>
      <c r="E1673" s="86"/>
      <c r="F1673" s="14"/>
    </row>
    <row r="1674" spans="1:6" x14ac:dyDescent="0.25">
      <c r="A1674" s="86">
        <v>1673</v>
      </c>
      <c r="B1674" s="87">
        <v>35.813604876573663</v>
      </c>
      <c r="C1674" s="14">
        <v>5</v>
      </c>
      <c r="D1674" s="86">
        <v>0.56228440797023571</v>
      </c>
      <c r="E1674" s="86"/>
      <c r="F1674" s="14"/>
    </row>
    <row r="1675" spans="1:6" x14ac:dyDescent="0.25">
      <c r="A1675" s="86">
        <v>1674</v>
      </c>
      <c r="B1675" s="87">
        <v>45.121510078723077</v>
      </c>
      <c r="C1675" s="14">
        <v>5</v>
      </c>
      <c r="D1675" s="86">
        <v>0.57386757714376058</v>
      </c>
      <c r="E1675" s="86"/>
      <c r="F1675" s="14"/>
    </row>
    <row r="1676" spans="1:6" x14ac:dyDescent="0.25">
      <c r="A1676" s="86">
        <v>1675</v>
      </c>
      <c r="B1676" s="87">
        <v>56.583849067799747</v>
      </c>
      <c r="C1676" s="14">
        <v>4</v>
      </c>
      <c r="D1676" s="86">
        <v>0.2812776700479076</v>
      </c>
      <c r="E1676" s="86"/>
      <c r="F1676" s="14"/>
    </row>
    <row r="1677" spans="1:6" x14ac:dyDescent="0.25">
      <c r="A1677" s="86">
        <v>1676</v>
      </c>
      <c r="B1677" s="87">
        <v>48.386800694395788</v>
      </c>
      <c r="C1677" s="14">
        <v>5</v>
      </c>
      <c r="D1677" s="86">
        <v>0.33330621531795657</v>
      </c>
      <c r="E1677" s="86"/>
      <c r="F1677" s="14"/>
    </row>
    <row r="1678" spans="1:6" x14ac:dyDescent="0.25">
      <c r="A1678" s="86">
        <v>1677</v>
      </c>
      <c r="B1678" s="87">
        <v>45.902322648878908</v>
      </c>
      <c r="C1678" s="14">
        <v>4</v>
      </c>
      <c r="D1678" s="86">
        <v>0.38566314434152371</v>
      </c>
      <c r="E1678" s="86"/>
      <c r="F1678" s="14"/>
    </row>
    <row r="1679" spans="1:6" x14ac:dyDescent="0.25">
      <c r="A1679" s="86">
        <v>1678</v>
      </c>
      <c r="B1679" s="87">
        <v>39.063485241393209</v>
      </c>
      <c r="C1679" s="14">
        <v>4</v>
      </c>
      <c r="D1679" s="86">
        <v>0.76751976061924476</v>
      </c>
      <c r="E1679" s="86"/>
      <c r="F1679" s="14"/>
    </row>
    <row r="1680" spans="1:6" x14ac:dyDescent="0.25">
      <c r="A1680" s="86">
        <v>1679</v>
      </c>
      <c r="B1680" s="87">
        <v>46.219275868104887</v>
      </c>
      <c r="C1680" s="14">
        <v>5</v>
      </c>
      <c r="D1680" s="86">
        <v>0.17965791050527613</v>
      </c>
      <c r="E1680" s="86"/>
      <c r="F1680" s="14"/>
    </row>
    <row r="1681" spans="1:6" x14ac:dyDescent="0.25">
      <c r="A1681" s="86">
        <v>1680</v>
      </c>
      <c r="B1681" s="87">
        <v>49.417940312530845</v>
      </c>
      <c r="C1681" s="14">
        <v>3</v>
      </c>
      <c r="D1681" s="86">
        <v>0.61635083895489629</v>
      </c>
      <c r="E1681" s="86"/>
      <c r="F1681" s="14"/>
    </row>
    <row r="1682" spans="1:6" x14ac:dyDescent="0.25">
      <c r="A1682" s="86">
        <v>1681</v>
      </c>
      <c r="B1682" s="87">
        <v>41.643875187553931</v>
      </c>
      <c r="C1682" s="14">
        <v>5</v>
      </c>
      <c r="D1682" s="86">
        <v>0.77620272810133406</v>
      </c>
      <c r="E1682" s="86"/>
      <c r="F1682" s="14"/>
    </row>
    <row r="1683" spans="1:6" x14ac:dyDescent="0.25">
      <c r="A1683" s="86">
        <v>1682</v>
      </c>
      <c r="B1683" s="87">
        <v>52.320092431153171</v>
      </c>
      <c r="C1683" s="14">
        <v>1</v>
      </c>
      <c r="D1683" s="86">
        <v>0.4640837435636278</v>
      </c>
      <c r="E1683" s="86"/>
      <c r="F1683" s="14"/>
    </row>
    <row r="1684" spans="1:6" x14ac:dyDescent="0.25">
      <c r="A1684" s="86">
        <v>1683</v>
      </c>
      <c r="B1684" s="87">
        <v>45.025217327172868</v>
      </c>
      <c r="C1684" s="14">
        <v>2</v>
      </c>
      <c r="D1684" s="86">
        <v>0.60208845331699479</v>
      </c>
      <c r="E1684" s="86"/>
      <c r="F1684" s="14"/>
    </row>
    <row r="1685" spans="1:6" x14ac:dyDescent="0.25">
      <c r="A1685" s="86">
        <v>1684</v>
      </c>
      <c r="B1685" s="87">
        <v>36.924279806378763</v>
      </c>
      <c r="C1685" s="14">
        <v>1</v>
      </c>
      <c r="D1685" s="86">
        <v>0.43164321572111275</v>
      </c>
      <c r="E1685" s="86"/>
      <c r="F1685" s="14"/>
    </row>
    <row r="1686" spans="1:6" x14ac:dyDescent="0.25">
      <c r="A1686" s="86">
        <v>1685</v>
      </c>
      <c r="B1686" s="87">
        <v>41.543995616273605</v>
      </c>
      <c r="C1686" s="14">
        <v>3</v>
      </c>
      <c r="D1686" s="86">
        <v>0.54410037982233328</v>
      </c>
      <c r="E1686" s="86"/>
      <c r="F1686" s="14"/>
    </row>
    <row r="1687" spans="1:6" x14ac:dyDescent="0.25">
      <c r="A1687" s="86">
        <v>1686</v>
      </c>
      <c r="B1687" s="87">
        <v>43.697821178619051</v>
      </c>
      <c r="C1687" s="14">
        <v>2</v>
      </c>
      <c r="D1687" s="86">
        <v>0.65001393042610101</v>
      </c>
      <c r="E1687" s="86"/>
      <c r="F1687" s="14"/>
    </row>
    <row r="1688" spans="1:6" x14ac:dyDescent="0.25">
      <c r="A1688" s="86">
        <v>1687</v>
      </c>
      <c r="B1688" s="87">
        <v>48.499555300048087</v>
      </c>
      <c r="C1688" s="14">
        <v>5</v>
      </c>
      <c r="D1688" s="86">
        <v>0.33802685541408628</v>
      </c>
      <c r="E1688" s="86"/>
      <c r="F1688" s="14"/>
    </row>
    <row r="1689" spans="1:6" x14ac:dyDescent="0.25">
      <c r="A1689" s="86">
        <v>1688</v>
      </c>
      <c r="B1689" s="87">
        <v>44.467583388148341</v>
      </c>
      <c r="C1689" s="14">
        <v>2</v>
      </c>
      <c r="D1689" s="86">
        <v>0.59209678484700057</v>
      </c>
      <c r="E1689" s="86"/>
      <c r="F1689" s="14"/>
    </row>
    <row r="1690" spans="1:6" x14ac:dyDescent="0.25">
      <c r="A1690" s="86">
        <v>1689</v>
      </c>
      <c r="B1690" s="87">
        <v>42.075436107887072</v>
      </c>
      <c r="C1690" s="14">
        <v>2</v>
      </c>
      <c r="D1690" s="86">
        <v>0.45146925041017305</v>
      </c>
      <c r="E1690" s="86"/>
      <c r="F1690" s="14"/>
    </row>
    <row r="1691" spans="1:6" x14ac:dyDescent="0.25">
      <c r="A1691" s="86">
        <v>1690</v>
      </c>
      <c r="B1691" s="87">
        <v>30.839873938355595</v>
      </c>
      <c r="C1691" s="14">
        <v>2</v>
      </c>
      <c r="D1691" s="86">
        <v>0.36793487694634985</v>
      </c>
      <c r="E1691" s="86"/>
      <c r="F1691" s="14"/>
    </row>
    <row r="1692" spans="1:6" x14ac:dyDescent="0.25">
      <c r="A1692" s="86">
        <v>1691</v>
      </c>
      <c r="B1692" s="87">
        <v>36.47421635320643</v>
      </c>
      <c r="C1692" s="14">
        <v>5</v>
      </c>
      <c r="D1692" s="86">
        <v>2.2265252630514043E-2</v>
      </c>
      <c r="E1692" s="86"/>
      <c r="F1692" s="14"/>
    </row>
    <row r="1693" spans="1:6" x14ac:dyDescent="0.25">
      <c r="A1693" s="86">
        <v>1692</v>
      </c>
      <c r="B1693" s="87">
        <v>39.038405924991821</v>
      </c>
      <c r="C1693" s="14">
        <v>5</v>
      </c>
      <c r="D1693" s="86">
        <v>0.29909045745208551</v>
      </c>
      <c r="E1693" s="86"/>
      <c r="F1693" s="14"/>
    </row>
    <row r="1694" spans="1:6" x14ac:dyDescent="0.25">
      <c r="A1694" s="86">
        <v>1693</v>
      </c>
      <c r="B1694" s="87">
        <v>44.007572336675366</v>
      </c>
      <c r="C1694" s="14">
        <v>4</v>
      </c>
      <c r="D1694" s="86">
        <v>0.7458595970805163</v>
      </c>
      <c r="E1694" s="86"/>
      <c r="F1694" s="14"/>
    </row>
    <row r="1695" spans="1:6" x14ac:dyDescent="0.25">
      <c r="A1695" s="86">
        <v>1694</v>
      </c>
      <c r="B1695" s="87">
        <v>38.969972133025294</v>
      </c>
      <c r="C1695" s="14">
        <v>2</v>
      </c>
      <c r="D1695" s="86">
        <v>0.30348615271729673</v>
      </c>
      <c r="E1695" s="86"/>
      <c r="F1695" s="14"/>
    </row>
    <row r="1696" spans="1:6" x14ac:dyDescent="0.25">
      <c r="A1696" s="86">
        <v>1695</v>
      </c>
      <c r="B1696" s="87">
        <v>52.58016244112514</v>
      </c>
      <c r="C1696" s="14">
        <v>5</v>
      </c>
      <c r="D1696" s="86">
        <v>0.75594305767050929</v>
      </c>
      <c r="E1696" s="86"/>
      <c r="F1696" s="14"/>
    </row>
    <row r="1697" spans="1:6" x14ac:dyDescent="0.25">
      <c r="A1697" s="86">
        <v>1696</v>
      </c>
      <c r="B1697" s="87">
        <v>45.919540520451847</v>
      </c>
      <c r="C1697" s="14">
        <v>2</v>
      </c>
      <c r="D1697" s="86">
        <v>0.93098699292274956</v>
      </c>
      <c r="E1697" s="86"/>
      <c r="F1697" s="14"/>
    </row>
    <row r="1698" spans="1:6" x14ac:dyDescent="0.25">
      <c r="A1698" s="86">
        <v>1697</v>
      </c>
      <c r="B1698" s="87">
        <v>49.171262612042483</v>
      </c>
      <c r="C1698" s="14">
        <v>2</v>
      </c>
      <c r="D1698" s="86">
        <v>0.7131529233315741</v>
      </c>
      <c r="E1698" s="86"/>
      <c r="F1698" s="14"/>
    </row>
    <row r="1699" spans="1:6" x14ac:dyDescent="0.25">
      <c r="A1699" s="86">
        <v>1698</v>
      </c>
      <c r="B1699" s="87">
        <v>35.815764926490374</v>
      </c>
      <c r="C1699" s="14">
        <v>4</v>
      </c>
      <c r="D1699" s="86">
        <v>0.50254943406010999</v>
      </c>
      <c r="E1699" s="86"/>
      <c r="F1699" s="14"/>
    </row>
    <row r="1700" spans="1:6" x14ac:dyDescent="0.25">
      <c r="A1700" s="86">
        <v>1699</v>
      </c>
      <c r="B1700" s="87">
        <v>36.686139987403294</v>
      </c>
      <c r="C1700" s="14">
        <v>2</v>
      </c>
      <c r="D1700" s="86">
        <v>0.65299523525999481</v>
      </c>
      <c r="E1700" s="86"/>
      <c r="F1700" s="14"/>
    </row>
    <row r="1701" spans="1:6" x14ac:dyDescent="0.25">
      <c r="A1701" s="86">
        <v>1700</v>
      </c>
      <c r="B1701" s="87">
        <v>46.623949851316866</v>
      </c>
      <c r="C1701" s="14">
        <v>3</v>
      </c>
      <c r="D1701" s="86">
        <v>0.7839203024806729</v>
      </c>
      <c r="E1701" s="86"/>
      <c r="F1701" s="14"/>
    </row>
    <row r="1702" spans="1:6" x14ac:dyDescent="0.25">
      <c r="A1702" s="86">
        <v>1701</v>
      </c>
      <c r="B1702" s="87">
        <v>44.042337771650637</v>
      </c>
      <c r="C1702" s="14">
        <v>5</v>
      </c>
      <c r="D1702" s="86">
        <v>0.3064677500697528</v>
      </c>
      <c r="E1702" s="86"/>
      <c r="F1702" s="14"/>
    </row>
    <row r="1703" spans="1:6" x14ac:dyDescent="0.25">
      <c r="A1703" s="86">
        <v>1702</v>
      </c>
      <c r="B1703" s="87">
        <v>36.377059581689537</v>
      </c>
      <c r="C1703" s="14">
        <v>5</v>
      </c>
      <c r="D1703" s="86">
        <v>0.45228790813343089</v>
      </c>
      <c r="E1703" s="86"/>
      <c r="F1703" s="14"/>
    </row>
    <row r="1704" spans="1:6" x14ac:dyDescent="0.25">
      <c r="A1704" s="86">
        <v>1703</v>
      </c>
      <c r="B1704" s="87">
        <v>35.336915966006927</v>
      </c>
      <c r="C1704" s="14">
        <v>2</v>
      </c>
      <c r="D1704" s="86">
        <v>0.19813332655889049</v>
      </c>
      <c r="E1704" s="86"/>
      <c r="F1704" s="14"/>
    </row>
    <row r="1705" spans="1:6" x14ac:dyDescent="0.25">
      <c r="A1705" s="86">
        <v>1704</v>
      </c>
      <c r="B1705" s="87">
        <v>30.02533048344776</v>
      </c>
      <c r="C1705" s="14">
        <v>4</v>
      </c>
      <c r="D1705" s="86">
        <v>0.51804832337396356</v>
      </c>
      <c r="E1705" s="86"/>
      <c r="F1705" s="14"/>
    </row>
    <row r="1706" spans="1:6" x14ac:dyDescent="0.25">
      <c r="A1706" s="86">
        <v>1705</v>
      </c>
      <c r="B1706" s="87">
        <v>35.351740729645826</v>
      </c>
      <c r="C1706" s="14">
        <v>2</v>
      </c>
      <c r="D1706" s="86">
        <v>0.84455366031053636</v>
      </c>
      <c r="E1706" s="86"/>
      <c r="F1706" s="14"/>
    </row>
    <row r="1707" spans="1:6" x14ac:dyDescent="0.25">
      <c r="A1707" s="86">
        <v>1706</v>
      </c>
      <c r="B1707" s="87">
        <v>41.887983565509785</v>
      </c>
      <c r="C1707" s="14">
        <v>4</v>
      </c>
      <c r="D1707" s="86">
        <v>0.34964324803154079</v>
      </c>
      <c r="E1707" s="86"/>
      <c r="F1707" s="14"/>
    </row>
    <row r="1708" spans="1:6" x14ac:dyDescent="0.25">
      <c r="A1708" s="86">
        <v>1707</v>
      </c>
      <c r="B1708" s="87">
        <v>46.560569439287065</v>
      </c>
      <c r="C1708" s="14">
        <v>4</v>
      </c>
      <c r="D1708" s="86">
        <v>0.65614126168057196</v>
      </c>
      <c r="E1708" s="86"/>
      <c r="F1708" s="14"/>
    </row>
    <row r="1709" spans="1:6" x14ac:dyDescent="0.25">
      <c r="A1709" s="86">
        <v>1708</v>
      </c>
      <c r="B1709" s="87">
        <v>37.066661201941315</v>
      </c>
      <c r="C1709" s="14">
        <v>1</v>
      </c>
      <c r="D1709" s="86">
        <v>9.737451343467074E-2</v>
      </c>
      <c r="E1709" s="86"/>
      <c r="F1709" s="14"/>
    </row>
    <row r="1710" spans="1:6" x14ac:dyDescent="0.25">
      <c r="A1710" s="86">
        <v>1709</v>
      </c>
      <c r="B1710" s="87">
        <v>43.609475137025584</v>
      </c>
      <c r="C1710" s="14">
        <v>2</v>
      </c>
      <c r="D1710" s="86">
        <v>0.40961099894474184</v>
      </c>
      <c r="E1710" s="86"/>
      <c r="F1710" s="14"/>
    </row>
    <row r="1711" spans="1:6" x14ac:dyDescent="0.25">
      <c r="A1711" s="86">
        <v>1710</v>
      </c>
      <c r="B1711" s="87">
        <v>37.061249708465766</v>
      </c>
      <c r="C1711" s="14">
        <v>4</v>
      </c>
      <c r="D1711" s="86">
        <v>0.33771764845834995</v>
      </c>
      <c r="E1711" s="86"/>
      <c r="F1711" s="14"/>
    </row>
    <row r="1712" spans="1:6" x14ac:dyDescent="0.25">
      <c r="A1712" s="86">
        <v>1711</v>
      </c>
      <c r="B1712" s="87">
        <v>39.715985162154539</v>
      </c>
      <c r="C1712" s="14">
        <v>1</v>
      </c>
      <c r="D1712" s="86">
        <v>0.15200639552053719</v>
      </c>
      <c r="E1712" s="86"/>
      <c r="F1712" s="14"/>
    </row>
    <row r="1713" spans="1:6" x14ac:dyDescent="0.25">
      <c r="A1713" s="86">
        <v>1712</v>
      </c>
      <c r="B1713" s="87">
        <v>43.227089458348928</v>
      </c>
      <c r="C1713" s="14">
        <v>4</v>
      </c>
      <c r="D1713" s="86">
        <v>0.84837229316241591</v>
      </c>
      <c r="E1713" s="86"/>
      <c r="F1713" s="14"/>
    </row>
    <row r="1714" spans="1:6" x14ac:dyDescent="0.25">
      <c r="A1714" s="86">
        <v>1713</v>
      </c>
      <c r="B1714" s="87">
        <v>43.786769760452444</v>
      </c>
      <c r="C1714" s="14">
        <v>4</v>
      </c>
      <c r="D1714" s="86">
        <v>0.49902168818003922</v>
      </c>
      <c r="E1714" s="86"/>
      <c r="F1714" s="14"/>
    </row>
    <row r="1715" spans="1:6" x14ac:dyDescent="0.25">
      <c r="A1715" s="86">
        <v>1714</v>
      </c>
      <c r="B1715" s="87">
        <v>48.092715582577512</v>
      </c>
      <c r="C1715" s="14">
        <v>3</v>
      </c>
      <c r="D1715" s="86">
        <v>0.1891803290544487</v>
      </c>
      <c r="E1715" s="86"/>
      <c r="F1715" s="14"/>
    </row>
    <row r="1716" spans="1:6" x14ac:dyDescent="0.25">
      <c r="A1716" s="86">
        <v>1715</v>
      </c>
      <c r="B1716" s="87">
        <v>43.145939793583238</v>
      </c>
      <c r="C1716" s="14">
        <v>4</v>
      </c>
      <c r="D1716" s="86">
        <v>0.77010493145285308</v>
      </c>
      <c r="E1716" s="86"/>
      <c r="F1716" s="14"/>
    </row>
    <row r="1717" spans="1:6" x14ac:dyDescent="0.25">
      <c r="A1717" s="86">
        <v>1716</v>
      </c>
      <c r="B1717" s="87">
        <v>38.262601260037627</v>
      </c>
      <c r="C1717" s="14">
        <v>4</v>
      </c>
      <c r="D1717" s="86">
        <v>0.36323789519814065</v>
      </c>
      <c r="E1717" s="86"/>
      <c r="F1717" s="14"/>
    </row>
    <row r="1718" spans="1:6" x14ac:dyDescent="0.25">
      <c r="A1718" s="86">
        <v>1717</v>
      </c>
      <c r="B1718" s="87">
        <v>36.725009517220315</v>
      </c>
      <c r="C1718" s="14">
        <v>2</v>
      </c>
      <c r="D1718" s="86">
        <v>0.91294568239060847</v>
      </c>
      <c r="E1718" s="86"/>
      <c r="F1718" s="14"/>
    </row>
    <row r="1719" spans="1:6" x14ac:dyDescent="0.25">
      <c r="A1719" s="86">
        <v>1718</v>
      </c>
      <c r="B1719" s="87">
        <v>41.824375779804541</v>
      </c>
      <c r="C1719" s="14">
        <v>1</v>
      </c>
      <c r="D1719" s="86">
        <v>0.92033386321781274</v>
      </c>
      <c r="E1719" s="86"/>
      <c r="F1719" s="14"/>
    </row>
    <row r="1720" spans="1:6" x14ac:dyDescent="0.25">
      <c r="A1720" s="86">
        <v>1719</v>
      </c>
      <c r="B1720" s="87">
        <v>38.269183727941709</v>
      </c>
      <c r="C1720" s="14">
        <v>5</v>
      </c>
      <c r="D1720" s="86">
        <v>0.33501398019244155</v>
      </c>
      <c r="E1720" s="86"/>
      <c r="F1720" s="14"/>
    </row>
    <row r="1721" spans="1:6" x14ac:dyDescent="0.25">
      <c r="A1721" s="86">
        <v>1720</v>
      </c>
      <c r="B1721" s="87">
        <v>42.157802221816382</v>
      </c>
      <c r="C1721" s="14">
        <v>4</v>
      </c>
      <c r="D1721" s="86">
        <v>0.53280655020912138</v>
      </c>
      <c r="E1721" s="86"/>
      <c r="F1721" s="14"/>
    </row>
    <row r="1722" spans="1:6" x14ac:dyDescent="0.25">
      <c r="A1722" s="86">
        <v>1721</v>
      </c>
      <c r="B1722" s="87">
        <v>46.633402911873418</v>
      </c>
      <c r="C1722" s="14">
        <v>4</v>
      </c>
      <c r="D1722" s="86">
        <v>0.84768422600932369</v>
      </c>
      <c r="E1722" s="86"/>
      <c r="F1722" s="14"/>
    </row>
    <row r="1723" spans="1:6" x14ac:dyDescent="0.25">
      <c r="A1723" s="86">
        <v>1722</v>
      </c>
      <c r="B1723" s="87">
        <v>43.8022652764339</v>
      </c>
      <c r="C1723" s="14">
        <v>4</v>
      </c>
      <c r="D1723" s="86">
        <v>0.59165472028122912</v>
      </c>
      <c r="E1723" s="86"/>
      <c r="F1723" s="14"/>
    </row>
    <row r="1724" spans="1:6" x14ac:dyDescent="0.25">
      <c r="A1724" s="86">
        <v>1723</v>
      </c>
      <c r="B1724" s="87">
        <v>48.026970484323101</v>
      </c>
      <c r="C1724" s="14">
        <v>4</v>
      </c>
      <c r="D1724" s="86">
        <v>0.18546811143206476</v>
      </c>
      <c r="E1724" s="86"/>
      <c r="F1724" s="14"/>
    </row>
    <row r="1725" spans="1:6" x14ac:dyDescent="0.25">
      <c r="A1725" s="86">
        <v>1724</v>
      </c>
      <c r="B1725" s="87">
        <v>40.464897205645684</v>
      </c>
      <c r="C1725" s="14">
        <v>4</v>
      </c>
      <c r="D1725" s="86">
        <v>0.50953098732330537</v>
      </c>
      <c r="E1725" s="86"/>
      <c r="F1725" s="14"/>
    </row>
    <row r="1726" spans="1:6" x14ac:dyDescent="0.25">
      <c r="A1726" s="86">
        <v>1725</v>
      </c>
      <c r="B1726" s="87">
        <v>43.925729182199575</v>
      </c>
      <c r="C1726" s="14">
        <v>4</v>
      </c>
      <c r="D1726" s="86">
        <v>0.85149897464795887</v>
      </c>
      <c r="E1726" s="86"/>
      <c r="F1726" s="14"/>
    </row>
    <row r="1727" spans="1:6" x14ac:dyDescent="0.25">
      <c r="A1727" s="86">
        <v>1726</v>
      </c>
      <c r="B1727" s="87">
        <v>44.580576736159855</v>
      </c>
      <c r="C1727" s="14">
        <v>4</v>
      </c>
      <c r="D1727" s="86">
        <v>0.38266752283035776</v>
      </c>
      <c r="E1727" s="86"/>
      <c r="F1727" s="14"/>
    </row>
    <row r="1728" spans="1:6" x14ac:dyDescent="0.25">
      <c r="A1728" s="86">
        <v>1727</v>
      </c>
      <c r="B1728" s="87">
        <v>50.659377843083348</v>
      </c>
      <c r="C1728" s="14">
        <v>5</v>
      </c>
      <c r="D1728" s="86">
        <v>0.97786346802226987</v>
      </c>
      <c r="E1728" s="86"/>
      <c r="F1728" s="14"/>
    </row>
    <row r="1729" spans="1:6" x14ac:dyDescent="0.25">
      <c r="A1729" s="86">
        <v>1728</v>
      </c>
      <c r="B1729" s="87">
        <v>33.870765032013878</v>
      </c>
      <c r="C1729" s="14">
        <v>2</v>
      </c>
      <c r="D1729" s="86">
        <v>7.9911583443195155E-2</v>
      </c>
      <c r="E1729" s="86"/>
      <c r="F1729" s="14"/>
    </row>
    <row r="1730" spans="1:6" x14ac:dyDescent="0.25">
      <c r="A1730" s="86">
        <v>1729</v>
      </c>
      <c r="B1730" s="87">
        <v>48.002937086828751</v>
      </c>
      <c r="C1730" s="14">
        <v>2</v>
      </c>
      <c r="D1730" s="86">
        <v>0.80955220889149593</v>
      </c>
      <c r="E1730" s="86"/>
      <c r="F1730" s="14"/>
    </row>
    <row r="1731" spans="1:6" x14ac:dyDescent="0.25">
      <c r="A1731" s="86">
        <v>1730</v>
      </c>
      <c r="B1731" s="87">
        <v>30.415867508389056</v>
      </c>
      <c r="C1731" s="14">
        <v>2</v>
      </c>
      <c r="D1731" s="86">
        <v>0.51810577373360756</v>
      </c>
      <c r="E1731" s="86"/>
      <c r="F1731" s="14"/>
    </row>
    <row r="1732" spans="1:6" x14ac:dyDescent="0.25">
      <c r="A1732" s="86">
        <v>1731</v>
      </c>
      <c r="B1732" s="87">
        <v>44.402213456458412</v>
      </c>
      <c r="C1732" s="14">
        <v>2</v>
      </c>
      <c r="D1732" s="86">
        <v>0.26159399138891137</v>
      </c>
      <c r="E1732" s="86"/>
      <c r="F1732" s="14"/>
    </row>
    <row r="1733" spans="1:6" x14ac:dyDescent="0.25">
      <c r="A1733" s="86">
        <v>1732</v>
      </c>
      <c r="B1733" s="87">
        <v>42.074270817800425</v>
      </c>
      <c r="C1733" s="14">
        <v>4</v>
      </c>
      <c r="D1733" s="86">
        <v>0.91332376519204317</v>
      </c>
      <c r="E1733" s="86"/>
      <c r="F1733" s="14"/>
    </row>
    <row r="1734" spans="1:6" x14ac:dyDescent="0.25">
      <c r="A1734" s="86">
        <v>1733</v>
      </c>
      <c r="B1734" s="87">
        <v>47.562343747238629</v>
      </c>
      <c r="C1734" s="14">
        <v>1</v>
      </c>
      <c r="D1734" s="86">
        <v>2.0654030172926663E-2</v>
      </c>
      <c r="E1734" s="86"/>
      <c r="F1734" s="14"/>
    </row>
    <row r="1735" spans="1:6" x14ac:dyDescent="0.25">
      <c r="A1735" s="86">
        <v>1734</v>
      </c>
      <c r="B1735" s="87">
        <v>42.096053215907887</v>
      </c>
      <c r="C1735" s="14">
        <v>2</v>
      </c>
      <c r="D1735" s="86">
        <v>0.64171436192593045</v>
      </c>
      <c r="E1735" s="86"/>
      <c r="F1735" s="14"/>
    </row>
    <row r="1736" spans="1:6" x14ac:dyDescent="0.25">
      <c r="A1736" s="86">
        <v>1735</v>
      </c>
      <c r="B1736" s="87">
        <v>47.387084118206985</v>
      </c>
      <c r="C1736" s="14">
        <v>5</v>
      </c>
      <c r="D1736" s="86">
        <v>0.9927152384227057</v>
      </c>
      <c r="E1736" s="86"/>
      <c r="F1736" s="14"/>
    </row>
    <row r="1737" spans="1:6" x14ac:dyDescent="0.25">
      <c r="A1737" s="86">
        <v>1736</v>
      </c>
      <c r="B1737" s="87">
        <v>47.760215688293101</v>
      </c>
      <c r="C1737" s="14">
        <v>2</v>
      </c>
      <c r="D1737" s="86">
        <v>7.721646219977174E-2</v>
      </c>
      <c r="E1737" s="86"/>
      <c r="F1737" s="14"/>
    </row>
    <row r="1738" spans="1:6" x14ac:dyDescent="0.25">
      <c r="A1738" s="86">
        <v>1737</v>
      </c>
      <c r="B1738" s="87">
        <v>41.810608303756453</v>
      </c>
      <c r="C1738" s="14">
        <v>5</v>
      </c>
      <c r="D1738" s="86">
        <v>0.6289323254685234</v>
      </c>
      <c r="E1738" s="86"/>
      <c r="F1738" s="14"/>
    </row>
    <row r="1739" spans="1:6" x14ac:dyDescent="0.25">
      <c r="A1739" s="86">
        <v>1738</v>
      </c>
      <c r="B1739" s="87">
        <v>49.001960173307452</v>
      </c>
      <c r="C1739" s="14">
        <v>2</v>
      </c>
      <c r="D1739" s="86">
        <v>0.75876768873589595</v>
      </c>
      <c r="E1739" s="86"/>
      <c r="F1739" s="14"/>
    </row>
    <row r="1740" spans="1:6" x14ac:dyDescent="0.25">
      <c r="A1740" s="86">
        <v>1739</v>
      </c>
      <c r="B1740" s="87">
        <v>53.064286470878869</v>
      </c>
      <c r="C1740" s="14">
        <v>5</v>
      </c>
      <c r="D1740" s="86">
        <v>0.94036604055716011</v>
      </c>
      <c r="E1740" s="86"/>
      <c r="F1740" s="14"/>
    </row>
    <row r="1741" spans="1:6" x14ac:dyDescent="0.25">
      <c r="A1741" s="86">
        <v>1740</v>
      </c>
      <c r="B1741" s="87">
        <v>37.647248513501836</v>
      </c>
      <c r="C1741" s="14">
        <v>2</v>
      </c>
      <c r="D1741" s="86">
        <v>0.77613518187678709</v>
      </c>
      <c r="E1741" s="86"/>
      <c r="F1741" s="14"/>
    </row>
    <row r="1742" spans="1:6" x14ac:dyDescent="0.25">
      <c r="A1742" s="86">
        <v>1741</v>
      </c>
      <c r="B1742" s="87">
        <v>45.944977950392058</v>
      </c>
      <c r="C1742" s="14">
        <v>2</v>
      </c>
      <c r="D1742" s="86">
        <v>0.44246601200788493</v>
      </c>
      <c r="E1742" s="86"/>
      <c r="F1742" s="14"/>
    </row>
    <row r="1743" spans="1:6" x14ac:dyDescent="0.25">
      <c r="A1743" s="86">
        <v>1742</v>
      </c>
      <c r="B1743" s="87">
        <v>35.175753504852764</v>
      </c>
      <c r="C1743" s="14">
        <v>2</v>
      </c>
      <c r="D1743" s="86">
        <v>0.95147464633957912</v>
      </c>
      <c r="E1743" s="86"/>
      <c r="F1743" s="14"/>
    </row>
    <row r="1744" spans="1:6" x14ac:dyDescent="0.25">
      <c r="A1744" s="86">
        <v>1743</v>
      </c>
      <c r="B1744" s="87">
        <v>42.195796362982946</v>
      </c>
      <c r="C1744" s="14">
        <v>4</v>
      </c>
      <c r="D1744" s="86">
        <v>0.54431225633585467</v>
      </c>
      <c r="E1744" s="86"/>
      <c r="F1744" s="14"/>
    </row>
    <row r="1745" spans="1:6" x14ac:dyDescent="0.25">
      <c r="A1745" s="86">
        <v>1744</v>
      </c>
      <c r="B1745" s="87">
        <v>47.058676950080553</v>
      </c>
      <c r="C1745" s="14">
        <v>2</v>
      </c>
      <c r="D1745" s="86">
        <v>0.72370366074908832</v>
      </c>
      <c r="E1745" s="86"/>
      <c r="F1745" s="14"/>
    </row>
    <row r="1746" spans="1:6" x14ac:dyDescent="0.25">
      <c r="A1746" s="86">
        <v>1745</v>
      </c>
      <c r="B1746" s="87">
        <v>47.459491265151883</v>
      </c>
      <c r="C1746" s="14">
        <v>4</v>
      </c>
      <c r="D1746" s="86">
        <v>0.95330654801739201</v>
      </c>
      <c r="E1746" s="86"/>
      <c r="F1746" s="14"/>
    </row>
    <row r="1747" spans="1:6" x14ac:dyDescent="0.25">
      <c r="A1747" s="86">
        <v>1746</v>
      </c>
      <c r="B1747" s="87">
        <v>40.809652541036485</v>
      </c>
      <c r="C1747" s="14">
        <v>5</v>
      </c>
      <c r="D1747" s="86">
        <v>8.6879979324322232E-2</v>
      </c>
      <c r="E1747" s="86"/>
      <c r="F1747" s="14"/>
    </row>
    <row r="1748" spans="1:6" x14ac:dyDescent="0.25">
      <c r="A1748" s="86">
        <v>1747</v>
      </c>
      <c r="B1748" s="87">
        <v>53.442954589962028</v>
      </c>
      <c r="C1748" s="14">
        <v>2</v>
      </c>
      <c r="D1748" s="86">
        <v>0.4572644969899281</v>
      </c>
      <c r="E1748" s="86"/>
      <c r="F1748" s="14"/>
    </row>
    <row r="1749" spans="1:6" x14ac:dyDescent="0.25">
      <c r="A1749" s="86">
        <v>1748</v>
      </c>
      <c r="B1749" s="87">
        <v>35.469133758277167</v>
      </c>
      <c r="C1749" s="14">
        <v>2</v>
      </c>
      <c r="D1749" s="86">
        <v>0.11136751442242288</v>
      </c>
      <c r="E1749" s="86"/>
      <c r="F1749" s="14"/>
    </row>
    <row r="1750" spans="1:6" x14ac:dyDescent="0.25">
      <c r="A1750" s="86">
        <v>1749</v>
      </c>
      <c r="B1750" s="87">
        <v>40.008490026928484</v>
      </c>
      <c r="C1750" s="14">
        <v>2</v>
      </c>
      <c r="D1750" s="86">
        <v>0.13760921778378699</v>
      </c>
      <c r="E1750" s="86"/>
      <c r="F1750" s="14"/>
    </row>
    <row r="1751" spans="1:6" x14ac:dyDescent="0.25">
      <c r="A1751" s="86">
        <v>1750</v>
      </c>
      <c r="B1751" s="87">
        <v>34.303229762706906</v>
      </c>
      <c r="C1751" s="14">
        <v>3</v>
      </c>
      <c r="D1751" s="86">
        <v>0.21853315490174485</v>
      </c>
      <c r="E1751" s="86"/>
      <c r="F1751" s="14"/>
    </row>
    <row r="1752" spans="1:6" x14ac:dyDescent="0.25">
      <c r="A1752" s="86">
        <v>1751</v>
      </c>
      <c r="B1752" s="87">
        <v>46.038303475477733</v>
      </c>
      <c r="C1752" s="14">
        <v>4</v>
      </c>
      <c r="D1752" s="86">
        <v>0.25942942819546588</v>
      </c>
      <c r="E1752" s="86"/>
      <c r="F1752" s="14"/>
    </row>
    <row r="1753" spans="1:6" x14ac:dyDescent="0.25">
      <c r="A1753" s="86">
        <v>1752</v>
      </c>
      <c r="B1753" s="87">
        <v>45.889203187805833</v>
      </c>
      <c r="C1753" s="14">
        <v>2</v>
      </c>
      <c r="D1753" s="86">
        <v>0.95614219057444816</v>
      </c>
      <c r="E1753" s="86"/>
      <c r="F1753" s="14"/>
    </row>
    <row r="1754" spans="1:6" x14ac:dyDescent="0.25">
      <c r="A1754" s="86">
        <v>1753</v>
      </c>
      <c r="B1754" s="87">
        <v>35.420021044381429</v>
      </c>
      <c r="C1754" s="14">
        <v>2</v>
      </c>
      <c r="D1754" s="86">
        <v>6.6847166676994085E-2</v>
      </c>
      <c r="E1754" s="86"/>
      <c r="F1754" s="14"/>
    </row>
    <row r="1755" spans="1:6" x14ac:dyDescent="0.25">
      <c r="A1755" s="86">
        <v>1754</v>
      </c>
      <c r="B1755" s="87">
        <v>38.014070464094402</v>
      </c>
      <c r="C1755" s="14">
        <v>4</v>
      </c>
      <c r="D1755" s="86">
        <v>0.96654178241739697</v>
      </c>
      <c r="E1755" s="86"/>
      <c r="F1755" s="14"/>
    </row>
    <row r="1756" spans="1:6" x14ac:dyDescent="0.25">
      <c r="A1756" s="86">
        <v>1755</v>
      </c>
      <c r="B1756" s="87">
        <v>45.960007350338856</v>
      </c>
      <c r="C1756" s="14">
        <v>1</v>
      </c>
      <c r="D1756" s="86">
        <v>0.78749270597313603</v>
      </c>
      <c r="E1756" s="86"/>
      <c r="F1756" s="14"/>
    </row>
    <row r="1757" spans="1:6" x14ac:dyDescent="0.25">
      <c r="A1757" s="86">
        <v>1756</v>
      </c>
      <c r="B1757" s="87">
        <v>39.483160202842555</v>
      </c>
      <c r="C1757" s="14">
        <v>5</v>
      </c>
      <c r="D1757" s="86">
        <v>0.44264382526293788</v>
      </c>
      <c r="E1757" s="86"/>
      <c r="F1757" s="14"/>
    </row>
    <row r="1758" spans="1:6" x14ac:dyDescent="0.25">
      <c r="A1758" s="86">
        <v>1757</v>
      </c>
      <c r="B1758" s="87">
        <v>40.463157797028543</v>
      </c>
      <c r="C1758" s="14">
        <v>2</v>
      </c>
      <c r="D1758" s="86">
        <v>0.13234199921470235</v>
      </c>
      <c r="E1758" s="86"/>
      <c r="F1758" s="14"/>
    </row>
    <row r="1759" spans="1:6" x14ac:dyDescent="0.25">
      <c r="A1759" s="86">
        <v>1758</v>
      </c>
      <c r="B1759" s="87">
        <v>32.560410540434532</v>
      </c>
      <c r="C1759" s="14">
        <v>2</v>
      </c>
      <c r="D1759" s="86">
        <v>0.30608224843397169</v>
      </c>
      <c r="E1759" s="86"/>
      <c r="F1759" s="14"/>
    </row>
    <row r="1760" spans="1:6" x14ac:dyDescent="0.25">
      <c r="A1760" s="86">
        <v>1759</v>
      </c>
      <c r="B1760" s="87">
        <v>41.325858996395255</v>
      </c>
      <c r="C1760" s="14">
        <v>2</v>
      </c>
      <c r="D1760" s="86">
        <v>0.95164224024859545</v>
      </c>
      <c r="E1760" s="86"/>
      <c r="F1760" s="14"/>
    </row>
    <row r="1761" spans="1:6" x14ac:dyDescent="0.25">
      <c r="A1761" s="86">
        <v>1760</v>
      </c>
      <c r="B1761" s="87">
        <v>45.952714339699014</v>
      </c>
      <c r="C1761" s="14">
        <v>5</v>
      </c>
      <c r="D1761" s="86">
        <v>0.16403713194161551</v>
      </c>
      <c r="E1761" s="86"/>
      <c r="F1761" s="14"/>
    </row>
    <row r="1762" spans="1:6" x14ac:dyDescent="0.25">
      <c r="A1762" s="86">
        <v>1761</v>
      </c>
      <c r="B1762" s="87">
        <v>40.941523588451673</v>
      </c>
      <c r="C1762" s="14">
        <v>5</v>
      </c>
      <c r="D1762" s="86">
        <v>0.8429720871719697</v>
      </c>
      <c r="E1762" s="86"/>
      <c r="F1762" s="14"/>
    </row>
    <row r="1763" spans="1:6" x14ac:dyDescent="0.25">
      <c r="A1763" s="86">
        <v>1762</v>
      </c>
      <c r="B1763" s="87">
        <v>39.915096289740177</v>
      </c>
      <c r="C1763" s="14">
        <v>1</v>
      </c>
      <c r="D1763" s="86">
        <v>0.11292426144368528</v>
      </c>
      <c r="E1763" s="86"/>
      <c r="F1763" s="14"/>
    </row>
    <row r="1764" spans="1:6" x14ac:dyDescent="0.25">
      <c r="A1764" s="86">
        <v>1763</v>
      </c>
      <c r="B1764" s="87">
        <v>38.525695339892991</v>
      </c>
      <c r="C1764" s="14">
        <v>2</v>
      </c>
      <c r="D1764" s="86">
        <v>0.24143421044885238</v>
      </c>
      <c r="E1764" s="86"/>
      <c r="F1764" s="14"/>
    </row>
    <row r="1765" spans="1:6" x14ac:dyDescent="0.25">
      <c r="A1765" s="86">
        <v>1764</v>
      </c>
      <c r="B1765" s="87">
        <v>45.484341621311614</v>
      </c>
      <c r="C1765" s="14">
        <v>5</v>
      </c>
      <c r="D1765" s="86">
        <v>0.21926910119756704</v>
      </c>
      <c r="E1765" s="86"/>
      <c r="F1765" s="14"/>
    </row>
    <row r="1766" spans="1:6" x14ac:dyDescent="0.25">
      <c r="A1766" s="86">
        <v>1765</v>
      </c>
      <c r="B1766" s="87">
        <v>47.713490397989517</v>
      </c>
      <c r="C1766" s="14">
        <v>2</v>
      </c>
      <c r="D1766" s="86">
        <v>0.26126898901280893</v>
      </c>
      <c r="E1766" s="86"/>
      <c r="F1766" s="14"/>
    </row>
    <row r="1767" spans="1:6" x14ac:dyDescent="0.25">
      <c r="A1767" s="86">
        <v>1766</v>
      </c>
      <c r="B1767" s="87">
        <v>45.766671514109476</v>
      </c>
      <c r="C1767" s="14">
        <v>2</v>
      </c>
      <c r="D1767" s="86">
        <v>8.1796557343640997E-2</v>
      </c>
      <c r="E1767" s="86"/>
      <c r="F1767" s="14"/>
    </row>
    <row r="1768" spans="1:6" x14ac:dyDescent="0.25">
      <c r="A1768" s="86">
        <v>1767</v>
      </c>
      <c r="B1768" s="87">
        <v>50.748371899651829</v>
      </c>
      <c r="C1768" s="14">
        <v>4</v>
      </c>
      <c r="D1768" s="86">
        <v>0.2082882723712759</v>
      </c>
      <c r="E1768" s="86"/>
      <c r="F1768" s="14"/>
    </row>
    <row r="1769" spans="1:6" x14ac:dyDescent="0.25">
      <c r="A1769" s="86">
        <v>1768</v>
      </c>
      <c r="B1769" s="87">
        <v>48.074753062217496</v>
      </c>
      <c r="C1769" s="14">
        <v>2</v>
      </c>
      <c r="D1769" s="86">
        <v>0.35481253992128414</v>
      </c>
      <c r="E1769" s="86"/>
      <c r="F1769" s="14"/>
    </row>
    <row r="1770" spans="1:6" x14ac:dyDescent="0.25">
      <c r="A1770" s="86">
        <v>1769</v>
      </c>
      <c r="B1770" s="87">
        <v>38.089592630392872</v>
      </c>
      <c r="C1770" s="14">
        <v>2</v>
      </c>
      <c r="D1770" s="86">
        <v>0.16053262116359057</v>
      </c>
      <c r="E1770" s="86"/>
      <c r="F1770" s="14"/>
    </row>
    <row r="1771" spans="1:6" x14ac:dyDescent="0.25">
      <c r="A1771" s="86">
        <v>1770</v>
      </c>
      <c r="B1771" s="87">
        <v>37.960967342194635</v>
      </c>
      <c r="C1771" s="14">
        <v>2</v>
      </c>
      <c r="D1771" s="86">
        <v>0.77691398967025516</v>
      </c>
      <c r="E1771" s="86"/>
      <c r="F1771" s="14"/>
    </row>
    <row r="1772" spans="1:6" x14ac:dyDescent="0.25">
      <c r="A1772" s="86">
        <v>1771</v>
      </c>
      <c r="B1772" s="87">
        <v>45.263413989567198</v>
      </c>
      <c r="C1772" s="14">
        <v>3</v>
      </c>
      <c r="D1772" s="86">
        <v>0.93702125334295283</v>
      </c>
      <c r="E1772" s="86"/>
      <c r="F1772" s="14"/>
    </row>
    <row r="1773" spans="1:6" x14ac:dyDescent="0.25">
      <c r="A1773" s="86">
        <v>1772</v>
      </c>
      <c r="B1773" s="87">
        <v>36.421863564435625</v>
      </c>
      <c r="C1773" s="14">
        <v>2</v>
      </c>
      <c r="D1773" s="86">
        <v>0.59487064547094182</v>
      </c>
      <c r="E1773" s="86"/>
      <c r="F1773" s="14"/>
    </row>
    <row r="1774" spans="1:6" x14ac:dyDescent="0.25">
      <c r="A1774" s="86">
        <v>1773</v>
      </c>
      <c r="B1774" s="87">
        <v>30.369847076479346</v>
      </c>
      <c r="C1774" s="14">
        <v>2</v>
      </c>
      <c r="D1774" s="86">
        <v>0.26080490221041819</v>
      </c>
      <c r="E1774" s="86"/>
      <c r="F1774" s="14"/>
    </row>
    <row r="1775" spans="1:6" x14ac:dyDescent="0.25">
      <c r="A1775" s="86">
        <v>1774</v>
      </c>
      <c r="B1775" s="87">
        <v>55.045529729221016</v>
      </c>
      <c r="C1775" s="14">
        <v>5</v>
      </c>
      <c r="D1775" s="86">
        <v>0.2708134112743712</v>
      </c>
      <c r="E1775" s="86"/>
      <c r="F1775" s="14"/>
    </row>
    <row r="1776" spans="1:6" x14ac:dyDescent="0.25">
      <c r="A1776" s="86">
        <v>1775</v>
      </c>
      <c r="B1776" s="87">
        <v>45.258758513562498</v>
      </c>
      <c r="C1776" s="14">
        <v>2</v>
      </c>
      <c r="D1776" s="86">
        <v>0.44925181895796606</v>
      </c>
      <c r="E1776" s="86"/>
      <c r="F1776" s="14"/>
    </row>
    <row r="1777" spans="1:6" x14ac:dyDescent="0.25">
      <c r="A1777" s="86">
        <v>1776</v>
      </c>
      <c r="B1777" s="87">
        <v>47.068783709954005</v>
      </c>
      <c r="C1777" s="14">
        <v>2</v>
      </c>
      <c r="D1777" s="86">
        <v>0.25587785618815218</v>
      </c>
      <c r="E1777" s="86"/>
      <c r="F1777" s="14"/>
    </row>
    <row r="1778" spans="1:6" x14ac:dyDescent="0.25">
      <c r="A1778" s="86">
        <v>1777</v>
      </c>
      <c r="B1778" s="87">
        <v>38.466578184277751</v>
      </c>
      <c r="C1778" s="14">
        <v>4</v>
      </c>
      <c r="D1778" s="86">
        <v>0.61743193228827709</v>
      </c>
      <c r="E1778" s="86"/>
      <c r="F1778" s="14"/>
    </row>
    <row r="1779" spans="1:6" x14ac:dyDescent="0.25">
      <c r="A1779" s="86">
        <v>1778</v>
      </c>
      <c r="B1779" s="87">
        <v>43.847632009026711</v>
      </c>
      <c r="C1779" s="14">
        <v>5</v>
      </c>
      <c r="D1779" s="86">
        <v>0.21278663870428804</v>
      </c>
      <c r="E1779" s="86"/>
      <c r="F1779" s="14"/>
    </row>
    <row r="1780" spans="1:6" x14ac:dyDescent="0.25">
      <c r="A1780" s="86">
        <v>1779</v>
      </c>
      <c r="B1780" s="87">
        <v>49.022446541464888</v>
      </c>
      <c r="C1780" s="14">
        <v>4</v>
      </c>
      <c r="D1780" s="86">
        <v>0.69191076666202755</v>
      </c>
      <c r="E1780" s="86"/>
      <c r="F1780" s="14"/>
    </row>
    <row r="1781" spans="1:6" x14ac:dyDescent="0.25">
      <c r="A1781" s="86">
        <v>1780</v>
      </c>
      <c r="B1781" s="87">
        <v>44.128489657276077</v>
      </c>
      <c r="C1781" s="14">
        <v>4</v>
      </c>
      <c r="D1781" s="86">
        <v>0.43171438880580815</v>
      </c>
      <c r="E1781" s="86"/>
      <c r="F1781" s="14"/>
    </row>
    <row r="1782" spans="1:6" x14ac:dyDescent="0.25">
      <c r="A1782" s="86">
        <v>1781</v>
      </c>
      <c r="B1782" s="87">
        <v>46.58179477188969</v>
      </c>
      <c r="C1782" s="14">
        <v>5</v>
      </c>
      <c r="D1782" s="86">
        <v>0.17643290030059267</v>
      </c>
      <c r="E1782" s="86"/>
      <c r="F1782" s="14"/>
    </row>
    <row r="1783" spans="1:6" x14ac:dyDescent="0.25">
      <c r="A1783" s="86">
        <v>1782</v>
      </c>
      <c r="B1783" s="87">
        <v>36.73339960584417</v>
      </c>
      <c r="C1783" s="14">
        <v>1</v>
      </c>
      <c r="D1783" s="86">
        <v>0.79741418707095879</v>
      </c>
      <c r="E1783" s="86"/>
      <c r="F1783" s="14"/>
    </row>
    <row r="1784" spans="1:6" x14ac:dyDescent="0.25">
      <c r="A1784" s="86">
        <v>1783</v>
      </c>
      <c r="B1784" s="87">
        <v>47.970229383616243</v>
      </c>
      <c r="C1784" s="14">
        <v>4</v>
      </c>
      <c r="D1784" s="86">
        <v>0.13355578456780415</v>
      </c>
      <c r="E1784" s="86"/>
      <c r="F1784" s="14"/>
    </row>
    <row r="1785" spans="1:6" x14ac:dyDescent="0.25">
      <c r="A1785" s="86">
        <v>1784</v>
      </c>
      <c r="B1785" s="87">
        <v>47.213779902784154</v>
      </c>
      <c r="C1785" s="14">
        <v>4</v>
      </c>
      <c r="D1785" s="86">
        <v>0.85790367907527998</v>
      </c>
      <c r="E1785" s="86"/>
      <c r="F1785" s="14"/>
    </row>
    <row r="1786" spans="1:6" x14ac:dyDescent="0.25">
      <c r="A1786" s="86">
        <v>1785</v>
      </c>
      <c r="B1786" s="87">
        <v>44.061891907738755</v>
      </c>
      <c r="C1786" s="14">
        <v>2</v>
      </c>
      <c r="D1786" s="86">
        <v>0.58291848472896501</v>
      </c>
      <c r="E1786" s="86"/>
      <c r="F1786" s="14"/>
    </row>
    <row r="1787" spans="1:6" x14ac:dyDescent="0.25">
      <c r="A1787" s="86">
        <v>1786</v>
      </c>
      <c r="B1787" s="87">
        <v>39.759993337036576</v>
      </c>
      <c r="C1787" s="14">
        <v>2</v>
      </c>
      <c r="D1787" s="86">
        <v>0.52365394910111118</v>
      </c>
      <c r="E1787" s="86"/>
      <c r="F1787" s="14"/>
    </row>
    <row r="1788" spans="1:6" x14ac:dyDescent="0.25">
      <c r="A1788" s="86">
        <v>1787</v>
      </c>
      <c r="B1788" s="87">
        <v>44.201590293931076</v>
      </c>
      <c r="C1788" s="14">
        <v>2</v>
      </c>
      <c r="D1788" s="86">
        <v>0.65262443110374169</v>
      </c>
      <c r="E1788" s="86"/>
      <c r="F1788" s="14"/>
    </row>
    <row r="1789" spans="1:6" x14ac:dyDescent="0.25">
      <c r="A1789" s="86">
        <v>1788</v>
      </c>
      <c r="B1789" s="87">
        <v>45.559926315370831</v>
      </c>
      <c r="C1789" s="14">
        <v>4</v>
      </c>
      <c r="D1789" s="86">
        <v>0.6871413645705533</v>
      </c>
      <c r="E1789" s="86"/>
      <c r="F1789" s="14"/>
    </row>
    <row r="1790" spans="1:6" x14ac:dyDescent="0.25">
      <c r="A1790" s="86">
        <v>1789</v>
      </c>
      <c r="B1790" s="87">
        <v>56.436692825052887</v>
      </c>
      <c r="C1790" s="14">
        <v>1</v>
      </c>
      <c r="D1790" s="86">
        <v>0.94403482658233662</v>
      </c>
      <c r="E1790" s="86"/>
      <c r="F1790" s="14"/>
    </row>
    <row r="1791" spans="1:6" x14ac:dyDescent="0.25">
      <c r="A1791" s="86">
        <v>1790</v>
      </c>
      <c r="B1791" s="87">
        <v>54.028441804228351</v>
      </c>
      <c r="C1791" s="14">
        <v>4</v>
      </c>
      <c r="D1791" s="86">
        <v>0.12654776815540658</v>
      </c>
      <c r="E1791" s="86"/>
      <c r="F1791" s="14"/>
    </row>
    <row r="1792" spans="1:6" x14ac:dyDescent="0.25">
      <c r="A1792" s="86">
        <v>1791</v>
      </c>
      <c r="B1792" s="87">
        <v>46.190621100657154</v>
      </c>
      <c r="C1792" s="14">
        <v>4</v>
      </c>
      <c r="D1792" s="86">
        <v>0.45126679224214994</v>
      </c>
      <c r="E1792" s="86"/>
      <c r="F1792" s="14"/>
    </row>
    <row r="1793" spans="1:6" x14ac:dyDescent="0.25">
      <c r="A1793" s="86">
        <v>1792</v>
      </c>
      <c r="B1793" s="87">
        <v>44.571333996253088</v>
      </c>
      <c r="C1793" s="14">
        <v>4</v>
      </c>
      <c r="D1793" s="86">
        <v>0.6206935023165232</v>
      </c>
      <c r="E1793" s="86"/>
      <c r="F1793" s="14"/>
    </row>
    <row r="1794" spans="1:6" x14ac:dyDescent="0.25">
      <c r="A1794" s="86">
        <v>1793</v>
      </c>
      <c r="B1794" s="87">
        <v>37.282302395731676</v>
      </c>
      <c r="C1794" s="14">
        <v>4</v>
      </c>
      <c r="D1794" s="86">
        <v>0.55170952402294349</v>
      </c>
      <c r="E1794" s="86"/>
      <c r="F1794" s="14"/>
    </row>
    <row r="1795" spans="1:6" x14ac:dyDescent="0.25">
      <c r="A1795" s="86">
        <v>1794</v>
      </c>
      <c r="B1795" s="87">
        <v>49.350535386445699</v>
      </c>
      <c r="C1795" s="14">
        <v>5</v>
      </c>
      <c r="D1795" s="86">
        <v>0.27790737304999535</v>
      </c>
      <c r="E1795" s="86"/>
      <c r="F1795" s="14"/>
    </row>
    <row r="1796" spans="1:6" x14ac:dyDescent="0.25">
      <c r="A1796" s="86">
        <v>1795</v>
      </c>
      <c r="B1796" s="87">
        <v>52.805489753489383</v>
      </c>
      <c r="C1796" s="14">
        <v>5</v>
      </c>
      <c r="D1796" s="86">
        <v>0.63051342983060943</v>
      </c>
      <c r="E1796" s="86"/>
      <c r="F1796" s="14"/>
    </row>
    <row r="1797" spans="1:6" x14ac:dyDescent="0.25">
      <c r="A1797" s="86">
        <v>1796</v>
      </c>
      <c r="B1797" s="87">
        <v>41.299944081736612</v>
      </c>
      <c r="C1797" s="14">
        <v>2</v>
      </c>
      <c r="D1797" s="86">
        <v>0.40908063733586397</v>
      </c>
      <c r="E1797" s="86"/>
      <c r="F1797" s="14"/>
    </row>
    <row r="1798" spans="1:6" x14ac:dyDescent="0.25">
      <c r="A1798" s="86">
        <v>1797</v>
      </c>
      <c r="B1798" s="87">
        <v>42.076214862725465</v>
      </c>
      <c r="C1798" s="14">
        <v>1</v>
      </c>
      <c r="D1798" s="86">
        <v>0.12662413676289863</v>
      </c>
      <c r="E1798" s="86"/>
      <c r="F1798" s="14"/>
    </row>
    <row r="1799" spans="1:6" x14ac:dyDescent="0.25">
      <c r="A1799" s="86">
        <v>1798</v>
      </c>
      <c r="B1799" s="87">
        <v>46.006164206453832</v>
      </c>
      <c r="C1799" s="14">
        <v>2</v>
      </c>
      <c r="D1799" s="86">
        <v>0.30990069922053698</v>
      </c>
      <c r="E1799" s="86"/>
      <c r="F1799" s="14"/>
    </row>
    <row r="1800" spans="1:6" x14ac:dyDescent="0.25">
      <c r="A1800" s="86">
        <v>1799</v>
      </c>
      <c r="B1800" s="87">
        <v>40.887277913832804</v>
      </c>
      <c r="C1800" s="14">
        <v>5</v>
      </c>
      <c r="D1800" s="86">
        <v>0.42408535112031165</v>
      </c>
      <c r="E1800" s="86"/>
      <c r="F1800" s="14"/>
    </row>
    <row r="1801" spans="1:6" x14ac:dyDescent="0.25">
      <c r="A1801" s="86">
        <v>1800</v>
      </c>
      <c r="B1801" s="87">
        <v>44.874161625892157</v>
      </c>
      <c r="C1801" s="14">
        <v>5</v>
      </c>
      <c r="D1801" s="86">
        <v>7.7959649757961325E-2</v>
      </c>
      <c r="E1801" s="86"/>
      <c r="F1801" s="14"/>
    </row>
    <row r="1802" spans="1:6" x14ac:dyDescent="0.25">
      <c r="A1802" s="86">
        <v>1801</v>
      </c>
      <c r="B1802" s="87">
        <v>47.194168923277175</v>
      </c>
      <c r="C1802" s="14">
        <v>2</v>
      </c>
      <c r="D1802" s="86">
        <v>0.64050439774113177</v>
      </c>
      <c r="E1802" s="86"/>
      <c r="F1802" s="14"/>
    </row>
    <row r="1803" spans="1:6" x14ac:dyDescent="0.25">
      <c r="A1803" s="86">
        <v>1802</v>
      </c>
      <c r="B1803" s="87">
        <v>36.044411894516088</v>
      </c>
      <c r="C1803" s="14">
        <v>5</v>
      </c>
      <c r="D1803" s="86">
        <v>0.23007977342486996</v>
      </c>
      <c r="E1803" s="86"/>
      <c r="F1803" s="14"/>
    </row>
    <row r="1804" spans="1:6" x14ac:dyDescent="0.25">
      <c r="A1804" s="86">
        <v>1803</v>
      </c>
      <c r="B1804" s="87">
        <v>43.472118699690327</v>
      </c>
      <c r="C1804" s="14">
        <v>5</v>
      </c>
      <c r="D1804" s="86">
        <v>0.82859318458644005</v>
      </c>
      <c r="E1804" s="86"/>
      <c r="F1804" s="14"/>
    </row>
    <row r="1805" spans="1:6" x14ac:dyDescent="0.25">
      <c r="A1805" s="86">
        <v>1804</v>
      </c>
      <c r="B1805" s="87">
        <v>38.153621057397686</v>
      </c>
      <c r="C1805" s="14">
        <v>4</v>
      </c>
      <c r="D1805" s="86">
        <v>0.17685664183971184</v>
      </c>
      <c r="E1805" s="86"/>
      <c r="F1805" s="14"/>
    </row>
    <row r="1806" spans="1:6" x14ac:dyDescent="0.25">
      <c r="A1806" s="86">
        <v>1805</v>
      </c>
      <c r="B1806" s="87">
        <v>35.685548022564035</v>
      </c>
      <c r="C1806" s="14">
        <v>4</v>
      </c>
      <c r="D1806" s="86">
        <v>0.58061356152211585</v>
      </c>
      <c r="E1806" s="86"/>
      <c r="F1806" s="14"/>
    </row>
    <row r="1807" spans="1:6" x14ac:dyDescent="0.25">
      <c r="A1807" s="86">
        <v>1806</v>
      </c>
      <c r="B1807" s="87">
        <v>37.83087549378979</v>
      </c>
      <c r="C1807" s="14">
        <v>2</v>
      </c>
      <c r="D1807" s="86">
        <v>0.59141653800216876</v>
      </c>
      <c r="E1807" s="86"/>
      <c r="F1807" s="14"/>
    </row>
    <row r="1808" spans="1:6" x14ac:dyDescent="0.25">
      <c r="A1808" s="86">
        <v>1807</v>
      </c>
      <c r="B1808" s="87">
        <v>43.241254838329041</v>
      </c>
      <c r="C1808" s="14">
        <v>4</v>
      </c>
      <c r="D1808" s="86">
        <v>0.31860087097212664</v>
      </c>
      <c r="E1808" s="86"/>
      <c r="F1808" s="14"/>
    </row>
    <row r="1809" spans="1:6" x14ac:dyDescent="0.25">
      <c r="A1809" s="86">
        <v>1808</v>
      </c>
      <c r="B1809" s="87">
        <v>37.191637142648688</v>
      </c>
      <c r="C1809" s="14">
        <v>2</v>
      </c>
      <c r="D1809" s="86">
        <v>8.9573728602905245E-2</v>
      </c>
      <c r="E1809" s="86"/>
      <c r="F1809" s="14"/>
    </row>
    <row r="1810" spans="1:6" x14ac:dyDescent="0.25">
      <c r="A1810" s="86">
        <v>1809</v>
      </c>
      <c r="B1810" s="87">
        <v>36.858932612056378</v>
      </c>
      <c r="C1810" s="14">
        <v>5</v>
      </c>
      <c r="D1810" s="86">
        <v>0.53469320295719136</v>
      </c>
      <c r="E1810" s="86"/>
      <c r="F1810" s="14"/>
    </row>
    <row r="1811" spans="1:6" x14ac:dyDescent="0.25">
      <c r="A1811" s="86">
        <v>1810</v>
      </c>
      <c r="B1811" s="87">
        <v>42.758364310764591</v>
      </c>
      <c r="C1811" s="14">
        <v>1</v>
      </c>
      <c r="D1811" s="86">
        <v>0.6699820251770412</v>
      </c>
      <c r="E1811" s="86"/>
      <c r="F1811" s="14"/>
    </row>
    <row r="1812" spans="1:6" x14ac:dyDescent="0.25">
      <c r="A1812" s="86">
        <v>1811</v>
      </c>
      <c r="B1812" s="87">
        <v>45.608885552035645</v>
      </c>
      <c r="C1812" s="14">
        <v>2</v>
      </c>
      <c r="D1812" s="86">
        <v>0.4782093886574178</v>
      </c>
      <c r="E1812" s="86"/>
      <c r="F1812" s="14"/>
    </row>
    <row r="1813" spans="1:6" x14ac:dyDescent="0.25">
      <c r="A1813" s="86">
        <v>1812</v>
      </c>
      <c r="B1813" s="87">
        <v>43.842976533022011</v>
      </c>
      <c r="C1813" s="14">
        <v>4</v>
      </c>
      <c r="D1813" s="86">
        <v>0.37299902596879242</v>
      </c>
      <c r="E1813" s="86"/>
      <c r="F1813" s="14"/>
    </row>
    <row r="1814" spans="1:6" x14ac:dyDescent="0.25">
      <c r="A1814" s="86">
        <v>1813</v>
      </c>
      <c r="B1814" s="87">
        <v>40.982672539365012</v>
      </c>
      <c r="C1814" s="14">
        <v>4</v>
      </c>
      <c r="D1814" s="86">
        <v>0.77223091304409996</v>
      </c>
      <c r="E1814" s="86"/>
      <c r="F1814" s="14"/>
    </row>
    <row r="1815" spans="1:6" x14ac:dyDescent="0.25">
      <c r="A1815" s="86">
        <v>1814</v>
      </c>
      <c r="B1815" s="87">
        <v>43.353907125827391</v>
      </c>
      <c r="C1815" s="14">
        <v>5</v>
      </c>
      <c r="D1815" s="86">
        <v>0.16042721694427886</v>
      </c>
      <c r="E1815" s="86"/>
      <c r="F1815" s="14"/>
    </row>
    <row r="1816" spans="1:6" x14ac:dyDescent="0.25">
      <c r="A1816" s="86">
        <v>1815</v>
      </c>
      <c r="B1816" s="87">
        <v>52.40176505537238</v>
      </c>
      <c r="C1816" s="14">
        <v>2</v>
      </c>
      <c r="D1816" s="86">
        <v>0.79946194076577037</v>
      </c>
      <c r="E1816" s="86"/>
      <c r="F1816" s="14"/>
    </row>
    <row r="1817" spans="1:6" x14ac:dyDescent="0.25">
      <c r="A1817" s="86">
        <v>1816</v>
      </c>
      <c r="B1817" s="87">
        <v>43.49864183893078</v>
      </c>
      <c r="C1817" s="14">
        <v>4</v>
      </c>
      <c r="D1817" s="86">
        <v>0.66326392887759955</v>
      </c>
      <c r="E1817" s="86"/>
      <c r="F1817" s="14"/>
    </row>
    <row r="1818" spans="1:6" x14ac:dyDescent="0.25">
      <c r="A1818" s="86">
        <v>1817</v>
      </c>
      <c r="B1818" s="87">
        <v>55.160126061644405</v>
      </c>
      <c r="C1818" s="14">
        <v>4</v>
      </c>
      <c r="D1818" s="86">
        <v>0.39321423218545626</v>
      </c>
      <c r="E1818" s="86"/>
      <c r="F1818" s="14"/>
    </row>
    <row r="1819" spans="1:6" x14ac:dyDescent="0.25">
      <c r="A1819" s="86">
        <v>1818</v>
      </c>
      <c r="B1819" s="87">
        <v>36.772644302225672</v>
      </c>
      <c r="C1819" s="14">
        <v>4</v>
      </c>
      <c r="D1819" s="86">
        <v>0.32730884864693899</v>
      </c>
      <c r="E1819" s="86"/>
      <c r="F1819" s="14"/>
    </row>
    <row r="1820" spans="1:6" x14ac:dyDescent="0.25">
      <c r="A1820" s="86">
        <v>1819</v>
      </c>
      <c r="B1820" s="87">
        <v>52.568202585796826</v>
      </c>
      <c r="C1820" s="14">
        <v>2</v>
      </c>
      <c r="D1820" s="86">
        <v>0.49009651260328801</v>
      </c>
      <c r="E1820" s="86"/>
      <c r="F1820" s="14"/>
    </row>
    <row r="1821" spans="1:6" x14ac:dyDescent="0.25">
      <c r="A1821" s="86">
        <v>1820</v>
      </c>
      <c r="B1821" s="87">
        <v>41.45316551727592</v>
      </c>
      <c r="C1821" s="14">
        <v>2</v>
      </c>
      <c r="D1821" s="86">
        <v>5.6202866607309776E-2</v>
      </c>
      <c r="E1821" s="86"/>
      <c r="F1821" s="14"/>
    </row>
    <row r="1822" spans="1:6" x14ac:dyDescent="0.25">
      <c r="A1822" s="86">
        <v>1821</v>
      </c>
      <c r="B1822" s="87">
        <v>46.694435690704267</v>
      </c>
      <c r="C1822" s="14">
        <v>5</v>
      </c>
      <c r="D1822" s="86">
        <v>0.17497556033305606</v>
      </c>
      <c r="E1822" s="86"/>
      <c r="F1822" s="14"/>
    </row>
    <row r="1823" spans="1:6" x14ac:dyDescent="0.25">
      <c r="A1823" s="86">
        <v>1822</v>
      </c>
      <c r="B1823" s="87">
        <v>41.757812136318535</v>
      </c>
      <c r="C1823" s="14">
        <v>2</v>
      </c>
      <c r="D1823" s="86">
        <v>0.73645319242633844</v>
      </c>
      <c r="E1823" s="86"/>
      <c r="F1823" s="14"/>
    </row>
    <row r="1824" spans="1:6" x14ac:dyDescent="0.25">
      <c r="A1824" s="86">
        <v>1823</v>
      </c>
      <c r="B1824" s="87">
        <v>45.236333784821909</v>
      </c>
      <c r="C1824" s="14">
        <v>2</v>
      </c>
      <c r="D1824" s="86">
        <v>9.0334888532003221E-3</v>
      </c>
      <c r="E1824" s="86"/>
      <c r="F1824" s="14"/>
    </row>
    <row r="1825" spans="1:6" x14ac:dyDescent="0.25">
      <c r="A1825" s="86">
        <v>1824</v>
      </c>
      <c r="B1825" s="87">
        <v>36.724168234621175</v>
      </c>
      <c r="C1825" s="14">
        <v>5</v>
      </c>
      <c r="D1825" s="86">
        <v>0.11524558908934379</v>
      </c>
      <c r="E1825" s="86"/>
      <c r="F1825" s="14"/>
    </row>
    <row r="1826" spans="1:6" x14ac:dyDescent="0.25">
      <c r="A1826" s="86">
        <v>1825</v>
      </c>
      <c r="B1826" s="87">
        <v>41.000498635519762</v>
      </c>
      <c r="C1826" s="14">
        <v>2</v>
      </c>
      <c r="D1826" s="86">
        <v>0.8512727502910894</v>
      </c>
      <c r="E1826" s="86"/>
      <c r="F1826" s="14"/>
    </row>
    <row r="1827" spans="1:6" x14ac:dyDescent="0.25">
      <c r="A1827" s="86">
        <v>1826</v>
      </c>
      <c r="B1827" s="87">
        <v>45.760430106718559</v>
      </c>
      <c r="C1827" s="14">
        <v>2</v>
      </c>
      <c r="D1827" s="86">
        <v>0.69559563005903413</v>
      </c>
      <c r="E1827" s="86"/>
      <c r="F1827" s="14"/>
    </row>
    <row r="1828" spans="1:6" x14ac:dyDescent="0.25">
      <c r="A1828" s="86">
        <v>1827</v>
      </c>
      <c r="B1828" s="87">
        <v>46.899594958056696</v>
      </c>
      <c r="C1828" s="14">
        <v>2</v>
      </c>
      <c r="D1828" s="86">
        <v>0.50998535665453248</v>
      </c>
      <c r="E1828" s="86"/>
      <c r="F1828" s="14"/>
    </row>
    <row r="1829" spans="1:6" x14ac:dyDescent="0.25">
      <c r="A1829" s="86">
        <v>1828</v>
      </c>
      <c r="B1829" s="87">
        <v>40.339250512595754</v>
      </c>
      <c r="C1829" s="14">
        <v>4</v>
      </c>
      <c r="D1829" s="86">
        <v>0.7684869801987404</v>
      </c>
      <c r="E1829" s="86"/>
      <c r="F1829" s="14"/>
    </row>
    <row r="1830" spans="1:6" x14ac:dyDescent="0.25">
      <c r="A1830" s="86">
        <v>1829</v>
      </c>
      <c r="B1830" s="87">
        <v>41.005057477712398</v>
      </c>
      <c r="C1830" s="14">
        <v>2</v>
      </c>
      <c r="D1830" s="86">
        <v>0.98460697121475038</v>
      </c>
      <c r="E1830" s="86"/>
      <c r="F1830" s="14"/>
    </row>
    <row r="1831" spans="1:6" x14ac:dyDescent="0.25">
      <c r="A1831" s="86">
        <v>1830</v>
      </c>
      <c r="B1831" s="87">
        <v>43.581741232963395</v>
      </c>
      <c r="C1831" s="14">
        <v>4</v>
      </c>
      <c r="D1831" s="86">
        <v>0.9276971746157141</v>
      </c>
      <c r="E1831" s="86"/>
      <c r="F1831" s="14"/>
    </row>
    <row r="1832" spans="1:6" x14ac:dyDescent="0.25">
      <c r="A1832" s="86">
        <v>1831</v>
      </c>
      <c r="B1832" s="87">
        <v>34.353161021834239</v>
      </c>
      <c r="C1832" s="14">
        <v>2</v>
      </c>
      <c r="D1832" s="86">
        <v>0.77379569797163195</v>
      </c>
      <c r="E1832" s="86"/>
      <c r="F1832" s="14"/>
    </row>
    <row r="1833" spans="1:6" x14ac:dyDescent="0.25">
      <c r="A1833" s="86">
        <v>1832</v>
      </c>
      <c r="B1833" s="87">
        <v>41.197455397530575</v>
      </c>
      <c r="C1833" s="14">
        <v>4</v>
      </c>
      <c r="D1833" s="86">
        <v>0.76647808087732416</v>
      </c>
      <c r="E1833" s="86"/>
      <c r="F1833" s="14"/>
    </row>
    <row r="1834" spans="1:6" x14ac:dyDescent="0.25">
      <c r="A1834" s="86">
        <v>1833</v>
      </c>
      <c r="B1834" s="87">
        <v>38.534244590089656</v>
      </c>
      <c r="C1834" s="14">
        <v>4</v>
      </c>
      <c r="D1834" s="86">
        <v>0.52779118347964182</v>
      </c>
      <c r="E1834" s="86"/>
      <c r="F1834" s="14"/>
    </row>
    <row r="1835" spans="1:6" x14ac:dyDescent="0.25">
      <c r="A1835" s="86">
        <v>1834</v>
      </c>
      <c r="B1835" s="87">
        <v>40.333964074641699</v>
      </c>
      <c r="C1835" s="14">
        <v>2</v>
      </c>
      <c r="D1835" s="86">
        <v>0.86536659605765154</v>
      </c>
      <c r="E1835" s="86"/>
      <c r="F1835" s="14"/>
    </row>
    <row r="1836" spans="1:6" x14ac:dyDescent="0.25">
      <c r="A1836" s="86">
        <v>1835</v>
      </c>
      <c r="B1836" s="87">
        <v>49.67478161631152</v>
      </c>
      <c r="C1836" s="14">
        <v>4</v>
      </c>
      <c r="D1836" s="86">
        <v>0.46722940585600181</v>
      </c>
      <c r="E1836" s="86"/>
      <c r="F1836" s="14"/>
    </row>
    <row r="1837" spans="1:6" x14ac:dyDescent="0.25">
      <c r="A1837" s="86">
        <v>1836</v>
      </c>
      <c r="B1837" s="87">
        <v>44.038426944433013</v>
      </c>
      <c r="C1837" s="14">
        <v>2</v>
      </c>
      <c r="D1837" s="86">
        <v>0.72801119079185306</v>
      </c>
      <c r="E1837" s="86"/>
      <c r="F1837" s="14"/>
    </row>
    <row r="1838" spans="1:6" x14ac:dyDescent="0.25">
      <c r="A1838" s="86">
        <v>1837</v>
      </c>
      <c r="B1838" s="87">
        <v>42.979536369210109</v>
      </c>
      <c r="C1838" s="14">
        <v>2</v>
      </c>
      <c r="D1838" s="86">
        <v>0.99432365806000911</v>
      </c>
      <c r="E1838" s="86"/>
      <c r="F1838" s="14"/>
    </row>
    <row r="1839" spans="1:6" x14ac:dyDescent="0.25">
      <c r="A1839" s="86">
        <v>1838</v>
      </c>
      <c r="B1839" s="87">
        <v>34.755930750514381</v>
      </c>
      <c r="C1839" s="14">
        <v>1</v>
      </c>
      <c r="D1839" s="86">
        <v>3.5711249274542056E-2</v>
      </c>
      <c r="E1839" s="86"/>
      <c r="F1839" s="14"/>
    </row>
    <row r="1840" spans="1:6" x14ac:dyDescent="0.25">
      <c r="A1840" s="86">
        <v>1839</v>
      </c>
      <c r="B1840" s="87">
        <v>45.287595179950586</v>
      </c>
      <c r="C1840" s="14">
        <v>2</v>
      </c>
      <c r="D1840" s="86">
        <v>0.14586299415877957</v>
      </c>
      <c r="E1840" s="86"/>
      <c r="F1840" s="14"/>
    </row>
    <row r="1841" spans="1:6" x14ac:dyDescent="0.25">
      <c r="A1841" s="86">
        <v>1840</v>
      </c>
      <c r="B1841" s="87">
        <v>49.934510565770324</v>
      </c>
      <c r="C1841" s="14">
        <v>5</v>
      </c>
      <c r="D1841" s="86">
        <v>0.67716517546236255</v>
      </c>
      <c r="E1841" s="86"/>
      <c r="F1841" s="14"/>
    </row>
    <row r="1842" spans="1:6" x14ac:dyDescent="0.25">
      <c r="A1842" s="86">
        <v>1841</v>
      </c>
      <c r="B1842" s="87">
        <v>42.295226871254272</v>
      </c>
      <c r="C1842" s="14">
        <v>2</v>
      </c>
      <c r="D1842" s="86">
        <v>0.42672468769077976</v>
      </c>
      <c r="E1842" s="86"/>
      <c r="F1842" s="14"/>
    </row>
    <row r="1843" spans="1:6" x14ac:dyDescent="0.25">
      <c r="A1843" s="86">
        <v>1842</v>
      </c>
      <c r="B1843" s="87">
        <v>46.814614046859788</v>
      </c>
      <c r="C1843" s="14">
        <v>1</v>
      </c>
      <c r="D1843" s="86">
        <v>0.33702015244617722</v>
      </c>
      <c r="E1843" s="86"/>
      <c r="F1843" s="14"/>
    </row>
    <row r="1844" spans="1:6" x14ac:dyDescent="0.25">
      <c r="A1844" s="86">
        <v>1843</v>
      </c>
      <c r="B1844" s="87">
        <v>43.660372734273551</v>
      </c>
      <c r="C1844" s="14">
        <v>5</v>
      </c>
      <c r="D1844" s="86">
        <v>6.4703027091845833E-2</v>
      </c>
      <c r="E1844" s="86"/>
      <c r="F1844" s="14"/>
    </row>
    <row r="1845" spans="1:6" x14ac:dyDescent="0.25">
      <c r="A1845" s="86">
        <v>1844</v>
      </c>
      <c r="B1845" s="87">
        <v>48.30550323674106</v>
      </c>
      <c r="C1845" s="14">
        <v>2</v>
      </c>
      <c r="D1845" s="86">
        <v>0.44738167242569127</v>
      </c>
      <c r="E1845" s="86"/>
      <c r="F1845" s="14"/>
    </row>
    <row r="1846" spans="1:6" x14ac:dyDescent="0.25">
      <c r="A1846" s="86">
        <v>1845</v>
      </c>
      <c r="B1846" s="87">
        <v>45.555134415160865</v>
      </c>
      <c r="C1846" s="14">
        <v>5</v>
      </c>
      <c r="D1846" s="86">
        <v>0.90251263201437193</v>
      </c>
      <c r="E1846" s="86"/>
      <c r="F1846" s="14"/>
    </row>
    <row r="1847" spans="1:6" x14ac:dyDescent="0.25">
      <c r="A1847" s="86">
        <v>1846</v>
      </c>
      <c r="B1847" s="87">
        <v>43.258489762927638</v>
      </c>
      <c r="C1847" s="14">
        <v>2</v>
      </c>
      <c r="D1847" s="86">
        <v>0.45768196410088735</v>
      </c>
      <c r="E1847" s="86"/>
      <c r="F1847" s="14"/>
    </row>
    <row r="1848" spans="1:6" x14ac:dyDescent="0.25">
      <c r="A1848" s="86">
        <v>1847</v>
      </c>
      <c r="B1848" s="87">
        <v>46.184527486155275</v>
      </c>
      <c r="C1848" s="14">
        <v>5</v>
      </c>
      <c r="D1848" s="86">
        <v>0.98639108483432414</v>
      </c>
      <c r="E1848" s="86"/>
      <c r="F1848" s="14"/>
    </row>
    <row r="1849" spans="1:6" x14ac:dyDescent="0.25">
      <c r="A1849" s="86">
        <v>1848</v>
      </c>
      <c r="B1849" s="87">
        <v>40.778877514065243</v>
      </c>
      <c r="C1849" s="14">
        <v>5</v>
      </c>
      <c r="D1849" s="86">
        <v>0.40741191620267059</v>
      </c>
      <c r="E1849" s="86"/>
      <c r="F1849" s="14"/>
    </row>
    <row r="1850" spans="1:6" x14ac:dyDescent="0.25">
      <c r="A1850" s="86">
        <v>1849</v>
      </c>
      <c r="B1850" s="87">
        <v>41.265860767787672</v>
      </c>
      <c r="C1850" s="14">
        <v>1</v>
      </c>
      <c r="D1850" s="86">
        <v>0.90729364114937816</v>
      </c>
      <c r="E1850" s="86"/>
      <c r="F1850" s="14"/>
    </row>
    <row r="1851" spans="1:6" x14ac:dyDescent="0.25">
      <c r="A1851" s="86">
        <v>1850</v>
      </c>
      <c r="B1851" s="87">
        <v>46.064104703298653</v>
      </c>
      <c r="C1851" s="14">
        <v>3</v>
      </c>
      <c r="D1851" s="86">
        <v>0.62801167139189162</v>
      </c>
      <c r="E1851" s="86"/>
      <c r="F1851" s="14"/>
    </row>
    <row r="1852" spans="1:6" x14ac:dyDescent="0.25">
      <c r="A1852" s="86">
        <v>1851</v>
      </c>
      <c r="B1852" s="87">
        <v>33.186643117340282</v>
      </c>
      <c r="C1852" s="14">
        <v>2</v>
      </c>
      <c r="D1852" s="86">
        <v>0.41959405426375862</v>
      </c>
      <c r="E1852" s="86"/>
      <c r="F1852" s="14"/>
    </row>
    <row r="1853" spans="1:6" x14ac:dyDescent="0.25">
      <c r="A1853" s="86">
        <v>1852</v>
      </c>
      <c r="B1853" s="87">
        <v>33.523247106466442</v>
      </c>
      <c r="C1853" s="14">
        <v>5</v>
      </c>
      <c r="D1853" s="86">
        <v>0.56619974256860894</v>
      </c>
      <c r="E1853" s="86"/>
      <c r="F1853" s="14"/>
    </row>
    <row r="1854" spans="1:6" x14ac:dyDescent="0.25">
      <c r="A1854" s="86">
        <v>1853</v>
      </c>
      <c r="B1854" s="87">
        <v>45.038927959802095</v>
      </c>
      <c r="C1854" s="14">
        <v>2</v>
      </c>
      <c r="D1854" s="86">
        <v>0.61392459193278492</v>
      </c>
      <c r="E1854" s="86"/>
      <c r="F1854" s="14"/>
    </row>
    <row r="1855" spans="1:6" x14ac:dyDescent="0.25">
      <c r="A1855" s="86">
        <v>1854</v>
      </c>
      <c r="B1855" s="87">
        <v>42.000624484324362</v>
      </c>
      <c r="C1855" s="14">
        <v>4</v>
      </c>
      <c r="D1855" s="86">
        <v>0.74617728215806967</v>
      </c>
      <c r="E1855" s="86"/>
      <c r="F1855" s="14"/>
    </row>
    <row r="1856" spans="1:6" x14ac:dyDescent="0.25">
      <c r="A1856" s="86">
        <v>1855</v>
      </c>
      <c r="B1856" s="87">
        <v>51.498818715452217</v>
      </c>
      <c r="C1856" s="14">
        <v>1</v>
      </c>
      <c r="D1856" s="86">
        <v>0.46658395827482757</v>
      </c>
      <c r="E1856" s="86"/>
      <c r="F1856" s="14"/>
    </row>
    <row r="1857" spans="1:6" x14ac:dyDescent="0.25">
      <c r="A1857" s="86">
        <v>1856</v>
      </c>
      <c r="B1857" s="87">
        <v>35.481002664135303</v>
      </c>
      <c r="C1857" s="14">
        <v>1</v>
      </c>
      <c r="D1857" s="86">
        <v>0.7962950266632155</v>
      </c>
      <c r="E1857" s="86"/>
      <c r="F1857" s="14"/>
    </row>
    <row r="1858" spans="1:6" x14ac:dyDescent="0.25">
      <c r="A1858" s="86">
        <v>1857</v>
      </c>
      <c r="B1858" s="87">
        <v>43.576733327761758</v>
      </c>
      <c r="C1858" s="14">
        <v>5</v>
      </c>
      <c r="D1858" s="86">
        <v>0.66370727130738039</v>
      </c>
      <c r="E1858" s="86"/>
      <c r="F1858" s="14"/>
    </row>
    <row r="1859" spans="1:6" x14ac:dyDescent="0.25">
      <c r="A1859" s="86">
        <v>1858</v>
      </c>
      <c r="B1859" s="87">
        <v>40.383218897084589</v>
      </c>
      <c r="C1859" s="14">
        <v>4</v>
      </c>
      <c r="D1859" s="86">
        <v>0.86011361745912662</v>
      </c>
      <c r="E1859" s="86"/>
      <c r="F1859" s="14"/>
    </row>
    <row r="1860" spans="1:6" x14ac:dyDescent="0.25">
      <c r="A1860" s="86">
        <v>1859</v>
      </c>
      <c r="B1860" s="87">
        <v>35.481002664135303</v>
      </c>
      <c r="C1860" s="14">
        <v>5</v>
      </c>
      <c r="D1860" s="86">
        <v>0.96143239831193583</v>
      </c>
      <c r="E1860" s="86"/>
      <c r="F1860" s="14"/>
    </row>
    <row r="1861" spans="1:6" x14ac:dyDescent="0.25">
      <c r="A1861" s="86">
        <v>1860</v>
      </c>
      <c r="B1861" s="87">
        <v>41.125429101492045</v>
      </c>
      <c r="C1861" s="14">
        <v>5</v>
      </c>
      <c r="D1861" s="86">
        <v>0.72923962954478994</v>
      </c>
      <c r="E1861" s="86"/>
      <c r="F1861" s="14"/>
    </row>
    <row r="1862" spans="1:6" x14ac:dyDescent="0.25">
      <c r="A1862" s="86">
        <v>1861</v>
      </c>
      <c r="B1862" s="87">
        <v>39.050439676764654</v>
      </c>
      <c r="C1862" s="14">
        <v>4</v>
      </c>
      <c r="D1862" s="86">
        <v>0.59790435773636075</v>
      </c>
      <c r="E1862" s="86"/>
      <c r="F1862" s="14"/>
    </row>
    <row r="1863" spans="1:6" x14ac:dyDescent="0.25">
      <c r="A1863" s="86">
        <v>1862</v>
      </c>
      <c r="B1863" s="87">
        <v>43.267681343757431</v>
      </c>
      <c r="C1863" s="14">
        <v>2</v>
      </c>
      <c r="D1863" s="86">
        <v>0.98092586617033706</v>
      </c>
      <c r="E1863" s="86"/>
      <c r="F1863" s="14"/>
    </row>
    <row r="1864" spans="1:6" x14ac:dyDescent="0.25">
      <c r="A1864" s="86">
        <v>1863</v>
      </c>
      <c r="B1864" s="87">
        <v>39.68411874154117</v>
      </c>
      <c r="C1864" s="14">
        <v>4</v>
      </c>
      <c r="D1864" s="86">
        <v>0.74993992858300129</v>
      </c>
      <c r="E1864" s="86"/>
      <c r="F1864" s="14"/>
    </row>
    <row r="1865" spans="1:6" x14ac:dyDescent="0.25">
      <c r="A1865" s="86">
        <v>1864</v>
      </c>
      <c r="B1865" s="87">
        <v>44.81643144969712</v>
      </c>
      <c r="C1865" s="14">
        <v>2</v>
      </c>
      <c r="D1865" s="86">
        <v>0.77679713824897145</v>
      </c>
      <c r="E1865" s="86"/>
      <c r="F1865" s="14"/>
    </row>
    <row r="1866" spans="1:6" x14ac:dyDescent="0.25">
      <c r="A1866" s="86">
        <v>1865</v>
      </c>
      <c r="B1866" s="87">
        <v>44.275350314244861</v>
      </c>
      <c r="C1866" s="14">
        <v>5</v>
      </c>
      <c r="D1866" s="86">
        <v>0.91784634248944041</v>
      </c>
      <c r="E1866" s="86"/>
      <c r="F1866" s="14"/>
    </row>
    <row r="1867" spans="1:6" x14ac:dyDescent="0.25">
      <c r="A1867" s="86">
        <v>1866</v>
      </c>
      <c r="B1867" s="87">
        <v>39.114388522983063</v>
      </c>
      <c r="C1867" s="14">
        <v>1</v>
      </c>
      <c r="D1867" s="86">
        <v>0.18765941166996114</v>
      </c>
      <c r="E1867" s="86"/>
      <c r="F1867" s="14"/>
    </row>
    <row r="1868" spans="1:6" x14ac:dyDescent="0.25">
      <c r="A1868" s="86">
        <v>1867</v>
      </c>
      <c r="B1868" s="87">
        <v>46.982574980909703</v>
      </c>
      <c r="C1868" s="14">
        <v>2</v>
      </c>
      <c r="D1868" s="86">
        <v>0.18055283766889951</v>
      </c>
      <c r="E1868" s="86"/>
      <c r="F1868" s="14"/>
    </row>
    <row r="1869" spans="1:6" x14ac:dyDescent="0.25">
      <c r="A1869" s="86">
        <v>1868</v>
      </c>
      <c r="B1869" s="87">
        <v>44.23350787362142</v>
      </c>
      <c r="C1869" s="14">
        <v>5</v>
      </c>
      <c r="D1869" s="86">
        <v>0.62501105214109176</v>
      </c>
      <c r="E1869" s="86"/>
      <c r="F1869" s="14"/>
    </row>
    <row r="1870" spans="1:6" x14ac:dyDescent="0.25">
      <c r="A1870" s="86">
        <v>1869</v>
      </c>
      <c r="B1870" s="87">
        <v>46.698460204759613</v>
      </c>
      <c r="C1870" s="14">
        <v>2</v>
      </c>
      <c r="D1870" s="86">
        <v>0.32531124279644519</v>
      </c>
      <c r="E1870" s="86"/>
      <c r="F1870" s="14"/>
    </row>
    <row r="1871" spans="1:6" x14ac:dyDescent="0.25">
      <c r="A1871" s="86">
        <v>1870</v>
      </c>
      <c r="B1871" s="87">
        <v>42.813110207469435</v>
      </c>
      <c r="C1871" s="14">
        <v>5</v>
      </c>
      <c r="D1871" s="86">
        <v>0.51423824590385336</v>
      </c>
      <c r="E1871" s="86"/>
      <c r="F1871" s="14"/>
    </row>
    <row r="1872" spans="1:6" x14ac:dyDescent="0.25">
      <c r="A1872" s="86">
        <v>1871</v>
      </c>
      <c r="B1872" s="87">
        <v>30.74965206393972</v>
      </c>
      <c r="C1872" s="14">
        <v>2</v>
      </c>
      <c r="D1872" s="86">
        <v>0.83036362372222106</v>
      </c>
      <c r="E1872" s="86"/>
      <c r="F1872" s="14"/>
    </row>
    <row r="1873" spans="1:6" x14ac:dyDescent="0.25">
      <c r="A1873" s="86">
        <v>1872</v>
      </c>
      <c r="B1873" s="87">
        <v>47.996002189727733</v>
      </c>
      <c r="C1873" s="14">
        <v>1</v>
      </c>
      <c r="D1873" s="86">
        <v>7.1487377491690096E-2</v>
      </c>
      <c r="E1873" s="86"/>
      <c r="F1873" s="14"/>
    </row>
    <row r="1874" spans="1:6" x14ac:dyDescent="0.25">
      <c r="A1874" s="86">
        <v>1873</v>
      </c>
      <c r="B1874" s="87">
        <v>42.234137249004561</v>
      </c>
      <c r="C1874" s="14">
        <v>2</v>
      </c>
      <c r="D1874" s="86">
        <v>0.58490691239225756</v>
      </c>
      <c r="E1874" s="86"/>
      <c r="F1874" s="14"/>
    </row>
    <row r="1875" spans="1:6" x14ac:dyDescent="0.25">
      <c r="A1875" s="86">
        <v>1874</v>
      </c>
      <c r="B1875" s="87">
        <v>50.963899406604469</v>
      </c>
      <c r="C1875" s="14">
        <v>2</v>
      </c>
      <c r="D1875" s="86">
        <v>0.87155628100343419</v>
      </c>
      <c r="E1875" s="86"/>
      <c r="F1875" s="14"/>
    </row>
    <row r="1876" spans="1:6" x14ac:dyDescent="0.25">
      <c r="A1876" s="86">
        <v>1875</v>
      </c>
      <c r="B1876" s="87">
        <v>39.364101662038593</v>
      </c>
      <c r="C1876" s="14">
        <v>2</v>
      </c>
      <c r="D1876" s="86">
        <v>0.61692405991010379</v>
      </c>
      <c r="E1876" s="86"/>
      <c r="F1876" s="14"/>
    </row>
    <row r="1877" spans="1:6" x14ac:dyDescent="0.25">
      <c r="A1877" s="86">
        <v>1876</v>
      </c>
      <c r="B1877" s="87">
        <v>40.983911725896178</v>
      </c>
      <c r="C1877" s="14">
        <v>4</v>
      </c>
      <c r="D1877" s="86">
        <v>0.65137314559994297</v>
      </c>
      <c r="E1877" s="86"/>
      <c r="F1877" s="14"/>
    </row>
    <row r="1878" spans="1:6" x14ac:dyDescent="0.25">
      <c r="A1878" s="86">
        <v>1877</v>
      </c>
      <c r="B1878" s="87">
        <v>41.802735490244231</v>
      </c>
      <c r="C1878" s="14">
        <v>2</v>
      </c>
      <c r="D1878" s="86">
        <v>0.6743853477596724</v>
      </c>
      <c r="E1878" s="86"/>
      <c r="F1878" s="14"/>
    </row>
    <row r="1879" spans="1:6" x14ac:dyDescent="0.25">
      <c r="A1879" s="86">
        <v>1878</v>
      </c>
      <c r="B1879" s="87">
        <v>43.930009491639794</v>
      </c>
      <c r="C1879" s="14">
        <v>4</v>
      </c>
      <c r="D1879" s="86">
        <v>0.67725656215200125</v>
      </c>
      <c r="E1879" s="86"/>
      <c r="F1879" s="14"/>
    </row>
    <row r="1880" spans="1:6" x14ac:dyDescent="0.25">
      <c r="A1880" s="86">
        <v>1879</v>
      </c>
      <c r="B1880" s="87">
        <v>50.004246072028764</v>
      </c>
      <c r="C1880" s="14">
        <v>2</v>
      </c>
      <c r="D1880" s="86">
        <v>0.53462145443069298</v>
      </c>
      <c r="E1880" s="86"/>
      <c r="F1880" s="14"/>
    </row>
    <row r="1881" spans="1:6" x14ac:dyDescent="0.25">
      <c r="A1881" s="86">
        <v>1880</v>
      </c>
      <c r="B1881" s="87">
        <v>36.280187027266948</v>
      </c>
      <c r="C1881" s="14">
        <v>5</v>
      </c>
      <c r="D1881" s="86">
        <v>0.45082796366489464</v>
      </c>
      <c r="E1881" s="86"/>
      <c r="F1881" s="14"/>
    </row>
    <row r="1882" spans="1:6" x14ac:dyDescent="0.25">
      <c r="A1882" s="86">
        <v>1881</v>
      </c>
      <c r="B1882" s="87">
        <v>38.431858224037569</v>
      </c>
      <c r="C1882" s="14">
        <v>2</v>
      </c>
      <c r="D1882" s="86">
        <v>0.40180401739023863</v>
      </c>
      <c r="E1882" s="86"/>
      <c r="F1882" s="14"/>
    </row>
    <row r="1883" spans="1:6" x14ac:dyDescent="0.25">
      <c r="A1883" s="86">
        <v>1882</v>
      </c>
      <c r="B1883" s="87">
        <v>50.6433479989646</v>
      </c>
      <c r="C1883" s="14">
        <v>2</v>
      </c>
      <c r="D1883" s="86">
        <v>0.65491858236974509</v>
      </c>
      <c r="E1883" s="86"/>
      <c r="F1883" s="14"/>
    </row>
    <row r="1884" spans="1:6" x14ac:dyDescent="0.25">
      <c r="A1884" s="86">
        <v>1883</v>
      </c>
      <c r="B1884" s="87">
        <v>44.002496219371096</v>
      </c>
      <c r="C1884" s="14">
        <v>3</v>
      </c>
      <c r="D1884" s="86">
        <v>0.49430460622784356</v>
      </c>
      <c r="E1884" s="86"/>
      <c r="F1884" s="14"/>
    </row>
    <row r="1885" spans="1:6" x14ac:dyDescent="0.25">
      <c r="A1885" s="86">
        <v>1884</v>
      </c>
      <c r="B1885" s="87">
        <v>41.963915004424052</v>
      </c>
      <c r="C1885" s="14">
        <v>2</v>
      </c>
      <c r="D1885" s="86">
        <v>1.4553380554104267E-2</v>
      </c>
      <c r="E1885" s="86"/>
      <c r="F1885" s="14"/>
    </row>
    <row r="1886" spans="1:6" x14ac:dyDescent="0.25">
      <c r="A1886" s="86">
        <v>1885</v>
      </c>
      <c r="B1886" s="87">
        <v>44.25362475955626</v>
      </c>
      <c r="C1886" s="14">
        <v>2</v>
      </c>
      <c r="D1886" s="86">
        <v>0.13705437564167189</v>
      </c>
      <c r="E1886" s="86"/>
      <c r="F1886" s="14"/>
    </row>
    <row r="1887" spans="1:6" x14ac:dyDescent="0.25">
      <c r="A1887" s="86">
        <v>1886</v>
      </c>
      <c r="B1887" s="87">
        <v>42.746108869658201</v>
      </c>
      <c r="C1887" s="14">
        <v>2</v>
      </c>
      <c r="D1887" s="86">
        <v>0.6154725336194079</v>
      </c>
      <c r="E1887" s="86"/>
      <c r="F1887" s="14"/>
    </row>
    <row r="1888" spans="1:6" x14ac:dyDescent="0.25">
      <c r="A1888" s="86">
        <v>1887</v>
      </c>
      <c r="B1888" s="87">
        <v>43.328986970998812</v>
      </c>
      <c r="C1888" s="14">
        <v>4</v>
      </c>
      <c r="D1888" s="86">
        <v>0.36191760670712969</v>
      </c>
      <c r="E1888" s="86"/>
      <c r="F1888" s="14"/>
    </row>
    <row r="1889" spans="1:6" x14ac:dyDescent="0.25">
      <c r="A1889" s="86">
        <v>1888</v>
      </c>
      <c r="B1889" s="87">
        <v>50.736957741144579</v>
      </c>
      <c r="C1889" s="14">
        <v>2</v>
      </c>
      <c r="D1889" s="86">
        <v>0.98147677608582107</v>
      </c>
      <c r="E1889" s="86"/>
      <c r="F1889" s="14"/>
    </row>
    <row r="1890" spans="1:6" x14ac:dyDescent="0.25">
      <c r="A1890" s="86">
        <v>1889</v>
      </c>
      <c r="B1890" s="87">
        <v>45.445472091494594</v>
      </c>
      <c r="C1890" s="14">
        <v>4</v>
      </c>
      <c r="D1890" s="86">
        <v>0.99997962293129783</v>
      </c>
      <c r="E1890" s="86"/>
      <c r="F1890" s="14"/>
    </row>
    <row r="1891" spans="1:6" x14ac:dyDescent="0.25">
      <c r="A1891" s="86">
        <v>1890</v>
      </c>
      <c r="B1891" s="87">
        <v>34.703339219384361</v>
      </c>
      <c r="C1891" s="14">
        <v>1</v>
      </c>
      <c r="D1891" s="86">
        <v>0.18448018703874869</v>
      </c>
      <c r="E1891" s="86"/>
      <c r="F1891" s="14"/>
    </row>
    <row r="1892" spans="1:6" x14ac:dyDescent="0.25">
      <c r="A1892" s="86">
        <v>1891</v>
      </c>
      <c r="B1892" s="87">
        <v>50.889980224717874</v>
      </c>
      <c r="C1892" s="14">
        <v>2</v>
      </c>
      <c r="D1892" s="86">
        <v>0.46882050447984125</v>
      </c>
      <c r="E1892" s="86"/>
      <c r="F1892" s="14"/>
    </row>
    <row r="1893" spans="1:6" x14ac:dyDescent="0.25">
      <c r="A1893" s="86">
        <v>1892</v>
      </c>
      <c r="B1893" s="87">
        <v>42.246904280880699</v>
      </c>
      <c r="C1893" s="14">
        <v>4</v>
      </c>
      <c r="D1893" s="86">
        <v>0.51593579950356039</v>
      </c>
      <c r="E1893" s="86"/>
      <c r="F1893" s="14"/>
    </row>
    <row r="1894" spans="1:6" x14ac:dyDescent="0.25">
      <c r="A1894" s="86">
        <v>1893</v>
      </c>
      <c r="B1894" s="87">
        <v>43.953372136791586</v>
      </c>
      <c r="C1894" s="14">
        <v>1</v>
      </c>
      <c r="D1894" s="86">
        <v>0.38559320007784559</v>
      </c>
      <c r="E1894" s="86"/>
      <c r="F1894" s="14"/>
    </row>
    <row r="1895" spans="1:6" x14ac:dyDescent="0.25">
      <c r="A1895" s="86">
        <v>1894</v>
      </c>
      <c r="B1895" s="87">
        <v>40.13427314418368</v>
      </c>
      <c r="C1895" s="14">
        <v>2</v>
      </c>
      <c r="D1895" s="86">
        <v>2.3391890683270522E-2</v>
      </c>
      <c r="E1895" s="86"/>
      <c r="F1895" s="14"/>
    </row>
    <row r="1896" spans="1:6" x14ac:dyDescent="0.25">
      <c r="A1896" s="86">
        <v>1895</v>
      </c>
      <c r="B1896" s="87">
        <v>40.734886392208864</v>
      </c>
      <c r="C1896" s="14">
        <v>1</v>
      </c>
      <c r="D1896" s="86">
        <v>0.55023314493083608</v>
      </c>
      <c r="E1896" s="86"/>
      <c r="F1896" s="14"/>
    </row>
    <row r="1897" spans="1:6" x14ac:dyDescent="0.25">
      <c r="A1897" s="86">
        <v>1896</v>
      </c>
      <c r="B1897" s="87">
        <v>45.373303686908912</v>
      </c>
      <c r="C1897" s="14">
        <v>4</v>
      </c>
      <c r="D1897" s="86">
        <v>0.87897934593983229</v>
      </c>
      <c r="E1897" s="86"/>
      <c r="F1897" s="14"/>
    </row>
    <row r="1898" spans="1:6" x14ac:dyDescent="0.25">
      <c r="A1898" s="86">
        <v>1897</v>
      </c>
      <c r="B1898" s="87">
        <v>46.024513262062101</v>
      </c>
      <c r="C1898" s="14">
        <v>5</v>
      </c>
      <c r="D1898" s="86">
        <v>0.9272464518888891</v>
      </c>
      <c r="E1898" s="86"/>
      <c r="F1898" s="14"/>
    </row>
    <row r="1899" spans="1:6" x14ac:dyDescent="0.25">
      <c r="A1899" s="86">
        <v>1898</v>
      </c>
      <c r="B1899" s="87">
        <v>34.543040778196882</v>
      </c>
      <c r="C1899" s="14">
        <v>4</v>
      </c>
      <c r="D1899" s="86">
        <v>0.89545148344787195</v>
      </c>
      <c r="E1899" s="86"/>
      <c r="F1899" s="14"/>
    </row>
    <row r="1900" spans="1:6" x14ac:dyDescent="0.25">
      <c r="A1900" s="86">
        <v>1899</v>
      </c>
      <c r="B1900" s="87">
        <v>47.700973477156367</v>
      </c>
      <c r="C1900" s="14">
        <v>2</v>
      </c>
      <c r="D1900" s="86">
        <v>6.6056955597007416E-2</v>
      </c>
      <c r="E1900" s="86"/>
      <c r="F1900" s="14"/>
    </row>
    <row r="1901" spans="1:6" x14ac:dyDescent="0.25">
      <c r="A1901" s="86">
        <v>1900</v>
      </c>
      <c r="B1901" s="87">
        <v>42.975710807120777</v>
      </c>
      <c r="C1901" s="14">
        <v>5</v>
      </c>
      <c r="D1901" s="86">
        <v>0.23429801406952255</v>
      </c>
      <c r="E1901" s="86"/>
      <c r="F1901" s="14"/>
    </row>
    <row r="1902" spans="1:6" x14ac:dyDescent="0.25">
      <c r="A1902" s="86">
        <v>1901</v>
      </c>
      <c r="B1902" s="87">
        <v>40.059569523116807</v>
      </c>
      <c r="C1902" s="14">
        <v>2</v>
      </c>
      <c r="D1902" s="86">
        <v>0.91070835222306634</v>
      </c>
      <c r="E1902" s="86"/>
      <c r="F1902" s="14"/>
    </row>
    <row r="1903" spans="1:6" x14ac:dyDescent="0.25">
      <c r="A1903" s="86">
        <v>1902</v>
      </c>
      <c r="B1903" s="87">
        <v>43.432947899753344</v>
      </c>
      <c r="C1903" s="14">
        <v>5</v>
      </c>
      <c r="D1903" s="86">
        <v>0.71715258656822689</v>
      </c>
      <c r="E1903" s="86"/>
      <c r="F1903" s="14"/>
    </row>
    <row r="1904" spans="1:6" x14ac:dyDescent="0.25">
      <c r="A1904" s="86">
        <v>1903</v>
      </c>
      <c r="B1904" s="87">
        <v>43.36963001548429</v>
      </c>
      <c r="C1904" s="14">
        <v>2</v>
      </c>
      <c r="D1904" s="86">
        <v>0.28225094378320914</v>
      </c>
      <c r="E1904" s="86"/>
      <c r="F1904" s="14"/>
    </row>
    <row r="1905" spans="1:6" x14ac:dyDescent="0.25">
      <c r="A1905" s="86">
        <v>1904</v>
      </c>
      <c r="B1905" s="87">
        <v>36.321478086727438</v>
      </c>
      <c r="C1905" s="14">
        <v>2</v>
      </c>
      <c r="D1905" s="86">
        <v>0.29998146275606596</v>
      </c>
      <c r="E1905" s="86"/>
      <c r="F1905" s="14"/>
    </row>
    <row r="1906" spans="1:6" x14ac:dyDescent="0.25">
      <c r="A1906" s="86">
        <v>1905</v>
      </c>
      <c r="B1906" s="87">
        <v>46.462673703324981</v>
      </c>
      <c r="C1906" s="14">
        <v>4</v>
      </c>
      <c r="D1906" s="86">
        <v>0.73571382671734331</v>
      </c>
      <c r="E1906" s="86"/>
      <c r="F1906" s="14"/>
    </row>
    <row r="1907" spans="1:6" x14ac:dyDescent="0.25">
      <c r="A1907" s="86">
        <v>1906</v>
      </c>
      <c r="B1907" s="87">
        <v>39.642543464986375</v>
      </c>
      <c r="C1907" s="14">
        <v>5</v>
      </c>
      <c r="D1907" s="86">
        <v>0.81429766611481313</v>
      </c>
      <c r="E1907" s="86"/>
      <c r="F1907" s="14"/>
    </row>
    <row r="1908" spans="1:6" x14ac:dyDescent="0.25">
      <c r="A1908" s="86">
        <v>1907</v>
      </c>
      <c r="B1908" s="87">
        <v>38.530822616274236</v>
      </c>
      <c r="C1908" s="14">
        <v>2</v>
      </c>
      <c r="D1908" s="86">
        <v>0.36944266834319339</v>
      </c>
      <c r="E1908" s="86"/>
      <c r="F1908" s="14"/>
    </row>
    <row r="1909" spans="1:6" x14ac:dyDescent="0.25">
      <c r="A1909" s="86">
        <v>1908</v>
      </c>
      <c r="B1909" s="87">
        <v>51.19532033347059</v>
      </c>
      <c r="C1909" s="14">
        <v>1</v>
      </c>
      <c r="D1909" s="86">
        <v>0.18971825096501405</v>
      </c>
      <c r="E1909" s="86"/>
      <c r="F1909" s="14"/>
    </row>
    <row r="1910" spans="1:6" x14ac:dyDescent="0.25">
      <c r="A1910" s="86">
        <v>1909</v>
      </c>
      <c r="B1910" s="87">
        <v>52.115092325373553</v>
      </c>
      <c r="C1910" s="14">
        <v>2</v>
      </c>
      <c r="D1910" s="86">
        <v>0.60969908152933538</v>
      </c>
      <c r="E1910" s="86"/>
      <c r="F1910" s="14"/>
    </row>
    <row r="1911" spans="1:6" x14ac:dyDescent="0.25">
      <c r="A1911" s="86">
        <v>1910</v>
      </c>
      <c r="B1911" s="87">
        <v>42.502131231565727</v>
      </c>
      <c r="C1911" s="14">
        <v>5</v>
      </c>
      <c r="D1911" s="86">
        <v>0.66829378897740954</v>
      </c>
      <c r="E1911" s="86"/>
      <c r="F1911" s="14"/>
    </row>
    <row r="1912" spans="1:6" x14ac:dyDescent="0.25">
      <c r="A1912" s="86">
        <v>1911</v>
      </c>
      <c r="B1912" s="87">
        <v>42.3238020579156</v>
      </c>
      <c r="C1912" s="14">
        <v>3</v>
      </c>
      <c r="D1912" s="86">
        <v>0.43928764757602445</v>
      </c>
      <c r="E1912" s="86"/>
      <c r="F1912" s="14"/>
    </row>
    <row r="1913" spans="1:6" x14ac:dyDescent="0.25">
      <c r="A1913" s="86">
        <v>1912</v>
      </c>
      <c r="B1913" s="87">
        <v>40.045460986555554</v>
      </c>
      <c r="C1913" s="14">
        <v>4</v>
      </c>
      <c r="D1913" s="86">
        <v>4.2780239591090341E-2</v>
      </c>
      <c r="E1913" s="86"/>
      <c r="F1913" s="14"/>
    </row>
    <row r="1914" spans="1:6" x14ac:dyDescent="0.25">
      <c r="A1914" s="86">
        <v>1913</v>
      </c>
      <c r="B1914" s="87">
        <v>40.769589299423387</v>
      </c>
      <c r="C1914" s="14">
        <v>4</v>
      </c>
      <c r="D1914" s="86">
        <v>3.9946505504964036E-2</v>
      </c>
      <c r="E1914" s="86"/>
      <c r="F1914" s="14"/>
    </row>
    <row r="1915" spans="1:6" x14ac:dyDescent="0.25">
      <c r="A1915" s="86">
        <v>1914</v>
      </c>
      <c r="B1915" s="87">
        <v>40.606988699772046</v>
      </c>
      <c r="C1915" s="14">
        <v>1</v>
      </c>
      <c r="D1915" s="86">
        <v>0.45743610384575939</v>
      </c>
      <c r="E1915" s="86"/>
      <c r="F1915" s="14"/>
    </row>
    <row r="1916" spans="1:6" x14ac:dyDescent="0.25">
      <c r="A1916" s="86">
        <v>1915</v>
      </c>
      <c r="B1916" s="87">
        <v>37.091331245726906</v>
      </c>
      <c r="C1916" s="14">
        <v>4</v>
      </c>
      <c r="D1916" s="86">
        <v>0.91713291608897196</v>
      </c>
      <c r="E1916" s="86"/>
      <c r="F1916" s="14"/>
    </row>
    <row r="1917" spans="1:6" x14ac:dyDescent="0.25">
      <c r="A1917" s="86">
        <v>1916</v>
      </c>
      <c r="B1917" s="87">
        <v>41.035667658768944</v>
      </c>
      <c r="C1917" s="14">
        <v>2</v>
      </c>
      <c r="D1917" s="86">
        <v>5.1274160457646212E-2</v>
      </c>
      <c r="E1917" s="86"/>
      <c r="F1917" s="14"/>
    </row>
    <row r="1918" spans="1:6" x14ac:dyDescent="0.25">
      <c r="A1918" s="86">
        <v>1917</v>
      </c>
      <c r="B1918" s="87">
        <v>42.195023292486439</v>
      </c>
      <c r="C1918" s="14">
        <v>1</v>
      </c>
      <c r="D1918" s="86">
        <v>0.54488503191276616</v>
      </c>
      <c r="E1918" s="86"/>
      <c r="F1918" s="14"/>
    </row>
    <row r="1919" spans="1:6" x14ac:dyDescent="0.25">
      <c r="A1919" s="86">
        <v>1918</v>
      </c>
      <c r="B1919" s="87">
        <v>40.330877476997557</v>
      </c>
      <c r="C1919" s="14">
        <v>4</v>
      </c>
      <c r="D1919" s="86">
        <v>9.8074560500308272E-2</v>
      </c>
      <c r="E1919" s="86"/>
      <c r="F1919" s="14"/>
    </row>
    <row r="1920" spans="1:6" x14ac:dyDescent="0.25">
      <c r="A1920" s="86">
        <v>1919</v>
      </c>
      <c r="B1920" s="87">
        <v>42.762576408102177</v>
      </c>
      <c r="C1920" s="14">
        <v>2</v>
      </c>
      <c r="D1920" s="86">
        <v>0.73773254230318386</v>
      </c>
      <c r="E1920" s="86"/>
      <c r="F1920" s="14"/>
    </row>
    <row r="1921" spans="1:6" x14ac:dyDescent="0.25">
      <c r="A1921" s="86">
        <v>1920</v>
      </c>
      <c r="B1921" s="87">
        <v>45.411042032690602</v>
      </c>
      <c r="C1921" s="14">
        <v>2</v>
      </c>
      <c r="D1921" s="86">
        <v>0.10987853313462215</v>
      </c>
      <c r="E1921" s="86"/>
      <c r="F1921" s="14"/>
    </row>
    <row r="1922" spans="1:6" x14ac:dyDescent="0.25">
      <c r="A1922" s="86">
        <v>1921</v>
      </c>
      <c r="B1922" s="87">
        <v>37.442646311654244</v>
      </c>
      <c r="C1922" s="14">
        <v>1</v>
      </c>
      <c r="D1922" s="86">
        <v>0.60072538238303086</v>
      </c>
      <c r="E1922" s="86"/>
      <c r="F1922" s="14"/>
    </row>
    <row r="1923" spans="1:6" x14ac:dyDescent="0.25">
      <c r="A1923" s="86">
        <v>1922</v>
      </c>
      <c r="B1923" s="87">
        <v>36.960136634996161</v>
      </c>
      <c r="C1923" s="14">
        <v>2</v>
      </c>
      <c r="D1923" s="86">
        <v>0.57303313015012847</v>
      </c>
      <c r="E1923" s="86"/>
      <c r="F1923" s="14"/>
    </row>
    <row r="1924" spans="1:6" x14ac:dyDescent="0.25">
      <c r="A1924" s="86">
        <v>1923</v>
      </c>
      <c r="B1924" s="87">
        <v>38.48156210948946</v>
      </c>
      <c r="C1924" s="14">
        <v>4</v>
      </c>
      <c r="D1924" s="86">
        <v>0.29518139418236822</v>
      </c>
      <c r="E1924" s="86"/>
      <c r="F1924" s="14"/>
    </row>
    <row r="1925" spans="1:6" x14ac:dyDescent="0.25">
      <c r="A1925" s="86">
        <v>1924</v>
      </c>
      <c r="B1925" s="87">
        <v>42.886199475440662</v>
      </c>
      <c r="C1925" s="14">
        <v>5</v>
      </c>
      <c r="D1925" s="86">
        <v>0.21123337491564109</v>
      </c>
      <c r="E1925" s="86"/>
      <c r="F1925" s="14"/>
    </row>
    <row r="1926" spans="1:6" x14ac:dyDescent="0.25">
      <c r="A1926" s="86">
        <v>1925</v>
      </c>
      <c r="B1926" s="87">
        <v>48.7022703003895</v>
      </c>
      <c r="C1926" s="14">
        <v>2</v>
      </c>
      <c r="D1926" s="86">
        <v>0.22469674128048978</v>
      </c>
      <c r="E1926" s="86"/>
      <c r="F1926" s="14"/>
    </row>
    <row r="1927" spans="1:6" x14ac:dyDescent="0.25">
      <c r="A1927" s="86">
        <v>1926</v>
      </c>
      <c r="B1927" s="87">
        <v>46.302068307675654</v>
      </c>
      <c r="C1927" s="14">
        <v>1</v>
      </c>
      <c r="D1927" s="86">
        <v>0.10491164677590603</v>
      </c>
      <c r="E1927" s="86"/>
      <c r="F1927" s="14"/>
    </row>
    <row r="1928" spans="1:6" x14ac:dyDescent="0.25">
      <c r="A1928" s="86">
        <v>1927</v>
      </c>
      <c r="B1928" s="87">
        <v>46.642378487711539</v>
      </c>
      <c r="C1928" s="14">
        <v>5</v>
      </c>
      <c r="D1928" s="86">
        <v>0.67989475411850231</v>
      </c>
      <c r="E1928" s="86"/>
      <c r="F1928" s="14"/>
    </row>
    <row r="1929" spans="1:6" x14ac:dyDescent="0.25">
      <c r="A1929" s="86">
        <v>1928</v>
      </c>
      <c r="B1929" s="87">
        <v>38.813982422987465</v>
      </c>
      <c r="C1929" s="14">
        <v>1</v>
      </c>
      <c r="D1929" s="86">
        <v>0.99027877267055398</v>
      </c>
      <c r="E1929" s="86"/>
      <c r="F1929" s="14"/>
    </row>
    <row r="1930" spans="1:6" x14ac:dyDescent="0.25">
      <c r="A1930" s="86">
        <v>1929</v>
      </c>
      <c r="B1930" s="87">
        <v>45.008619048865512</v>
      </c>
      <c r="C1930" s="14">
        <v>4</v>
      </c>
      <c r="D1930" s="86">
        <v>0.93922123336283936</v>
      </c>
      <c r="E1930" s="86"/>
      <c r="F1930" s="14"/>
    </row>
    <row r="1931" spans="1:6" x14ac:dyDescent="0.25">
      <c r="A1931" s="86">
        <v>1930</v>
      </c>
      <c r="B1931" s="87">
        <v>46.487025423964951</v>
      </c>
      <c r="C1931" s="14">
        <v>4</v>
      </c>
      <c r="D1931" s="86">
        <v>0.39241322649320987</v>
      </c>
      <c r="E1931" s="86"/>
      <c r="F1931" s="14"/>
    </row>
    <row r="1932" spans="1:6" x14ac:dyDescent="0.25">
      <c r="A1932" s="86">
        <v>1931</v>
      </c>
      <c r="B1932" s="87">
        <v>40.906917315049213</v>
      </c>
      <c r="C1932" s="14">
        <v>4</v>
      </c>
      <c r="D1932" s="86">
        <v>0.19772579721569117</v>
      </c>
      <c r="E1932" s="86"/>
      <c r="F1932" s="14"/>
    </row>
    <row r="1933" spans="1:6" x14ac:dyDescent="0.25">
      <c r="A1933" s="86">
        <v>1932</v>
      </c>
      <c r="B1933" s="87">
        <v>44.289970441575861</v>
      </c>
      <c r="C1933" s="14">
        <v>4</v>
      </c>
      <c r="D1933" s="86">
        <v>0.23011117566293704</v>
      </c>
      <c r="E1933" s="86"/>
      <c r="F1933" s="14"/>
    </row>
    <row r="1934" spans="1:6" x14ac:dyDescent="0.25">
      <c r="A1934" s="86">
        <v>1933</v>
      </c>
      <c r="B1934" s="87">
        <v>40.654492744914023</v>
      </c>
      <c r="C1934" s="14">
        <v>4</v>
      </c>
      <c r="D1934" s="86">
        <v>0.80605391561199768</v>
      </c>
      <c r="E1934" s="86"/>
      <c r="F1934" s="14"/>
    </row>
    <row r="1935" spans="1:6" x14ac:dyDescent="0.25">
      <c r="A1935" s="86">
        <v>1934</v>
      </c>
      <c r="B1935" s="87">
        <v>43.70941155172477</v>
      </c>
      <c r="C1935" s="14">
        <v>1</v>
      </c>
      <c r="D1935" s="86">
        <v>3.3462387719416009E-2</v>
      </c>
      <c r="E1935" s="86"/>
      <c r="F1935" s="14"/>
    </row>
    <row r="1936" spans="1:6" x14ac:dyDescent="0.25">
      <c r="A1936" s="86">
        <v>1935</v>
      </c>
      <c r="B1936" s="87">
        <v>41.95727569310111</v>
      </c>
      <c r="C1936" s="14">
        <v>5</v>
      </c>
      <c r="D1936" s="86">
        <v>0.74909280167715975</v>
      </c>
      <c r="E1936" s="86"/>
      <c r="F1936" s="14"/>
    </row>
    <row r="1937" spans="1:6" x14ac:dyDescent="0.25">
      <c r="A1937" s="86">
        <v>1936</v>
      </c>
      <c r="B1937" s="87">
        <v>41.656960542575689</v>
      </c>
      <c r="C1937" s="14">
        <v>2</v>
      </c>
      <c r="D1937" s="86">
        <v>0.94566321986508561</v>
      </c>
      <c r="E1937" s="86"/>
      <c r="F1937" s="14"/>
    </row>
    <row r="1938" spans="1:6" x14ac:dyDescent="0.25">
      <c r="A1938" s="86">
        <v>1937</v>
      </c>
      <c r="B1938" s="87">
        <v>42.500977310162853</v>
      </c>
      <c r="C1938" s="14">
        <v>4</v>
      </c>
      <c r="D1938" s="86">
        <v>0.31403296581081785</v>
      </c>
      <c r="E1938" s="86"/>
      <c r="F1938" s="14"/>
    </row>
    <row r="1939" spans="1:6" x14ac:dyDescent="0.25">
      <c r="A1939" s="86">
        <v>1938</v>
      </c>
      <c r="B1939" s="87">
        <v>46.325897068862105</v>
      </c>
      <c r="C1939" s="14">
        <v>2</v>
      </c>
      <c r="D1939" s="86">
        <v>0.5996515588577136</v>
      </c>
      <c r="E1939" s="86"/>
      <c r="F1939" s="14"/>
    </row>
    <row r="1940" spans="1:6" x14ac:dyDescent="0.25">
      <c r="A1940" s="86">
        <v>1939</v>
      </c>
      <c r="B1940" s="87">
        <v>43.111123199530994</v>
      </c>
      <c r="C1940" s="14">
        <v>4</v>
      </c>
      <c r="D1940" s="86">
        <v>0.68999963799436947</v>
      </c>
      <c r="E1940" s="86"/>
      <c r="F1940" s="14"/>
    </row>
    <row r="1941" spans="1:6" x14ac:dyDescent="0.25">
      <c r="A1941" s="86">
        <v>1940</v>
      </c>
      <c r="B1941" s="87">
        <v>44.58017883222783</v>
      </c>
      <c r="C1941" s="14">
        <v>1</v>
      </c>
      <c r="D1941" s="86">
        <v>9.9160036007637564E-2</v>
      </c>
      <c r="E1941" s="86"/>
      <c r="F1941" s="14"/>
    </row>
    <row r="1942" spans="1:6" x14ac:dyDescent="0.25">
      <c r="A1942" s="86">
        <v>1941</v>
      </c>
      <c r="B1942" s="87">
        <v>46.784498403547332</v>
      </c>
      <c r="C1942" s="14">
        <v>5</v>
      </c>
      <c r="D1942" s="86">
        <v>0.96906139487263498</v>
      </c>
      <c r="E1942" s="86"/>
      <c r="F1942" s="14"/>
    </row>
    <row r="1943" spans="1:6" x14ac:dyDescent="0.25">
      <c r="A1943" s="86">
        <v>1942</v>
      </c>
      <c r="B1943" s="87">
        <v>39.37655037076911</v>
      </c>
      <c r="C1943" s="14">
        <v>1</v>
      </c>
      <c r="D1943" s="86">
        <v>0.44951315932221469</v>
      </c>
      <c r="E1943" s="86"/>
      <c r="F1943" s="14"/>
    </row>
    <row r="1944" spans="1:6" x14ac:dyDescent="0.25">
      <c r="A1944" s="86">
        <v>1943</v>
      </c>
      <c r="B1944" s="87">
        <v>41.818083213336649</v>
      </c>
      <c r="C1944" s="14">
        <v>4</v>
      </c>
      <c r="D1944" s="86">
        <v>0.10357723401398911</v>
      </c>
      <c r="E1944" s="86"/>
      <c r="F1944" s="14"/>
    </row>
    <row r="1945" spans="1:6" x14ac:dyDescent="0.25">
      <c r="A1945" s="86">
        <v>1944</v>
      </c>
      <c r="B1945" s="87">
        <v>48.809863523609238</v>
      </c>
      <c r="C1945" s="14">
        <v>4</v>
      </c>
      <c r="D1945" s="86">
        <v>0.9699845419060068</v>
      </c>
      <c r="E1945" s="86"/>
      <c r="F1945" s="14"/>
    </row>
    <row r="1946" spans="1:6" x14ac:dyDescent="0.25">
      <c r="A1946" s="86">
        <v>1945</v>
      </c>
      <c r="B1946" s="87">
        <v>36.576818724250188</v>
      </c>
      <c r="C1946" s="14">
        <v>4</v>
      </c>
      <c r="D1946" s="86">
        <v>0.69951362104402526</v>
      </c>
      <c r="E1946" s="86"/>
      <c r="F1946" s="14"/>
    </row>
    <row r="1947" spans="1:6" x14ac:dyDescent="0.25">
      <c r="A1947" s="86">
        <v>1946</v>
      </c>
      <c r="B1947" s="87">
        <v>39.439919414115138</v>
      </c>
      <c r="C1947" s="14">
        <v>4</v>
      </c>
      <c r="D1947" s="86">
        <v>0.5708969614114775</v>
      </c>
      <c r="E1947" s="86"/>
      <c r="F1947" s="14"/>
    </row>
    <row r="1948" spans="1:6" x14ac:dyDescent="0.25">
      <c r="A1948" s="86">
        <v>1947</v>
      </c>
      <c r="B1948" s="87">
        <v>46.884065336023923</v>
      </c>
      <c r="C1948" s="14">
        <v>1</v>
      </c>
      <c r="D1948" s="86">
        <v>0.92995931565453738</v>
      </c>
      <c r="E1948" s="86"/>
      <c r="F1948" s="14"/>
    </row>
    <row r="1949" spans="1:6" x14ac:dyDescent="0.25">
      <c r="A1949" s="86">
        <v>1948</v>
      </c>
      <c r="B1949" s="87">
        <v>44.928844994836254</v>
      </c>
      <c r="C1949" s="14">
        <v>4</v>
      </c>
      <c r="D1949" s="86">
        <v>0.87274825813500501</v>
      </c>
      <c r="E1949" s="86"/>
      <c r="F1949" s="14"/>
    </row>
    <row r="1950" spans="1:6" x14ac:dyDescent="0.25">
      <c r="A1950" s="86">
        <v>1949</v>
      </c>
      <c r="B1950" s="87">
        <v>50.018547876214143</v>
      </c>
      <c r="C1950" s="14">
        <v>2</v>
      </c>
      <c r="D1950" s="86">
        <v>0.24505547168185282</v>
      </c>
      <c r="E1950" s="86"/>
      <c r="F1950" s="14"/>
    </row>
    <row r="1951" spans="1:6" x14ac:dyDescent="0.25">
      <c r="A1951" s="86">
        <v>1950</v>
      </c>
      <c r="B1951" s="87">
        <v>48.657068413711386</v>
      </c>
      <c r="C1951" s="14">
        <v>4</v>
      </c>
      <c r="D1951" s="86">
        <v>0.53350015921229854</v>
      </c>
      <c r="E1951" s="86"/>
      <c r="F1951" s="14"/>
    </row>
    <row r="1952" spans="1:6" x14ac:dyDescent="0.25">
      <c r="A1952" s="86">
        <v>1951</v>
      </c>
      <c r="B1952" s="87">
        <v>35.698917594680097</v>
      </c>
      <c r="C1952" s="14">
        <v>4</v>
      </c>
      <c r="D1952" s="86">
        <v>5.333708686659977E-2</v>
      </c>
      <c r="E1952" s="86"/>
      <c r="F1952" s="14"/>
    </row>
    <row r="1953" spans="1:6" x14ac:dyDescent="0.25">
      <c r="A1953" s="86">
        <v>1952</v>
      </c>
      <c r="B1953" s="87">
        <v>47.171920409135055</v>
      </c>
      <c r="C1953" s="14">
        <v>5</v>
      </c>
      <c r="D1953" s="86">
        <v>0.96279839723137961</v>
      </c>
      <c r="E1953" s="86"/>
      <c r="F1953" s="14"/>
    </row>
    <row r="1954" spans="1:6" x14ac:dyDescent="0.25">
      <c r="A1954" s="86">
        <v>1953</v>
      </c>
      <c r="B1954" s="87">
        <v>44.959790552064078</v>
      </c>
      <c r="C1954" s="14">
        <v>4</v>
      </c>
      <c r="D1954" s="86">
        <v>0.40612292924256277</v>
      </c>
      <c r="E1954" s="86"/>
      <c r="F1954" s="14"/>
    </row>
    <row r="1955" spans="1:6" x14ac:dyDescent="0.25">
      <c r="A1955" s="86">
        <v>1954</v>
      </c>
      <c r="B1955" s="87">
        <v>42.194636757238186</v>
      </c>
      <c r="C1955" s="14">
        <v>2</v>
      </c>
      <c r="D1955" s="86">
        <v>0.32549429033103305</v>
      </c>
      <c r="E1955" s="86"/>
      <c r="F1955" s="14"/>
    </row>
    <row r="1956" spans="1:6" x14ac:dyDescent="0.25">
      <c r="A1956" s="86">
        <v>1955</v>
      </c>
      <c r="B1956" s="87">
        <v>39.062445006828057</v>
      </c>
      <c r="C1956" s="14">
        <v>5</v>
      </c>
      <c r="D1956" s="86">
        <v>0.23781223323464706</v>
      </c>
      <c r="E1956" s="86"/>
      <c r="F1956" s="14"/>
    </row>
    <row r="1957" spans="1:6" x14ac:dyDescent="0.25">
      <c r="A1957" s="86">
        <v>1956</v>
      </c>
      <c r="B1957" s="87">
        <v>42.652607129974058</v>
      </c>
      <c r="C1957" s="14">
        <v>2</v>
      </c>
      <c r="D1957" s="86">
        <v>0.75593819175583687</v>
      </c>
      <c r="E1957" s="86"/>
      <c r="F1957" s="14"/>
    </row>
    <row r="1958" spans="1:6" x14ac:dyDescent="0.25">
      <c r="A1958" s="86">
        <v>1957</v>
      </c>
      <c r="B1958" s="87">
        <v>42.479445023098378</v>
      </c>
      <c r="C1958" s="14">
        <v>5</v>
      </c>
      <c r="D1958" s="86">
        <v>0.4393976833784955</v>
      </c>
      <c r="E1958" s="86"/>
      <c r="F1958" s="14"/>
    </row>
    <row r="1959" spans="1:6" x14ac:dyDescent="0.25">
      <c r="A1959" s="86">
        <v>1958</v>
      </c>
      <c r="B1959" s="87">
        <v>36.663152508815983</v>
      </c>
      <c r="C1959" s="14">
        <v>4</v>
      </c>
      <c r="D1959" s="86">
        <v>0.2956730712936928</v>
      </c>
      <c r="E1959" s="86"/>
      <c r="F1959" s="14"/>
    </row>
    <row r="1960" spans="1:6" x14ac:dyDescent="0.25">
      <c r="A1960" s="86">
        <v>1959</v>
      </c>
      <c r="B1960" s="87">
        <v>39.542180724645732</v>
      </c>
      <c r="C1960" s="14">
        <v>4</v>
      </c>
      <c r="D1960" s="86">
        <v>0.71597404620906724</v>
      </c>
      <c r="E1960" s="86"/>
      <c r="F1960" s="14"/>
    </row>
    <row r="1961" spans="1:6" x14ac:dyDescent="0.25">
      <c r="A1961" s="86">
        <v>1960</v>
      </c>
      <c r="B1961" s="87">
        <v>42.363535607699305</v>
      </c>
      <c r="C1961" s="14">
        <v>4</v>
      </c>
      <c r="D1961" s="86">
        <v>0.22323031244484015</v>
      </c>
      <c r="E1961" s="86"/>
      <c r="F1961" s="14"/>
    </row>
    <row r="1962" spans="1:6" x14ac:dyDescent="0.25">
      <c r="A1962" s="86">
        <v>1961</v>
      </c>
      <c r="B1962" s="87">
        <v>48.953495474386727</v>
      </c>
      <c r="C1962" s="14">
        <v>4</v>
      </c>
      <c r="D1962" s="86">
        <v>0.70983951993551619</v>
      </c>
      <c r="E1962" s="86"/>
      <c r="F1962" s="14"/>
    </row>
    <row r="1963" spans="1:6" x14ac:dyDescent="0.25">
      <c r="A1963" s="86">
        <v>1962</v>
      </c>
      <c r="B1963" s="87">
        <v>36.998039826692548</v>
      </c>
      <c r="C1963" s="14">
        <v>2</v>
      </c>
      <c r="D1963" s="86">
        <v>0.98945105338790884</v>
      </c>
      <c r="E1963" s="86"/>
      <c r="F1963" s="14"/>
    </row>
    <row r="1964" spans="1:6" x14ac:dyDescent="0.25">
      <c r="A1964" s="86">
        <v>1963</v>
      </c>
      <c r="B1964" s="87">
        <v>40.205651425247197</v>
      </c>
      <c r="C1964" s="14">
        <v>4</v>
      </c>
      <c r="D1964" s="86">
        <v>0.69710655646991249</v>
      </c>
      <c r="E1964" s="86"/>
      <c r="F1964" s="14"/>
    </row>
    <row r="1965" spans="1:6" x14ac:dyDescent="0.25">
      <c r="A1965" s="86">
        <v>1964</v>
      </c>
      <c r="B1965" s="87">
        <v>39.745350472338032</v>
      </c>
      <c r="C1965" s="14">
        <v>4</v>
      </c>
      <c r="D1965" s="86">
        <v>0.40121447918318165</v>
      </c>
      <c r="E1965" s="86"/>
      <c r="F1965" s="14"/>
    </row>
    <row r="1966" spans="1:6" x14ac:dyDescent="0.25">
      <c r="A1966" s="86">
        <v>1965</v>
      </c>
      <c r="B1966" s="87">
        <v>36.515234564256389</v>
      </c>
      <c r="C1966" s="14">
        <v>4</v>
      </c>
      <c r="D1966" s="86">
        <v>0.21614522393620805</v>
      </c>
      <c r="E1966" s="86"/>
      <c r="F1966" s="14"/>
    </row>
    <row r="1967" spans="1:6" x14ac:dyDescent="0.25">
      <c r="A1967" s="86">
        <v>1966</v>
      </c>
      <c r="B1967" s="87">
        <v>38.624716575548518</v>
      </c>
      <c r="C1967" s="14">
        <v>1</v>
      </c>
      <c r="D1967" s="86">
        <v>0.47852883902786869</v>
      </c>
      <c r="E1967" s="86"/>
      <c r="F1967" s="14"/>
    </row>
    <row r="1968" spans="1:6" x14ac:dyDescent="0.25">
      <c r="A1968" s="86">
        <v>1967</v>
      </c>
      <c r="B1968" s="87">
        <v>27.847090672701597</v>
      </c>
      <c r="C1968" s="14">
        <v>2</v>
      </c>
      <c r="D1968" s="86">
        <v>0.62529274441573723</v>
      </c>
      <c r="E1968" s="86"/>
      <c r="F1968" s="14"/>
    </row>
    <row r="1969" spans="1:6" x14ac:dyDescent="0.25">
      <c r="A1969" s="86">
        <v>1968</v>
      </c>
      <c r="B1969" s="87">
        <v>31.375839166110381</v>
      </c>
      <c r="C1969" s="14">
        <v>5</v>
      </c>
      <c r="D1969" s="86">
        <v>0.53534372348560988</v>
      </c>
      <c r="E1969" s="86"/>
      <c r="F1969" s="14"/>
    </row>
    <row r="1970" spans="1:6" x14ac:dyDescent="0.25">
      <c r="A1970" s="86">
        <v>1969</v>
      </c>
      <c r="B1970" s="87">
        <v>33.259084370336495</v>
      </c>
      <c r="C1970" s="14">
        <v>4</v>
      </c>
      <c r="D1970" s="86">
        <v>0.30547854979973077</v>
      </c>
      <c r="E1970" s="86"/>
      <c r="F1970" s="14"/>
    </row>
    <row r="1971" spans="1:6" x14ac:dyDescent="0.25">
      <c r="A1971" s="86">
        <v>1970</v>
      </c>
      <c r="B1971" s="87">
        <v>39.842598193325102</v>
      </c>
      <c r="C1971" s="14">
        <v>2</v>
      </c>
      <c r="D1971" s="86">
        <v>0.72580322594442037</v>
      </c>
      <c r="E1971" s="86"/>
      <c r="F1971" s="14"/>
    </row>
    <row r="1972" spans="1:6" x14ac:dyDescent="0.25">
      <c r="A1972" s="86">
        <v>1971</v>
      </c>
      <c r="B1972" s="87">
        <v>51.701977094460744</v>
      </c>
      <c r="C1972" s="14">
        <v>2</v>
      </c>
      <c r="D1972" s="86">
        <v>0.11552012605929973</v>
      </c>
      <c r="E1972" s="86"/>
      <c r="F1972" s="14"/>
    </row>
    <row r="1973" spans="1:6" x14ac:dyDescent="0.25">
      <c r="A1973" s="86">
        <v>1972</v>
      </c>
      <c r="B1973" s="87">
        <v>41.059195149835432</v>
      </c>
      <c r="C1973" s="14">
        <v>2</v>
      </c>
      <c r="D1973" s="86">
        <v>6.0159955312657609E-2</v>
      </c>
      <c r="E1973" s="86"/>
      <c r="F1973" s="14"/>
    </row>
    <row r="1974" spans="1:6" x14ac:dyDescent="0.25">
      <c r="A1974" s="86">
        <v>1973</v>
      </c>
      <c r="B1974" s="87">
        <v>37.577524375927169</v>
      </c>
      <c r="C1974" s="14">
        <v>1</v>
      </c>
      <c r="D1974" s="86">
        <v>0.8553886698452392</v>
      </c>
      <c r="E1974" s="86"/>
      <c r="F1974" s="14"/>
    </row>
    <row r="1975" spans="1:6" x14ac:dyDescent="0.25">
      <c r="A1975" s="86">
        <v>1974</v>
      </c>
      <c r="B1975" s="87">
        <v>39.320616446610074</v>
      </c>
      <c r="C1975" s="14">
        <v>1</v>
      </c>
      <c r="D1975" s="86">
        <v>0.50192570624009669</v>
      </c>
      <c r="E1975" s="86"/>
      <c r="F1975" s="14"/>
    </row>
    <row r="1976" spans="1:6" x14ac:dyDescent="0.25">
      <c r="A1976" s="86">
        <v>1975</v>
      </c>
      <c r="B1976" s="87">
        <v>34.51573319977615</v>
      </c>
      <c r="C1976" s="14">
        <v>2</v>
      </c>
      <c r="D1976" s="86">
        <v>0.76751068571703784</v>
      </c>
      <c r="E1976" s="86"/>
      <c r="F1976" s="14"/>
    </row>
    <row r="1977" spans="1:6" x14ac:dyDescent="0.25">
      <c r="A1977" s="86">
        <v>1976</v>
      </c>
      <c r="B1977" s="87">
        <v>41.818867652516929</v>
      </c>
      <c r="C1977" s="14">
        <v>2</v>
      </c>
      <c r="D1977" s="86">
        <v>0.67626395326532451</v>
      </c>
      <c r="E1977" s="86"/>
      <c r="F1977" s="14"/>
    </row>
    <row r="1978" spans="1:6" x14ac:dyDescent="0.25">
      <c r="A1978" s="86">
        <v>1977</v>
      </c>
      <c r="B1978" s="87">
        <v>38.702160049404483</v>
      </c>
      <c r="C1978" s="14">
        <v>5</v>
      </c>
      <c r="D1978" s="86">
        <v>0.48420456465855533</v>
      </c>
      <c r="E1978" s="86"/>
      <c r="F1978" s="14"/>
    </row>
    <row r="1979" spans="1:6" x14ac:dyDescent="0.25">
      <c r="A1979" s="86">
        <v>1978</v>
      </c>
      <c r="B1979" s="87">
        <v>48.286074156174436</v>
      </c>
      <c r="C1979" s="14">
        <v>5</v>
      </c>
      <c r="D1979" s="86">
        <v>0.5619437897476196</v>
      </c>
      <c r="E1979" s="86"/>
      <c r="F1979" s="14"/>
    </row>
    <row r="1980" spans="1:6" x14ac:dyDescent="0.25">
      <c r="A1980" s="86">
        <v>1979</v>
      </c>
      <c r="B1980" s="87">
        <v>41.243913523765514</v>
      </c>
      <c r="C1980" s="14">
        <v>4</v>
      </c>
      <c r="D1980" s="86">
        <v>0.5868118374360074</v>
      </c>
      <c r="E1980" s="86"/>
      <c r="F1980" s="14"/>
    </row>
    <row r="1981" spans="1:6" x14ac:dyDescent="0.25">
      <c r="A1981" s="86">
        <v>1980</v>
      </c>
      <c r="B1981" s="87">
        <v>38.633118032856146</v>
      </c>
      <c r="C1981" s="14">
        <v>3</v>
      </c>
      <c r="D1981" s="86">
        <v>0.22136730596136667</v>
      </c>
      <c r="E1981" s="86"/>
      <c r="F1981" s="14"/>
    </row>
    <row r="1982" spans="1:6" x14ac:dyDescent="0.25">
      <c r="A1982" s="86">
        <v>1981</v>
      </c>
      <c r="B1982" s="87">
        <v>45.718650193855865</v>
      </c>
      <c r="C1982" s="14">
        <v>2</v>
      </c>
      <c r="D1982" s="86">
        <v>0.12531163855606853</v>
      </c>
      <c r="E1982" s="86"/>
      <c r="F1982" s="14"/>
    </row>
    <row r="1983" spans="1:6" x14ac:dyDescent="0.25">
      <c r="A1983" s="86">
        <v>1982</v>
      </c>
      <c r="B1983" s="87">
        <v>42.789758931001415</v>
      </c>
      <c r="C1983" s="14">
        <v>2</v>
      </c>
      <c r="D1983" s="86">
        <v>0.96254525402199598</v>
      </c>
      <c r="E1983" s="86"/>
      <c r="F1983" s="14"/>
    </row>
    <row r="1984" spans="1:6" x14ac:dyDescent="0.25">
      <c r="A1984" s="86">
        <v>1983</v>
      </c>
      <c r="B1984" s="87">
        <v>45.735964699240867</v>
      </c>
      <c r="C1984" s="14">
        <v>2</v>
      </c>
      <c r="D1984" s="86">
        <v>4.7661407212930107E-2</v>
      </c>
      <c r="E1984" s="86"/>
      <c r="F1984" s="14"/>
    </row>
    <row r="1985" spans="1:6" x14ac:dyDescent="0.25">
      <c r="A1985" s="86">
        <v>1984</v>
      </c>
      <c r="B1985" s="87">
        <v>40.408190210990142</v>
      </c>
      <c r="C1985" s="14">
        <v>1</v>
      </c>
      <c r="D1985" s="86">
        <v>0.81922159443876696</v>
      </c>
      <c r="E1985" s="86"/>
      <c r="F1985" s="14"/>
    </row>
    <row r="1986" spans="1:6" x14ac:dyDescent="0.25">
      <c r="A1986" s="86">
        <v>1985</v>
      </c>
      <c r="B1986" s="87">
        <v>42.008429085733951</v>
      </c>
      <c r="C1986" s="14">
        <v>2</v>
      </c>
      <c r="D1986" s="86">
        <v>0.20956274763637772</v>
      </c>
      <c r="E1986" s="86"/>
      <c r="F1986" s="14"/>
    </row>
    <row r="1987" spans="1:6" x14ac:dyDescent="0.25">
      <c r="A1987" s="86">
        <v>1986</v>
      </c>
      <c r="B1987" s="87">
        <v>46.184061370120617</v>
      </c>
      <c r="C1987" s="14">
        <v>2</v>
      </c>
      <c r="D1987" s="86">
        <v>1.001323539745258E-2</v>
      </c>
      <c r="E1987" s="86"/>
      <c r="F1987" s="14"/>
    </row>
    <row r="1988" spans="1:6" x14ac:dyDescent="0.25">
      <c r="A1988" s="86">
        <v>1987</v>
      </c>
      <c r="B1988" s="87">
        <v>37.228278410446364</v>
      </c>
      <c r="C1988" s="14">
        <v>4</v>
      </c>
      <c r="D1988" s="86">
        <v>0.32786029308285303</v>
      </c>
      <c r="E1988" s="86"/>
      <c r="F1988" s="14"/>
    </row>
    <row r="1989" spans="1:6" x14ac:dyDescent="0.25">
      <c r="A1989" s="86">
        <v>1988</v>
      </c>
      <c r="B1989" s="87">
        <v>41.49324012757279</v>
      </c>
      <c r="C1989" s="14">
        <v>5</v>
      </c>
      <c r="D1989" s="86">
        <v>0.21787868739308602</v>
      </c>
      <c r="E1989" s="86"/>
      <c r="F1989" s="14"/>
    </row>
    <row r="1990" spans="1:6" x14ac:dyDescent="0.25">
      <c r="A1990" s="86">
        <v>1989</v>
      </c>
      <c r="B1990" s="87">
        <v>44.144587713497458</v>
      </c>
      <c r="C1990" s="14">
        <v>2</v>
      </c>
      <c r="D1990" s="86">
        <v>6.1965080842657283E-2</v>
      </c>
      <c r="E1990" s="86"/>
      <c r="F1990" s="14"/>
    </row>
    <row r="1991" spans="1:6" x14ac:dyDescent="0.25">
      <c r="A1991" s="86">
        <v>1990</v>
      </c>
      <c r="B1991" s="87">
        <v>47.775893103214912</v>
      </c>
      <c r="C1991" s="14">
        <v>2</v>
      </c>
      <c r="D1991" s="86">
        <v>2.7773317641185513E-2</v>
      </c>
      <c r="E1991" s="86"/>
      <c r="F1991" s="14"/>
    </row>
    <row r="1992" spans="1:6" x14ac:dyDescent="0.25">
      <c r="A1992" s="86">
        <v>1991</v>
      </c>
      <c r="B1992" s="87">
        <v>44.023192908178316</v>
      </c>
      <c r="C1992" s="14">
        <v>4</v>
      </c>
      <c r="D1992" s="86">
        <v>1.0241941001596366E-3</v>
      </c>
      <c r="E1992" s="86"/>
      <c r="F1992" s="14"/>
    </row>
    <row r="1993" spans="1:6" x14ac:dyDescent="0.25">
      <c r="A1993" s="86">
        <v>1992</v>
      </c>
      <c r="B1993" s="87">
        <v>38.955136000702623</v>
      </c>
      <c r="C1993" s="14">
        <v>4</v>
      </c>
      <c r="D1993" s="86">
        <v>0.86911619356790248</v>
      </c>
      <c r="E1993" s="86"/>
      <c r="F1993" s="14"/>
    </row>
    <row r="1994" spans="1:6" x14ac:dyDescent="0.25">
      <c r="A1994" s="86">
        <v>1993</v>
      </c>
      <c r="B1994" s="87">
        <v>40.536406226572581</v>
      </c>
      <c r="C1994" s="14">
        <v>4</v>
      </c>
      <c r="D1994" s="86">
        <v>0.17965169963659977</v>
      </c>
      <c r="E1994" s="86"/>
      <c r="F1994" s="14"/>
    </row>
    <row r="1995" spans="1:6" x14ac:dyDescent="0.25">
      <c r="A1995" s="86">
        <v>1994</v>
      </c>
      <c r="B1995" s="87">
        <v>45.076393457173253</v>
      </c>
      <c r="C1995" s="14">
        <v>4</v>
      </c>
      <c r="D1995" s="86">
        <v>0.27900895732821895</v>
      </c>
      <c r="E1995" s="86"/>
      <c r="F1995" s="14"/>
    </row>
    <row r="1996" spans="1:6" x14ac:dyDescent="0.25">
      <c r="A1996" s="86">
        <v>1995</v>
      </c>
      <c r="B1996" s="87">
        <v>40.390233374972013</v>
      </c>
      <c r="C1996" s="14">
        <v>4</v>
      </c>
      <c r="D1996" s="86">
        <v>7.4397321361490243E-2</v>
      </c>
      <c r="E1996" s="86"/>
      <c r="F1996" s="14"/>
    </row>
    <row r="1997" spans="1:6" x14ac:dyDescent="0.25">
      <c r="A1997" s="86">
        <v>1996</v>
      </c>
      <c r="B1997" s="87">
        <v>48.085007614979986</v>
      </c>
      <c r="C1997" s="14">
        <v>2</v>
      </c>
      <c r="D1997" s="86">
        <v>0.16400434565071886</v>
      </c>
      <c r="E1997" s="86"/>
      <c r="F1997" s="14"/>
    </row>
    <row r="1998" spans="1:6" x14ac:dyDescent="0.25">
      <c r="A1998" s="86">
        <v>1997</v>
      </c>
      <c r="B1998" s="87">
        <v>45.935428256023442</v>
      </c>
      <c r="C1998" s="14">
        <v>2</v>
      </c>
      <c r="D1998" s="86">
        <v>0.5035312607510678</v>
      </c>
      <c r="E1998" s="86"/>
      <c r="F1998" s="14"/>
    </row>
    <row r="1999" spans="1:6" x14ac:dyDescent="0.25">
      <c r="A1999" s="86">
        <v>1998</v>
      </c>
      <c r="B1999" s="87">
        <v>41.190105543471873</v>
      </c>
      <c r="C1999" s="14">
        <v>5</v>
      </c>
      <c r="D1999" s="86">
        <v>6.7099744330195499E-2</v>
      </c>
      <c r="E1999" s="86"/>
      <c r="F1999" s="14"/>
    </row>
    <row r="2000" spans="1:6" x14ac:dyDescent="0.25">
      <c r="A2000" s="86">
        <v>1999</v>
      </c>
      <c r="B2000" s="87">
        <v>46.654349711723626</v>
      </c>
      <c r="C2000" s="14">
        <v>4</v>
      </c>
      <c r="D2000" s="86">
        <v>0.15782571184226646</v>
      </c>
      <c r="E2000" s="86"/>
      <c r="F2000" s="14"/>
    </row>
    <row r="2001" spans="1:6" x14ac:dyDescent="0.25">
      <c r="A2001" s="86">
        <v>2000</v>
      </c>
      <c r="B2001" s="87">
        <v>46.04796685668407</v>
      </c>
      <c r="C2001" s="14">
        <v>5</v>
      </c>
      <c r="D2001" s="86">
        <v>0.30971097996181951</v>
      </c>
      <c r="E2001" s="86"/>
      <c r="F2001" s="14"/>
    </row>
    <row r="2002" spans="1:6" x14ac:dyDescent="0.25">
      <c r="A2002" s="86">
        <v>2001</v>
      </c>
      <c r="B2002" s="87">
        <v>40.8176504100702</v>
      </c>
      <c r="C2002" s="14">
        <v>5</v>
      </c>
      <c r="D2002" s="86">
        <v>0.30846267773697567</v>
      </c>
      <c r="E2002" s="86"/>
      <c r="F2002" s="14"/>
    </row>
    <row r="2003" spans="1:6" x14ac:dyDescent="0.25">
      <c r="A2003" s="86">
        <v>2002</v>
      </c>
      <c r="B2003" s="87">
        <v>41.914626075929846</v>
      </c>
      <c r="C2003" s="14">
        <v>2</v>
      </c>
      <c r="D2003" s="86">
        <v>0.55308406916459907</v>
      </c>
      <c r="E2003" s="86"/>
      <c r="F2003" s="14"/>
    </row>
    <row r="2004" spans="1:6" x14ac:dyDescent="0.25">
      <c r="A2004" s="86">
        <v>2003</v>
      </c>
      <c r="B2004" s="87">
        <v>51.167626219801605</v>
      </c>
      <c r="C2004" s="14">
        <v>2</v>
      </c>
      <c r="D2004" s="86">
        <v>0.61580585493708673</v>
      </c>
      <c r="E2004" s="86"/>
      <c r="F2004" s="14"/>
    </row>
    <row r="2005" spans="1:6" x14ac:dyDescent="0.25">
      <c r="A2005" s="86">
        <v>2004</v>
      </c>
      <c r="B2005" s="87">
        <v>37.534630332054803</v>
      </c>
      <c r="C2005" s="14">
        <v>2</v>
      </c>
      <c r="D2005" s="86">
        <v>0.78214896012834301</v>
      </c>
      <c r="E2005" s="86"/>
      <c r="F2005" s="14"/>
    </row>
    <row r="2006" spans="1:6" x14ac:dyDescent="0.25">
      <c r="A2006" s="86">
        <v>2005</v>
      </c>
      <c r="B2006" s="87">
        <v>39.905376065114979</v>
      </c>
      <c r="C2006" s="14">
        <v>5</v>
      </c>
      <c r="D2006" s="86">
        <v>3.1814793463665336E-2</v>
      </c>
      <c r="E2006" s="86"/>
      <c r="F2006" s="14"/>
    </row>
    <row r="2007" spans="1:6" x14ac:dyDescent="0.25">
      <c r="A2007" s="86">
        <v>2006</v>
      </c>
      <c r="B2007" s="87">
        <v>35.488119460176677</v>
      </c>
      <c r="C2007" s="14">
        <v>3</v>
      </c>
      <c r="D2007" s="86">
        <v>8.5545124373765935E-2</v>
      </c>
      <c r="E2007" s="86"/>
      <c r="F2007" s="14"/>
    </row>
    <row r="2008" spans="1:6" x14ac:dyDescent="0.25">
      <c r="A2008" s="86">
        <v>2007</v>
      </c>
      <c r="B2008" s="87">
        <v>46.559091510396684</v>
      </c>
      <c r="C2008" s="14">
        <v>4</v>
      </c>
      <c r="D2008" s="86">
        <v>0.79079207545663932</v>
      </c>
      <c r="E2008" s="86"/>
      <c r="F2008" s="14"/>
    </row>
    <row r="2009" spans="1:6" x14ac:dyDescent="0.25">
      <c r="A2009" s="86">
        <v>2008</v>
      </c>
      <c r="B2009" s="87">
        <v>49.801883500884287</v>
      </c>
      <c r="C2009" s="14">
        <v>4</v>
      </c>
      <c r="D2009" s="86">
        <v>0.29312738259908588</v>
      </c>
      <c r="E2009" s="86"/>
      <c r="F2009" s="14"/>
    </row>
    <row r="2010" spans="1:6" x14ac:dyDescent="0.25">
      <c r="A2010" s="86">
        <v>2009</v>
      </c>
      <c r="B2010" s="87">
        <v>45.916817720688414</v>
      </c>
      <c r="C2010" s="14">
        <v>1</v>
      </c>
      <c r="D2010" s="86">
        <v>0.46948204357403311</v>
      </c>
      <c r="E2010" s="86"/>
      <c r="F2010" s="14"/>
    </row>
    <row r="2011" spans="1:6" x14ac:dyDescent="0.25">
      <c r="A2011" s="86">
        <v>2010</v>
      </c>
      <c r="B2011" s="87">
        <v>36.551421084703179</v>
      </c>
      <c r="C2011" s="14">
        <v>2</v>
      </c>
      <c r="D2011" s="86">
        <v>0.1714021661839642</v>
      </c>
      <c r="E2011" s="86"/>
      <c r="F2011" s="14"/>
    </row>
    <row r="2012" spans="1:6" x14ac:dyDescent="0.25">
      <c r="A2012" s="86">
        <v>2011</v>
      </c>
      <c r="B2012" s="87">
        <v>40.579504906752845</v>
      </c>
      <c r="C2012" s="14">
        <v>2</v>
      </c>
      <c r="D2012" s="86">
        <v>0.85500327333362502</v>
      </c>
      <c r="E2012" s="86"/>
      <c r="F2012" s="14"/>
    </row>
    <row r="2013" spans="1:6" x14ac:dyDescent="0.25">
      <c r="A2013" s="86">
        <v>2012</v>
      </c>
      <c r="B2013" s="87">
        <v>48.543188308365643</v>
      </c>
      <c r="C2013" s="14">
        <v>5</v>
      </c>
      <c r="D2013" s="86">
        <v>1.3370139624047428E-2</v>
      </c>
      <c r="E2013" s="86"/>
      <c r="F2013" s="14"/>
    </row>
    <row r="2014" spans="1:6" x14ac:dyDescent="0.25">
      <c r="A2014" s="86">
        <v>2013</v>
      </c>
      <c r="B2014" s="87">
        <v>41.199905348883476</v>
      </c>
      <c r="C2014" s="14">
        <v>2</v>
      </c>
      <c r="D2014" s="86">
        <v>0.48020080803394749</v>
      </c>
      <c r="E2014" s="86"/>
      <c r="F2014" s="14"/>
    </row>
    <row r="2015" spans="1:6" x14ac:dyDescent="0.25">
      <c r="A2015" s="86">
        <v>2014</v>
      </c>
      <c r="B2015" s="87">
        <v>45.550336830609012</v>
      </c>
      <c r="C2015" s="14">
        <v>1</v>
      </c>
      <c r="D2015" s="86">
        <v>0.85902158463898881</v>
      </c>
      <c r="E2015" s="86"/>
      <c r="F2015" s="14"/>
    </row>
    <row r="2016" spans="1:6" x14ac:dyDescent="0.25">
      <c r="A2016" s="86">
        <v>2015</v>
      </c>
      <c r="B2016" s="87">
        <v>51.37339939607773</v>
      </c>
      <c r="C2016" s="14">
        <v>3</v>
      </c>
      <c r="D2016" s="86">
        <v>0.10155384120421496</v>
      </c>
      <c r="E2016" s="86"/>
      <c r="F2016" s="14"/>
    </row>
    <row r="2017" spans="1:6" x14ac:dyDescent="0.25">
      <c r="A2017" s="86">
        <v>2016</v>
      </c>
      <c r="B2017" s="87">
        <v>46.428726813581306</v>
      </c>
      <c r="C2017" s="14">
        <v>3</v>
      </c>
      <c r="D2017" s="86">
        <v>0.33756523386911186</v>
      </c>
      <c r="E2017" s="86"/>
      <c r="F2017" s="14"/>
    </row>
    <row r="2018" spans="1:6" x14ac:dyDescent="0.25">
      <c r="A2018" s="86">
        <v>2017</v>
      </c>
      <c r="B2018" s="87">
        <v>32.961679602856748</v>
      </c>
      <c r="C2018" s="14">
        <v>5</v>
      </c>
      <c r="D2018" s="86">
        <v>6.7654699634828952E-2</v>
      </c>
      <c r="E2018" s="86"/>
      <c r="F2018" s="14"/>
    </row>
    <row r="2019" spans="1:6" x14ac:dyDescent="0.25">
      <c r="A2019" s="86">
        <v>2018</v>
      </c>
      <c r="B2019" s="87">
        <v>43.279942469205707</v>
      </c>
      <c r="C2019" s="14">
        <v>4</v>
      </c>
      <c r="D2019" s="86">
        <v>0.35826696777549527</v>
      </c>
      <c r="E2019" s="86"/>
      <c r="F2019" s="14"/>
    </row>
    <row r="2020" spans="1:6" x14ac:dyDescent="0.25">
      <c r="A2020" s="86">
        <v>2019</v>
      </c>
      <c r="B2020" s="87">
        <v>44.920614067785209</v>
      </c>
      <c r="C2020" s="14">
        <v>4</v>
      </c>
      <c r="D2020" s="86">
        <v>0.11642474378678769</v>
      </c>
      <c r="E2020" s="86"/>
      <c r="F2020" s="14"/>
    </row>
    <row r="2021" spans="1:6" x14ac:dyDescent="0.25">
      <c r="A2021" s="86">
        <v>2020</v>
      </c>
      <c r="B2021" s="87">
        <v>39.584813288791338</v>
      </c>
      <c r="C2021" s="14">
        <v>1</v>
      </c>
      <c r="D2021" s="86">
        <v>0.96091267893711041</v>
      </c>
      <c r="E2021" s="86"/>
      <c r="F2021" s="14"/>
    </row>
    <row r="2022" spans="1:6" x14ac:dyDescent="0.25">
      <c r="A2022" s="86">
        <v>2021</v>
      </c>
      <c r="B2022" s="87">
        <v>42.158580976654775</v>
      </c>
      <c r="C2022" s="14">
        <v>5</v>
      </c>
      <c r="D2022" s="86">
        <v>0.20182418912382649</v>
      </c>
      <c r="E2022" s="86"/>
      <c r="F2022" s="14"/>
    </row>
    <row r="2023" spans="1:6" x14ac:dyDescent="0.25">
      <c r="A2023" s="86">
        <v>2022</v>
      </c>
      <c r="B2023" s="87">
        <v>45.418778421997558</v>
      </c>
      <c r="C2023" s="14">
        <v>1</v>
      </c>
      <c r="D2023" s="86">
        <v>0.93809243915692886</v>
      </c>
      <c r="E2023" s="86"/>
      <c r="F2023" s="14"/>
    </row>
    <row r="2024" spans="1:6" x14ac:dyDescent="0.25">
      <c r="A2024" s="86">
        <v>2023</v>
      </c>
      <c r="B2024" s="87">
        <v>46.451498287176946</v>
      </c>
      <c r="C2024" s="14">
        <v>5</v>
      </c>
      <c r="D2024" s="86">
        <v>0.5777268691944385</v>
      </c>
      <c r="E2024" s="86"/>
      <c r="F2024" s="14"/>
    </row>
    <row r="2025" spans="1:6" x14ac:dyDescent="0.25">
      <c r="A2025" s="86">
        <v>2024</v>
      </c>
      <c r="B2025" s="87">
        <v>47.114224338991335</v>
      </c>
      <c r="C2025" s="14">
        <v>5</v>
      </c>
      <c r="D2025" s="86">
        <v>6.3279311711791797E-2</v>
      </c>
      <c r="E2025" s="86"/>
      <c r="F2025" s="14"/>
    </row>
    <row r="2026" spans="1:6" x14ac:dyDescent="0.25">
      <c r="A2026" s="86">
        <v>2025</v>
      </c>
      <c r="B2026" s="87">
        <v>39.609881236508954</v>
      </c>
      <c r="C2026" s="14">
        <v>1</v>
      </c>
      <c r="D2026" s="86">
        <v>0.26763904166144448</v>
      </c>
      <c r="E2026" s="86"/>
      <c r="F2026" s="14"/>
    </row>
    <row r="2027" spans="1:6" x14ac:dyDescent="0.25">
      <c r="A2027" s="86">
        <v>2026</v>
      </c>
      <c r="B2027" s="87">
        <v>45.895080797316041</v>
      </c>
      <c r="C2027" s="14">
        <v>4</v>
      </c>
      <c r="D2027" s="86">
        <v>0.93699164081190256</v>
      </c>
      <c r="E2027" s="86"/>
      <c r="F2027" s="14"/>
    </row>
    <row r="2028" spans="1:6" x14ac:dyDescent="0.25">
      <c r="A2028" s="86">
        <v>2027</v>
      </c>
      <c r="B2028" s="87">
        <v>45.000331278395606</v>
      </c>
      <c r="C2028" s="14">
        <v>2</v>
      </c>
      <c r="D2028" s="86">
        <v>0.70573637998887007</v>
      </c>
      <c r="E2028" s="86"/>
      <c r="F2028" s="14"/>
    </row>
    <row r="2029" spans="1:6" x14ac:dyDescent="0.25">
      <c r="A2029" s="86">
        <v>2028</v>
      </c>
      <c r="B2029" s="87">
        <v>46.806428594543831</v>
      </c>
      <c r="C2029" s="14">
        <v>2</v>
      </c>
      <c r="D2029" s="86">
        <v>0.13412560282932751</v>
      </c>
      <c r="E2029" s="86"/>
      <c r="F2029" s="14"/>
    </row>
    <row r="2030" spans="1:6" x14ac:dyDescent="0.25">
      <c r="A2030" s="86">
        <v>2029</v>
      </c>
      <c r="B2030" s="87">
        <v>38.926418705494143</v>
      </c>
      <c r="C2030" s="14">
        <v>2</v>
      </c>
      <c r="D2030" s="86">
        <v>0.63225876805909365</v>
      </c>
      <c r="E2030" s="86"/>
      <c r="F2030" s="14"/>
    </row>
    <row r="2031" spans="1:6" x14ac:dyDescent="0.25">
      <c r="A2031" s="86">
        <v>2030</v>
      </c>
      <c r="B2031" s="87">
        <v>39.822964476450579</v>
      </c>
      <c r="C2031" s="14">
        <v>2</v>
      </c>
      <c r="D2031" s="86">
        <v>0.47361179835954537</v>
      </c>
      <c r="E2031" s="86"/>
      <c r="F2031" s="14"/>
    </row>
    <row r="2032" spans="1:6" x14ac:dyDescent="0.25">
      <c r="A2032" s="86">
        <v>2031</v>
      </c>
      <c r="B2032" s="87">
        <v>41.197046124914777</v>
      </c>
      <c r="C2032" s="14">
        <v>4</v>
      </c>
      <c r="D2032" s="86">
        <v>0.33930774457733059</v>
      </c>
      <c r="E2032" s="86"/>
      <c r="F2032" s="14"/>
    </row>
    <row r="2033" spans="1:6" x14ac:dyDescent="0.25">
      <c r="A2033" s="86">
        <v>2032</v>
      </c>
      <c r="B2033" s="87">
        <v>48.685444648406701</v>
      </c>
      <c r="C2033" s="14">
        <v>2</v>
      </c>
      <c r="D2033" s="86">
        <v>0.54131795151472006</v>
      </c>
      <c r="E2033" s="86"/>
      <c r="F2033" s="14"/>
    </row>
    <row r="2034" spans="1:6" x14ac:dyDescent="0.25">
      <c r="A2034" s="86">
        <v>2033</v>
      </c>
      <c r="B2034" s="87">
        <v>45.093082684950787</v>
      </c>
      <c r="C2034" s="14">
        <v>2</v>
      </c>
      <c r="D2034" s="86">
        <v>0.8237630955938855</v>
      </c>
      <c r="E2034" s="86"/>
      <c r="F2034" s="14"/>
    </row>
    <row r="2035" spans="1:6" x14ac:dyDescent="0.25">
      <c r="A2035" s="86">
        <v>2034</v>
      </c>
      <c r="B2035" s="87">
        <v>44.155581230705138</v>
      </c>
      <c r="C2035" s="14">
        <v>2</v>
      </c>
      <c r="D2035" s="86">
        <v>0.68727756096686587</v>
      </c>
      <c r="E2035" s="86"/>
      <c r="F2035" s="14"/>
    </row>
    <row r="2036" spans="1:6" x14ac:dyDescent="0.25">
      <c r="A2036" s="86">
        <v>2035</v>
      </c>
      <c r="B2036" s="87">
        <v>43.584822146265651</v>
      </c>
      <c r="C2036" s="14">
        <v>1</v>
      </c>
      <c r="D2036" s="86">
        <v>0.5501212647103414</v>
      </c>
      <c r="E2036" s="86"/>
      <c r="F2036" s="14"/>
    </row>
    <row r="2037" spans="1:6" x14ac:dyDescent="0.25">
      <c r="A2037" s="86">
        <v>2036</v>
      </c>
      <c r="B2037" s="87">
        <v>33.798937687941361</v>
      </c>
      <c r="C2037" s="14">
        <v>2</v>
      </c>
      <c r="D2037" s="86">
        <v>0.37802066347349905</v>
      </c>
      <c r="E2037" s="86"/>
      <c r="F2037" s="14"/>
    </row>
    <row r="2038" spans="1:6" x14ac:dyDescent="0.25">
      <c r="A2038" s="86">
        <v>2037</v>
      </c>
      <c r="B2038" s="87">
        <v>40.07910092183738</v>
      </c>
      <c r="C2038" s="14">
        <v>4</v>
      </c>
      <c r="D2038" s="86">
        <v>0.33804070022862898</v>
      </c>
      <c r="E2038" s="86"/>
      <c r="F2038" s="14"/>
    </row>
    <row r="2039" spans="1:6" x14ac:dyDescent="0.25">
      <c r="A2039" s="86">
        <v>2038</v>
      </c>
      <c r="B2039" s="87">
        <v>44.777664238034049</v>
      </c>
      <c r="C2039" s="14">
        <v>2</v>
      </c>
      <c r="D2039" s="86">
        <v>0.3202008320030264</v>
      </c>
      <c r="E2039" s="86"/>
      <c r="F2039" s="14"/>
    </row>
    <row r="2040" spans="1:6" x14ac:dyDescent="0.25">
      <c r="A2040" s="86">
        <v>2039</v>
      </c>
      <c r="B2040" s="87">
        <v>36.971232470357791</v>
      </c>
      <c r="C2040" s="14">
        <v>4</v>
      </c>
      <c r="D2040" s="86">
        <v>0.60606687418548311</v>
      </c>
      <c r="E2040" s="86"/>
      <c r="F2040" s="14"/>
    </row>
    <row r="2041" spans="1:6" x14ac:dyDescent="0.25">
      <c r="A2041" s="86">
        <v>2040</v>
      </c>
      <c r="B2041" s="87">
        <v>52.906943887472153</v>
      </c>
      <c r="C2041" s="14">
        <v>5</v>
      </c>
      <c r="D2041" s="86">
        <v>0.81506304363957693</v>
      </c>
      <c r="E2041" s="86"/>
      <c r="F2041" s="14"/>
    </row>
    <row r="2042" spans="1:6" x14ac:dyDescent="0.25">
      <c r="A2042" s="86">
        <v>2041</v>
      </c>
      <c r="B2042" s="87">
        <v>38.551320353115443</v>
      </c>
      <c r="C2042" s="14">
        <v>2</v>
      </c>
      <c r="D2042" s="86">
        <v>0.99012595517354585</v>
      </c>
      <c r="E2042" s="86"/>
      <c r="F2042" s="14"/>
    </row>
    <row r="2043" spans="1:6" x14ac:dyDescent="0.25">
      <c r="A2043" s="86">
        <v>2042</v>
      </c>
      <c r="B2043" s="87">
        <v>45.392152964603156</v>
      </c>
      <c r="C2043" s="14">
        <v>2</v>
      </c>
      <c r="D2043" s="86">
        <v>6.7096095766312813E-2</v>
      </c>
      <c r="E2043" s="86"/>
      <c r="F2043" s="14"/>
    </row>
    <row r="2044" spans="1:6" x14ac:dyDescent="0.25">
      <c r="A2044" s="86">
        <v>2043</v>
      </c>
      <c r="B2044" s="87">
        <v>46.268849013693398</v>
      </c>
      <c r="C2044" s="14">
        <v>2</v>
      </c>
      <c r="D2044" s="86">
        <v>3.0152137062743556E-2</v>
      </c>
      <c r="E2044" s="86"/>
      <c r="F2044" s="14"/>
    </row>
    <row r="2045" spans="1:6" x14ac:dyDescent="0.25">
      <c r="A2045" s="86">
        <v>2044</v>
      </c>
      <c r="B2045" s="87">
        <v>44.293926743528573</v>
      </c>
      <c r="C2045" s="14">
        <v>2</v>
      </c>
      <c r="D2045" s="86">
        <v>0.91721407376884723</v>
      </c>
      <c r="E2045" s="86"/>
      <c r="F2045" s="14"/>
    </row>
    <row r="2046" spans="1:6" x14ac:dyDescent="0.25">
      <c r="A2046" s="86">
        <v>2045</v>
      </c>
      <c r="B2046" s="87">
        <v>41.033604242664296</v>
      </c>
      <c r="C2046" s="14">
        <v>5</v>
      </c>
      <c r="D2046" s="86">
        <v>0.3502954381122505</v>
      </c>
      <c r="E2046" s="86"/>
      <c r="F2046" s="14"/>
    </row>
    <row r="2047" spans="1:6" x14ac:dyDescent="0.25">
      <c r="A2047" s="86">
        <v>2046</v>
      </c>
      <c r="B2047" s="87">
        <v>41.065379713807488</v>
      </c>
      <c r="C2047" s="14">
        <v>2</v>
      </c>
      <c r="D2047" s="86">
        <v>0.35089597520200722</v>
      </c>
      <c r="E2047" s="86"/>
      <c r="F2047" s="14"/>
    </row>
    <row r="2048" spans="1:6" x14ac:dyDescent="0.25">
      <c r="A2048" s="86">
        <v>2047</v>
      </c>
      <c r="B2048" s="87">
        <v>43.356590135197621</v>
      </c>
      <c r="C2048" s="14">
        <v>4</v>
      </c>
      <c r="D2048" s="86">
        <v>0.65083191312992894</v>
      </c>
      <c r="E2048" s="86"/>
      <c r="F2048" s="14"/>
    </row>
    <row r="2049" spans="1:6" x14ac:dyDescent="0.25">
      <c r="A2049" s="86">
        <v>2048</v>
      </c>
      <c r="B2049" s="87">
        <v>39.459121121006319</v>
      </c>
      <c r="C2049" s="14">
        <v>1</v>
      </c>
      <c r="D2049" s="86">
        <v>0.6644790988704764</v>
      </c>
      <c r="E2049" s="86"/>
      <c r="F2049" s="14"/>
    </row>
    <row r="2050" spans="1:6" x14ac:dyDescent="0.25">
      <c r="A2050" s="86">
        <v>2049</v>
      </c>
      <c r="B2050" s="87">
        <v>42.293680730261258</v>
      </c>
      <c r="C2050" s="14">
        <v>4</v>
      </c>
      <c r="D2050" s="86">
        <v>0.43592252774905782</v>
      </c>
      <c r="E2050" s="86"/>
      <c r="F2050" s="14"/>
    </row>
    <row r="2051" spans="1:6" x14ac:dyDescent="0.25">
      <c r="A2051" s="86">
        <v>2050</v>
      </c>
      <c r="B2051" s="87">
        <v>35.758375810808502</v>
      </c>
      <c r="C2051" s="14">
        <v>2</v>
      </c>
      <c r="D2051" s="86">
        <v>0.19033039969325893</v>
      </c>
      <c r="E2051" s="86"/>
      <c r="F2051" s="14"/>
    </row>
    <row r="2052" spans="1:6" x14ac:dyDescent="0.25">
      <c r="A2052" s="86">
        <v>2051</v>
      </c>
      <c r="B2052" s="87">
        <v>38.580787981452886</v>
      </c>
      <c r="C2052" s="14">
        <v>2</v>
      </c>
      <c r="D2052" s="86">
        <v>0.64523517729788149</v>
      </c>
      <c r="E2052" s="86"/>
      <c r="F2052" s="14"/>
    </row>
    <row r="2053" spans="1:6" x14ac:dyDescent="0.25">
      <c r="A2053" s="86">
        <v>2052</v>
      </c>
      <c r="B2053" s="87">
        <v>37.352356225135736</v>
      </c>
      <c r="C2053" s="14">
        <v>1</v>
      </c>
      <c r="D2053" s="86">
        <v>0.32230296647980472</v>
      </c>
      <c r="E2053" s="86"/>
      <c r="F2053" s="14"/>
    </row>
    <row r="2054" spans="1:6" x14ac:dyDescent="0.25">
      <c r="A2054" s="86">
        <v>2053</v>
      </c>
      <c r="B2054" s="87">
        <v>35.100697454588953</v>
      </c>
      <c r="C2054" s="14">
        <v>1</v>
      </c>
      <c r="D2054" s="86">
        <v>5.3704713793934267E-2</v>
      </c>
      <c r="E2054" s="86"/>
      <c r="F2054" s="14"/>
    </row>
    <row r="2055" spans="1:6" x14ac:dyDescent="0.25">
      <c r="A2055" s="86">
        <v>2054</v>
      </c>
      <c r="B2055" s="87">
        <v>45.727085757214809</v>
      </c>
      <c r="C2055" s="14">
        <v>4</v>
      </c>
      <c r="D2055" s="86">
        <v>0.67762571008230832</v>
      </c>
      <c r="E2055" s="86"/>
      <c r="F2055" s="14"/>
    </row>
    <row r="2056" spans="1:6" x14ac:dyDescent="0.25">
      <c r="A2056" s="86">
        <v>2055</v>
      </c>
      <c r="B2056" s="87">
        <v>49.447703526646364</v>
      </c>
      <c r="C2056" s="14">
        <v>5</v>
      </c>
      <c r="D2056" s="86">
        <v>0.65752432033730757</v>
      </c>
      <c r="E2056" s="86"/>
      <c r="F2056" s="14"/>
    </row>
    <row r="2057" spans="1:6" x14ac:dyDescent="0.25">
      <c r="A2057" s="86">
        <v>2056</v>
      </c>
      <c r="B2057" s="87">
        <v>34.80467966652941</v>
      </c>
      <c r="C2057" s="14">
        <v>4</v>
      </c>
      <c r="D2057" s="86">
        <v>0.92813280896492723</v>
      </c>
      <c r="E2057" s="86"/>
      <c r="F2057" s="14"/>
    </row>
    <row r="2058" spans="1:6" x14ac:dyDescent="0.25">
      <c r="A2058" s="86">
        <v>2057</v>
      </c>
      <c r="B2058" s="87">
        <v>41.881708052067552</v>
      </c>
      <c r="C2058" s="14">
        <v>2</v>
      </c>
      <c r="D2058" s="86">
        <v>0.77595736569336671</v>
      </c>
      <c r="E2058" s="86"/>
      <c r="F2058" s="14"/>
    </row>
    <row r="2059" spans="1:6" x14ac:dyDescent="0.25">
      <c r="A2059" s="86">
        <v>2058</v>
      </c>
      <c r="B2059" s="87">
        <v>41.639907516917447</v>
      </c>
      <c r="C2059" s="14">
        <v>5</v>
      </c>
      <c r="D2059" s="86">
        <v>0.80725553631558722</v>
      </c>
      <c r="E2059" s="86"/>
      <c r="F2059" s="14"/>
    </row>
    <row r="2060" spans="1:6" x14ac:dyDescent="0.25">
      <c r="A2060" s="86">
        <v>2059</v>
      </c>
      <c r="B2060" s="87">
        <v>40.199392964830622</v>
      </c>
      <c r="C2060" s="14">
        <v>4</v>
      </c>
      <c r="D2060" s="86">
        <v>0.58771418490056948</v>
      </c>
      <c r="E2060" s="86"/>
      <c r="F2060" s="14"/>
    </row>
    <row r="2061" spans="1:6" x14ac:dyDescent="0.25">
      <c r="A2061" s="86">
        <v>2060</v>
      </c>
      <c r="B2061" s="87">
        <v>42.927513272268698</v>
      </c>
      <c r="C2061" s="14">
        <v>1</v>
      </c>
      <c r="D2061" s="86">
        <v>0.61490506204251838</v>
      </c>
      <c r="E2061" s="86"/>
      <c r="F2061" s="14"/>
    </row>
    <row r="2062" spans="1:6" x14ac:dyDescent="0.25">
      <c r="A2062" s="86">
        <v>2061</v>
      </c>
      <c r="B2062" s="87">
        <v>42.724275312473765</v>
      </c>
      <c r="C2062" s="14">
        <v>4</v>
      </c>
      <c r="D2062" s="86">
        <v>0.83384950357615306</v>
      </c>
      <c r="E2062" s="86"/>
      <c r="F2062" s="14"/>
    </row>
    <row r="2063" spans="1:6" x14ac:dyDescent="0.25">
      <c r="A2063" s="86">
        <v>2062</v>
      </c>
      <c r="B2063" s="87">
        <v>41.551970747939777</v>
      </c>
      <c r="C2063" s="14">
        <v>1</v>
      </c>
      <c r="D2063" s="86">
        <v>0.87320919410611486</v>
      </c>
      <c r="E2063" s="86"/>
      <c r="F2063" s="14"/>
    </row>
    <row r="2064" spans="1:6" x14ac:dyDescent="0.25">
      <c r="A2064" s="86">
        <v>2063</v>
      </c>
      <c r="B2064" s="87">
        <v>43.948307388171088</v>
      </c>
      <c r="C2064" s="14">
        <v>4</v>
      </c>
      <c r="D2064" s="86">
        <v>0.3831637666460187</v>
      </c>
      <c r="E2064" s="86"/>
      <c r="F2064" s="14"/>
    </row>
    <row r="2065" spans="1:6" x14ac:dyDescent="0.25">
      <c r="A2065" s="86">
        <v>2064</v>
      </c>
      <c r="B2065" s="87">
        <v>40.273806684461306</v>
      </c>
      <c r="C2065" s="14">
        <v>2</v>
      </c>
      <c r="D2065" s="86">
        <v>0.29672549768866663</v>
      </c>
      <c r="E2065" s="86"/>
      <c r="F2065" s="14"/>
    </row>
    <row r="2066" spans="1:6" x14ac:dyDescent="0.25">
      <c r="A2066" s="86">
        <v>2065</v>
      </c>
      <c r="B2066" s="87">
        <v>45.772469542833278</v>
      </c>
      <c r="C2066" s="14">
        <v>4</v>
      </c>
      <c r="D2066" s="86">
        <v>0.75689675059759465</v>
      </c>
      <c r="E2066" s="86"/>
      <c r="F2066" s="14"/>
    </row>
    <row r="2067" spans="1:6" x14ac:dyDescent="0.25">
      <c r="A2067" s="86">
        <v>2066</v>
      </c>
      <c r="B2067" s="87">
        <v>52.472114470554516</v>
      </c>
      <c r="C2067" s="14">
        <v>4</v>
      </c>
      <c r="D2067" s="86">
        <v>0.70943343986517071</v>
      </c>
      <c r="E2067" s="86"/>
      <c r="F2067" s="14"/>
    </row>
    <row r="2068" spans="1:6" x14ac:dyDescent="0.25">
      <c r="A2068" s="86">
        <v>2067</v>
      </c>
      <c r="B2068" s="87">
        <v>42.714316345489351</v>
      </c>
      <c r="C2068" s="14">
        <v>3</v>
      </c>
      <c r="D2068" s="86">
        <v>0.28350083892484812</v>
      </c>
      <c r="E2068" s="86"/>
      <c r="F2068" s="14"/>
    </row>
    <row r="2069" spans="1:6" x14ac:dyDescent="0.25">
      <c r="A2069" s="86">
        <v>2068</v>
      </c>
      <c r="B2069" s="87">
        <v>36.90743141702842</v>
      </c>
      <c r="C2069" s="14">
        <v>2</v>
      </c>
      <c r="D2069" s="86">
        <v>0.29546971047490544</v>
      </c>
      <c r="E2069" s="86"/>
      <c r="F2069" s="14"/>
    </row>
    <row r="2070" spans="1:6" x14ac:dyDescent="0.25">
      <c r="A2070" s="86">
        <v>2069</v>
      </c>
      <c r="B2070" s="87">
        <v>38.746259173756698</v>
      </c>
      <c r="C2070" s="14">
        <v>4</v>
      </c>
      <c r="D2070" s="86">
        <v>0.59445995451838018</v>
      </c>
      <c r="E2070" s="86"/>
      <c r="F2070" s="14"/>
    </row>
    <row r="2071" spans="1:6" x14ac:dyDescent="0.25">
      <c r="A2071" s="86">
        <v>2070</v>
      </c>
      <c r="B2071" s="87">
        <v>37.296263139403891</v>
      </c>
      <c r="C2071" s="14">
        <v>1</v>
      </c>
      <c r="D2071" s="86">
        <v>0.41287930459306499</v>
      </c>
      <c r="E2071" s="86"/>
      <c r="F2071" s="14"/>
    </row>
    <row r="2072" spans="1:6" x14ac:dyDescent="0.25">
      <c r="A2072" s="86">
        <v>2071</v>
      </c>
      <c r="B2072" s="87">
        <v>47.478874870983418</v>
      </c>
      <c r="C2072" s="14">
        <v>2</v>
      </c>
      <c r="D2072" s="86">
        <v>0.19679550120297162</v>
      </c>
      <c r="E2072" s="86"/>
      <c r="F2072" s="14"/>
    </row>
    <row r="2073" spans="1:6" x14ac:dyDescent="0.25">
      <c r="A2073" s="86">
        <v>2072</v>
      </c>
      <c r="B2073" s="87">
        <v>45.715989921853179</v>
      </c>
      <c r="C2073" s="14">
        <v>5</v>
      </c>
      <c r="D2073" s="86">
        <v>0.40828222644482648</v>
      </c>
      <c r="E2073" s="86"/>
      <c r="F2073" s="14"/>
    </row>
    <row r="2074" spans="1:6" x14ac:dyDescent="0.25">
      <c r="A2074" s="86">
        <v>2073</v>
      </c>
      <c r="B2074" s="87">
        <v>43.166221525432775</v>
      </c>
      <c r="C2074" s="14">
        <v>2</v>
      </c>
      <c r="D2074" s="86">
        <v>0.11149502931238353</v>
      </c>
      <c r="E2074" s="86"/>
      <c r="F2074" s="14"/>
    </row>
    <row r="2075" spans="1:6" x14ac:dyDescent="0.25">
      <c r="A2075" s="86">
        <v>2074</v>
      </c>
      <c r="B2075" s="87">
        <v>36.754317983984947</v>
      </c>
      <c r="C2075" s="14">
        <v>4</v>
      </c>
      <c r="D2075" s="86">
        <v>0.41674202382854009</v>
      </c>
      <c r="E2075" s="86"/>
      <c r="F2075" s="14"/>
    </row>
    <row r="2076" spans="1:6" x14ac:dyDescent="0.25">
      <c r="A2076" s="86">
        <v>2075</v>
      </c>
      <c r="B2076" s="87">
        <v>41.916587173880544</v>
      </c>
      <c r="C2076" s="14">
        <v>2</v>
      </c>
      <c r="D2076" s="86">
        <v>0.11900503877589208</v>
      </c>
      <c r="E2076" s="86"/>
      <c r="F2076" s="14"/>
    </row>
    <row r="2077" spans="1:6" x14ac:dyDescent="0.25">
      <c r="A2077" s="86">
        <v>2076</v>
      </c>
      <c r="B2077" s="87">
        <v>41.168857473501703</v>
      </c>
      <c r="C2077" s="14">
        <v>1</v>
      </c>
      <c r="D2077" s="86">
        <v>0.82313534692038792</v>
      </c>
      <c r="E2077" s="86"/>
      <c r="F2077" s="14"/>
    </row>
    <row r="2078" spans="1:6" x14ac:dyDescent="0.25">
      <c r="A2078" s="86">
        <v>2077</v>
      </c>
      <c r="B2078" s="87">
        <v>34.514118846680503</v>
      </c>
      <c r="C2078" s="14">
        <v>4</v>
      </c>
      <c r="D2078" s="86">
        <v>0.7101568026703815</v>
      </c>
      <c r="E2078" s="86"/>
      <c r="F2078" s="14"/>
    </row>
    <row r="2079" spans="1:6" x14ac:dyDescent="0.25">
      <c r="A2079" s="86">
        <v>2078</v>
      </c>
      <c r="B2079" s="87">
        <v>43.891122908797115</v>
      </c>
      <c r="C2079" s="14">
        <v>4</v>
      </c>
      <c r="D2079" s="86">
        <v>0.58131599867731432</v>
      </c>
      <c r="E2079" s="86"/>
      <c r="F2079" s="14"/>
    </row>
    <row r="2080" spans="1:6" x14ac:dyDescent="0.25">
      <c r="A2080" s="86">
        <v>2079</v>
      </c>
      <c r="B2080" s="87">
        <v>40.539862306439318</v>
      </c>
      <c r="C2080" s="14">
        <v>1</v>
      </c>
      <c r="D2080" s="86">
        <v>0.3162790424354166</v>
      </c>
      <c r="E2080" s="86"/>
      <c r="F2080" s="14"/>
    </row>
    <row r="2081" spans="1:6" x14ac:dyDescent="0.25">
      <c r="A2081" s="86">
        <v>2080</v>
      </c>
      <c r="B2081" s="87">
        <v>41.448345195356524</v>
      </c>
      <c r="C2081" s="14">
        <v>5</v>
      </c>
      <c r="D2081" s="86">
        <v>6.7181030636689343E-2</v>
      </c>
      <c r="E2081" s="86"/>
      <c r="F2081" s="14"/>
    </row>
    <row r="2082" spans="1:6" x14ac:dyDescent="0.25">
      <c r="A2082" s="86">
        <v>2081</v>
      </c>
      <c r="B2082" s="87">
        <v>35.992707120720297</v>
      </c>
      <c r="C2082" s="14">
        <v>2</v>
      </c>
      <c r="D2082" s="86">
        <v>0.98520785057015214</v>
      </c>
      <c r="E2082" s="86"/>
      <c r="F2082" s="14"/>
    </row>
    <row r="2083" spans="1:6" x14ac:dyDescent="0.25">
      <c r="A2083" s="86">
        <v>2082</v>
      </c>
      <c r="B2083" s="87">
        <v>42.471367573278258</v>
      </c>
      <c r="C2083" s="14">
        <v>5</v>
      </c>
      <c r="D2083" s="86">
        <v>0.42144016395952477</v>
      </c>
      <c r="E2083" s="86"/>
      <c r="F2083" s="14"/>
    </row>
    <row r="2084" spans="1:6" x14ac:dyDescent="0.25">
      <c r="A2084" s="86">
        <v>2083</v>
      </c>
      <c r="B2084" s="87">
        <v>47.096546035725623</v>
      </c>
      <c r="C2084" s="14">
        <v>3</v>
      </c>
      <c r="D2084" s="86">
        <v>4.8432049678089895E-2</v>
      </c>
      <c r="E2084" s="86"/>
      <c r="F2084" s="14"/>
    </row>
    <row r="2085" spans="1:6" x14ac:dyDescent="0.25">
      <c r="A2085" s="86">
        <v>2084</v>
      </c>
      <c r="B2085" s="87">
        <v>37.09287738671992</v>
      </c>
      <c r="C2085" s="14">
        <v>1</v>
      </c>
      <c r="D2085" s="86">
        <v>0.41369239232048527</v>
      </c>
      <c r="E2085" s="86"/>
      <c r="F2085" s="14"/>
    </row>
    <row r="2086" spans="1:6" x14ac:dyDescent="0.25">
      <c r="A2086" s="86">
        <v>2085</v>
      </c>
      <c r="B2086" s="87">
        <v>42.232585423669661</v>
      </c>
      <c r="C2086" s="14">
        <v>2</v>
      </c>
      <c r="D2086" s="86">
        <v>0.11517278788674223</v>
      </c>
      <c r="E2086" s="86"/>
      <c r="F2086" s="14"/>
    </row>
    <row r="2087" spans="1:6" x14ac:dyDescent="0.25">
      <c r="A2087" s="86">
        <v>2086</v>
      </c>
      <c r="B2087" s="87">
        <v>39.04468712277594</v>
      </c>
      <c r="C2087" s="14">
        <v>1</v>
      </c>
      <c r="D2087" s="86">
        <v>0.52073080220716339</v>
      </c>
      <c r="E2087" s="86"/>
      <c r="F2087" s="14"/>
    </row>
    <row r="2088" spans="1:6" x14ac:dyDescent="0.25">
      <c r="A2088" s="86">
        <v>2087</v>
      </c>
      <c r="B2088" s="87">
        <v>40.542022356356028</v>
      </c>
      <c r="C2088" s="14">
        <v>4</v>
      </c>
      <c r="D2088" s="86">
        <v>0.86497094998593249</v>
      </c>
      <c r="E2088" s="86"/>
      <c r="F2088" s="14"/>
    </row>
    <row r="2089" spans="1:6" x14ac:dyDescent="0.25">
      <c r="A2089" s="86">
        <v>2088</v>
      </c>
      <c r="B2089" s="87">
        <v>41.116811639192747</v>
      </c>
      <c r="C2089" s="14">
        <v>2</v>
      </c>
      <c r="D2089" s="86">
        <v>0.65778760538943437</v>
      </c>
      <c r="E2089" s="86"/>
      <c r="F2089" s="14"/>
    </row>
    <row r="2090" spans="1:6" x14ac:dyDescent="0.25">
      <c r="A2090" s="86">
        <v>2089</v>
      </c>
      <c r="B2090" s="87">
        <v>50.037033356027678</v>
      </c>
      <c r="C2090" s="14">
        <v>4</v>
      </c>
      <c r="D2090" s="86">
        <v>0.59218471644075787</v>
      </c>
      <c r="E2090" s="86"/>
      <c r="F2090" s="14"/>
    </row>
    <row r="2091" spans="1:6" x14ac:dyDescent="0.25">
      <c r="A2091" s="86">
        <v>2090</v>
      </c>
      <c r="B2091" s="87">
        <v>43.873637873155531</v>
      </c>
      <c r="C2091" s="14">
        <v>4</v>
      </c>
      <c r="D2091" s="86">
        <v>0.87708606267249556</v>
      </c>
      <c r="E2091" s="86"/>
      <c r="F2091" s="14"/>
    </row>
    <row r="2092" spans="1:6" x14ac:dyDescent="0.25">
      <c r="A2092" s="86">
        <v>2091</v>
      </c>
      <c r="B2092" s="87">
        <v>47.026844635518501</v>
      </c>
      <c r="C2092" s="14">
        <v>2</v>
      </c>
      <c r="D2092" s="86">
        <v>0.83858187454937327</v>
      </c>
      <c r="E2092" s="86"/>
      <c r="F2092" s="14"/>
    </row>
    <row r="2093" spans="1:6" x14ac:dyDescent="0.25">
      <c r="A2093" s="86">
        <v>2092</v>
      </c>
      <c r="B2093" s="87">
        <v>42.644558101863367</v>
      </c>
      <c r="C2093" s="14">
        <v>2</v>
      </c>
      <c r="D2093" s="86">
        <v>0.85670925488103</v>
      </c>
      <c r="E2093" s="86"/>
      <c r="F2093" s="14"/>
    </row>
    <row r="2094" spans="1:6" x14ac:dyDescent="0.25">
      <c r="A2094" s="86">
        <v>2093</v>
      </c>
      <c r="B2094" s="87">
        <v>41.221107944118557</v>
      </c>
      <c r="C2094" s="14">
        <v>1</v>
      </c>
      <c r="D2094" s="86">
        <v>0.3620440035711463</v>
      </c>
      <c r="E2094" s="86"/>
      <c r="F2094" s="14"/>
    </row>
    <row r="2095" spans="1:6" x14ac:dyDescent="0.25">
      <c r="A2095" s="86">
        <v>2094</v>
      </c>
      <c r="B2095" s="87">
        <v>42.925603333394974</v>
      </c>
      <c r="C2095" s="14">
        <v>2</v>
      </c>
      <c r="D2095" s="86">
        <v>7.868444868275315E-2</v>
      </c>
      <c r="E2095" s="86"/>
      <c r="F2095" s="14"/>
    </row>
    <row r="2096" spans="1:6" x14ac:dyDescent="0.25">
      <c r="A2096" s="86">
        <v>2095</v>
      </c>
      <c r="B2096" s="87">
        <v>41.353337105072569</v>
      </c>
      <c r="C2096" s="14">
        <v>2</v>
      </c>
      <c r="D2096" s="86">
        <v>0.18817257740805082</v>
      </c>
      <c r="E2096" s="86"/>
      <c r="F2096" s="14"/>
    </row>
    <row r="2097" spans="1:6" x14ac:dyDescent="0.25">
      <c r="A2097" s="86">
        <v>2096</v>
      </c>
      <c r="B2097" s="87">
        <v>41.401722223206889</v>
      </c>
      <c r="C2097" s="14">
        <v>4</v>
      </c>
      <c r="D2097" s="86">
        <v>0.89582143515188883</v>
      </c>
      <c r="E2097" s="86"/>
      <c r="F2097" s="14"/>
    </row>
    <row r="2098" spans="1:6" x14ac:dyDescent="0.25">
      <c r="A2098" s="86">
        <v>2097</v>
      </c>
      <c r="B2098" s="87">
        <v>43.926121401789715</v>
      </c>
      <c r="C2098" s="14">
        <v>4</v>
      </c>
      <c r="D2098" s="86">
        <v>0.51709468203506737</v>
      </c>
      <c r="E2098" s="86"/>
      <c r="F2098" s="14"/>
    </row>
    <row r="2099" spans="1:6" x14ac:dyDescent="0.25">
      <c r="A2099" s="86">
        <v>2098</v>
      </c>
      <c r="B2099" s="87">
        <v>43.111123199530994</v>
      </c>
      <c r="C2099" s="14">
        <v>3</v>
      </c>
      <c r="D2099" s="86">
        <v>0.75487283499781632</v>
      </c>
      <c r="E2099" s="86"/>
      <c r="F2099" s="14"/>
    </row>
    <row r="2100" spans="1:6" x14ac:dyDescent="0.25">
      <c r="A2100" s="86">
        <v>2099</v>
      </c>
      <c r="B2100" s="87">
        <v>37.172071637876797</v>
      </c>
      <c r="C2100" s="14">
        <v>3</v>
      </c>
      <c r="D2100" s="86">
        <v>0.93702062745118253</v>
      </c>
      <c r="E2100" s="86"/>
      <c r="F2100" s="14"/>
    </row>
    <row r="2101" spans="1:6" x14ac:dyDescent="0.25">
      <c r="A2101" s="86">
        <v>2100</v>
      </c>
      <c r="B2101" s="87">
        <v>42.745728018751834</v>
      </c>
      <c r="C2101" s="14">
        <v>4</v>
      </c>
      <c r="D2101" s="86">
        <v>0.46826285458539885</v>
      </c>
      <c r="E2101" s="86"/>
      <c r="F2101" s="14"/>
    </row>
    <row r="2102" spans="1:6" x14ac:dyDescent="0.25">
      <c r="A2102" s="86">
        <v>2101</v>
      </c>
      <c r="B2102" s="87">
        <v>51.307279131258838</v>
      </c>
      <c r="C2102" s="14">
        <v>2</v>
      </c>
      <c r="D2102" s="86">
        <v>0.22258136953677166</v>
      </c>
      <c r="E2102" s="86"/>
      <c r="F2102" s="14"/>
    </row>
    <row r="2103" spans="1:6" x14ac:dyDescent="0.25">
      <c r="A2103" s="86">
        <v>2102</v>
      </c>
      <c r="B2103" s="87">
        <v>54.833799362648278</v>
      </c>
      <c r="C2103" s="14">
        <v>2</v>
      </c>
      <c r="D2103" s="86">
        <v>0.67966561301620676</v>
      </c>
      <c r="E2103" s="86"/>
      <c r="F2103" s="14"/>
    </row>
    <row r="2104" spans="1:6" x14ac:dyDescent="0.25">
      <c r="A2104" s="86">
        <v>2103</v>
      </c>
      <c r="B2104" s="87">
        <v>46.11828216581489</v>
      </c>
      <c r="C2104" s="14">
        <v>5</v>
      </c>
      <c r="D2104" s="86">
        <v>4.1001915685566104E-2</v>
      </c>
      <c r="E2104" s="86"/>
      <c r="F2104" s="14"/>
    </row>
    <row r="2105" spans="1:6" x14ac:dyDescent="0.25">
      <c r="A2105" s="86">
        <v>2104</v>
      </c>
      <c r="B2105" s="87">
        <v>46.307309270894621</v>
      </c>
      <c r="C2105" s="14">
        <v>2</v>
      </c>
      <c r="D2105" s="86">
        <v>0.70309694574750992</v>
      </c>
      <c r="E2105" s="86"/>
      <c r="F2105" s="14"/>
    </row>
    <row r="2106" spans="1:6" x14ac:dyDescent="0.25">
      <c r="A2106" s="86">
        <v>2105</v>
      </c>
      <c r="B2106" s="87">
        <v>33.101241564843804</v>
      </c>
      <c r="C2106" s="14">
        <v>1</v>
      </c>
      <c r="D2106" s="86">
        <v>7.1223211811620724E-3</v>
      </c>
      <c r="E2106" s="86"/>
      <c r="F2106" s="14"/>
    </row>
    <row r="2107" spans="1:6" x14ac:dyDescent="0.25">
      <c r="A2107" s="86">
        <v>2106</v>
      </c>
      <c r="B2107" s="87">
        <v>44.808257366064936</v>
      </c>
      <c r="C2107" s="14">
        <v>2</v>
      </c>
      <c r="D2107" s="86">
        <v>0.19341030093185041</v>
      </c>
      <c r="E2107" s="86"/>
      <c r="F2107" s="14"/>
    </row>
    <row r="2108" spans="1:6" x14ac:dyDescent="0.25">
      <c r="A2108" s="86">
        <v>2107</v>
      </c>
      <c r="B2108" s="87">
        <v>46.323987129988382</v>
      </c>
      <c r="C2108" s="14">
        <v>2</v>
      </c>
      <c r="D2108" s="86">
        <v>5.6175706995715946E-2</v>
      </c>
      <c r="E2108" s="86"/>
      <c r="F2108" s="14"/>
    </row>
    <row r="2109" spans="1:6" x14ac:dyDescent="0.25">
      <c r="A2109" s="86">
        <v>2108</v>
      </c>
      <c r="B2109" s="87">
        <v>37.144820902874926</v>
      </c>
      <c r="C2109" s="14">
        <v>1</v>
      </c>
      <c r="D2109" s="86">
        <v>1.4808540894477584E-3</v>
      </c>
      <c r="E2109" s="86"/>
      <c r="F2109" s="14"/>
    </row>
    <row r="2110" spans="1:6" x14ac:dyDescent="0.25">
      <c r="A2110" s="86">
        <v>2109</v>
      </c>
      <c r="B2110" s="87">
        <v>46.128047865175176</v>
      </c>
      <c r="C2110" s="14">
        <v>4</v>
      </c>
      <c r="D2110" s="86">
        <v>0.23816121162051818</v>
      </c>
      <c r="E2110" s="86"/>
      <c r="F2110" s="14"/>
    </row>
    <row r="2111" spans="1:6" x14ac:dyDescent="0.25">
      <c r="A2111" s="86">
        <v>2110</v>
      </c>
      <c r="B2111" s="87">
        <v>46.603088316594949</v>
      </c>
      <c r="C2111" s="14">
        <v>2</v>
      </c>
      <c r="D2111" s="86">
        <v>0.36532704494562107</v>
      </c>
      <c r="E2111" s="86"/>
      <c r="F2111" s="14"/>
    </row>
    <row r="2112" spans="1:6" x14ac:dyDescent="0.25">
      <c r="A2112" s="86">
        <v>2111</v>
      </c>
      <c r="B2112" s="87">
        <v>40.87305569043383</v>
      </c>
      <c r="C2112" s="14">
        <v>5</v>
      </c>
      <c r="D2112" s="86">
        <v>0.99329151451914433</v>
      </c>
      <c r="E2112" s="86"/>
      <c r="F2112" s="14"/>
    </row>
    <row r="2113" spans="1:6" x14ac:dyDescent="0.25">
      <c r="A2113" s="86">
        <v>2112</v>
      </c>
      <c r="B2113" s="87">
        <v>40.653208083647769</v>
      </c>
      <c r="C2113" s="14">
        <v>5</v>
      </c>
      <c r="D2113" s="86">
        <v>0.68159947776254715</v>
      </c>
      <c r="E2113" s="86"/>
      <c r="F2113" s="14"/>
    </row>
    <row r="2114" spans="1:6" x14ac:dyDescent="0.25">
      <c r="A2114" s="86">
        <v>2113</v>
      </c>
      <c r="B2114" s="87">
        <v>46.118748281849548</v>
      </c>
      <c r="C2114" s="14">
        <v>4</v>
      </c>
      <c r="D2114" s="86">
        <v>0.64735377783998405</v>
      </c>
      <c r="E2114" s="86"/>
      <c r="F2114" s="14"/>
    </row>
    <row r="2115" spans="1:6" x14ac:dyDescent="0.25">
      <c r="A2115" s="86">
        <v>2114</v>
      </c>
      <c r="B2115" s="87">
        <v>43.271131739282282</v>
      </c>
      <c r="C2115" s="14">
        <v>1</v>
      </c>
      <c r="D2115" s="86">
        <v>0.72474877833265761</v>
      </c>
      <c r="E2115" s="86"/>
      <c r="F2115" s="14"/>
    </row>
    <row r="2116" spans="1:6" x14ac:dyDescent="0.25">
      <c r="A2116" s="86">
        <v>2115</v>
      </c>
      <c r="B2116" s="87">
        <v>38.319217305222992</v>
      </c>
      <c r="C2116" s="14">
        <v>2</v>
      </c>
      <c r="D2116" s="86">
        <v>0.16971993651857997</v>
      </c>
      <c r="E2116" s="86"/>
      <c r="F2116" s="14"/>
    </row>
    <row r="2117" spans="1:6" x14ac:dyDescent="0.25">
      <c r="A2117" s="86">
        <v>2116</v>
      </c>
      <c r="B2117" s="87">
        <v>40.906917315049213</v>
      </c>
      <c r="C2117" s="14">
        <v>2</v>
      </c>
      <c r="D2117" s="86">
        <v>0.42661578819844548</v>
      </c>
      <c r="E2117" s="86"/>
      <c r="F2117" s="14"/>
    </row>
    <row r="2118" spans="1:6" x14ac:dyDescent="0.25">
      <c r="A2118" s="86">
        <v>2117</v>
      </c>
      <c r="B2118" s="87">
        <v>42.523265614698175</v>
      </c>
      <c r="C2118" s="14">
        <v>2</v>
      </c>
      <c r="D2118" s="86">
        <v>0.25271200440059849</v>
      </c>
      <c r="E2118" s="86"/>
      <c r="F2118" s="14"/>
    </row>
    <row r="2119" spans="1:6" x14ac:dyDescent="0.25">
      <c r="A2119" s="86">
        <v>2118</v>
      </c>
      <c r="B2119" s="87">
        <v>47.355695182312047</v>
      </c>
      <c r="C2119" s="14">
        <v>5</v>
      </c>
      <c r="D2119" s="86">
        <v>0.36218469671914877</v>
      </c>
      <c r="E2119" s="86"/>
      <c r="F2119" s="14"/>
    </row>
    <row r="2120" spans="1:6" x14ac:dyDescent="0.25">
      <c r="A2120" s="86">
        <v>2119</v>
      </c>
      <c r="B2120" s="87">
        <v>42.154306351556443</v>
      </c>
      <c r="C2120" s="14">
        <v>5</v>
      </c>
      <c r="D2120" s="86">
        <v>0.13799784997175224</v>
      </c>
      <c r="E2120" s="86"/>
      <c r="F2120" s="14"/>
    </row>
    <row r="2121" spans="1:6" x14ac:dyDescent="0.25">
      <c r="A2121" s="86">
        <v>2120</v>
      </c>
      <c r="B2121" s="87">
        <v>44.397046389683965</v>
      </c>
      <c r="C2121" s="14">
        <v>2</v>
      </c>
      <c r="D2121" s="86">
        <v>0.31934535468865322</v>
      </c>
      <c r="E2121" s="86"/>
      <c r="F2121" s="14"/>
    </row>
    <row r="2122" spans="1:6" x14ac:dyDescent="0.25">
      <c r="A2122" s="86">
        <v>2121</v>
      </c>
      <c r="B2122" s="87">
        <v>40.42043428341276</v>
      </c>
      <c r="C2122" s="14">
        <v>1</v>
      </c>
      <c r="D2122" s="86">
        <v>0.85611840725825727</v>
      </c>
      <c r="E2122" s="86"/>
      <c r="F2122" s="14"/>
    </row>
    <row r="2123" spans="1:6" x14ac:dyDescent="0.25">
      <c r="A2123" s="86">
        <v>2122</v>
      </c>
      <c r="B2123" s="87">
        <v>49.877917257952504</v>
      </c>
      <c r="C2123" s="14">
        <v>5</v>
      </c>
      <c r="D2123" s="86">
        <v>0.92690947751473518</v>
      </c>
      <c r="E2123" s="86"/>
      <c r="F2123" s="14"/>
    </row>
    <row r="2124" spans="1:6" x14ac:dyDescent="0.25">
      <c r="A2124" s="86">
        <v>2123</v>
      </c>
      <c r="B2124" s="87">
        <v>41.858163507975405</v>
      </c>
      <c r="C2124" s="14">
        <v>3</v>
      </c>
      <c r="D2124" s="86">
        <v>0.97136436640447643</v>
      </c>
      <c r="E2124" s="86"/>
      <c r="F2124" s="14"/>
    </row>
    <row r="2125" spans="1:6" x14ac:dyDescent="0.25">
      <c r="A2125" s="86">
        <v>2124</v>
      </c>
      <c r="B2125" s="87">
        <v>39.041549366054824</v>
      </c>
      <c r="C2125" s="14">
        <v>2</v>
      </c>
      <c r="D2125" s="86">
        <v>0.30335666861831123</v>
      </c>
      <c r="E2125" s="86"/>
      <c r="F2125" s="14"/>
    </row>
    <row r="2126" spans="1:6" x14ac:dyDescent="0.25">
      <c r="A2126" s="86">
        <v>2125</v>
      </c>
      <c r="B2126" s="87">
        <v>44.153222228822415</v>
      </c>
      <c r="C2126" s="14">
        <v>1</v>
      </c>
      <c r="D2126" s="86">
        <v>0.40786514520427952</v>
      </c>
      <c r="E2126" s="86"/>
      <c r="F2126" s="14"/>
    </row>
    <row r="2127" spans="1:6" x14ac:dyDescent="0.25">
      <c r="A2127" s="86">
        <v>2126</v>
      </c>
      <c r="B2127" s="87">
        <v>44.695195805950789</v>
      </c>
      <c r="C2127" s="14">
        <v>5</v>
      </c>
      <c r="D2127" s="86">
        <v>0.70180057194916012</v>
      </c>
      <c r="E2127" s="86"/>
      <c r="F2127" s="14"/>
    </row>
    <row r="2128" spans="1:6" x14ac:dyDescent="0.25">
      <c r="A2128" s="86">
        <v>2127</v>
      </c>
      <c r="B2128" s="87">
        <v>48.35615072294604</v>
      </c>
      <c r="C2128" s="14">
        <v>5</v>
      </c>
      <c r="D2128" s="86">
        <v>1.2246359882281288E-2</v>
      </c>
      <c r="E2128" s="86"/>
      <c r="F2128" s="14"/>
    </row>
    <row r="2129" spans="1:6" x14ac:dyDescent="0.25">
      <c r="A2129" s="86">
        <v>2128</v>
      </c>
      <c r="B2129" s="87">
        <v>33.807236827095039</v>
      </c>
      <c r="C2129" s="14">
        <v>3</v>
      </c>
      <c r="D2129" s="86">
        <v>0.72553270459079877</v>
      </c>
      <c r="E2129" s="86"/>
      <c r="F2129" s="14"/>
    </row>
    <row r="2130" spans="1:6" x14ac:dyDescent="0.25">
      <c r="A2130" s="86">
        <v>2129</v>
      </c>
      <c r="B2130" s="87">
        <v>46.463651410129387</v>
      </c>
      <c r="C2130" s="14">
        <v>4</v>
      </c>
      <c r="D2130" s="86">
        <v>5.4741557125519313E-2</v>
      </c>
      <c r="E2130" s="86"/>
      <c r="F2130" s="14"/>
    </row>
    <row r="2131" spans="1:6" x14ac:dyDescent="0.25">
      <c r="A2131" s="86">
        <v>2130</v>
      </c>
      <c r="B2131" s="87">
        <v>50.897961040725932</v>
      </c>
      <c r="C2131" s="14">
        <v>2</v>
      </c>
      <c r="D2131" s="86">
        <v>0.20430243759392919</v>
      </c>
      <c r="E2131" s="86"/>
      <c r="F2131" s="14"/>
    </row>
    <row r="2132" spans="1:6" x14ac:dyDescent="0.25">
      <c r="A2132" s="86">
        <v>2131</v>
      </c>
      <c r="B2132" s="87">
        <v>43.225173835133319</v>
      </c>
      <c r="C2132" s="14">
        <v>2</v>
      </c>
      <c r="D2132" s="86">
        <v>0.1318725162490284</v>
      </c>
      <c r="E2132" s="86"/>
      <c r="F2132" s="14"/>
    </row>
    <row r="2133" spans="1:6" x14ac:dyDescent="0.25">
      <c r="A2133" s="86">
        <v>2132</v>
      </c>
      <c r="B2133" s="87">
        <v>40.018090880374075</v>
      </c>
      <c r="C2133" s="14">
        <v>4</v>
      </c>
      <c r="D2133" s="86">
        <v>0.47806354640313475</v>
      </c>
      <c r="E2133" s="86"/>
      <c r="F2133" s="14"/>
    </row>
    <row r="2134" spans="1:6" x14ac:dyDescent="0.25">
      <c r="A2134" s="86">
        <v>2133</v>
      </c>
      <c r="B2134" s="87">
        <v>41.450357452384196</v>
      </c>
      <c r="C2134" s="14">
        <v>2</v>
      </c>
      <c r="D2134" s="86">
        <v>0.54472483462334775</v>
      </c>
      <c r="E2134" s="86"/>
      <c r="F2134" s="14"/>
    </row>
    <row r="2135" spans="1:6" x14ac:dyDescent="0.25">
      <c r="A2135" s="86">
        <v>2134</v>
      </c>
      <c r="B2135" s="87">
        <v>52.587392924004234</v>
      </c>
      <c r="C2135" s="14">
        <v>2</v>
      </c>
      <c r="D2135" s="86">
        <v>0.12843524022616926</v>
      </c>
      <c r="E2135" s="86"/>
      <c r="F2135" s="14"/>
    </row>
    <row r="2136" spans="1:6" x14ac:dyDescent="0.25">
      <c r="A2136" s="86">
        <v>2135</v>
      </c>
      <c r="B2136" s="87">
        <v>49.294385457294993</v>
      </c>
      <c r="C2136" s="14">
        <v>5</v>
      </c>
      <c r="D2136" s="86">
        <v>0.47536101353917504</v>
      </c>
      <c r="E2136" s="86"/>
      <c r="F2136" s="14"/>
    </row>
    <row r="2137" spans="1:6" x14ac:dyDescent="0.25">
      <c r="A2137" s="86">
        <v>2136</v>
      </c>
      <c r="B2137" s="87">
        <v>39.894712239736691</v>
      </c>
      <c r="C2137" s="14">
        <v>4</v>
      </c>
      <c r="D2137" s="86">
        <v>0.42405858846688593</v>
      </c>
      <c r="E2137" s="86"/>
      <c r="F2137" s="14"/>
    </row>
    <row r="2138" spans="1:6" x14ac:dyDescent="0.25">
      <c r="A2138" s="86">
        <v>2137</v>
      </c>
      <c r="B2138" s="87">
        <v>42.364695213444065</v>
      </c>
      <c r="C2138" s="14">
        <v>4</v>
      </c>
      <c r="D2138" s="86">
        <v>0.55321084953791611</v>
      </c>
      <c r="E2138" s="86"/>
      <c r="F2138" s="14"/>
    </row>
    <row r="2139" spans="1:6" x14ac:dyDescent="0.25">
      <c r="A2139" s="86">
        <v>2138</v>
      </c>
      <c r="B2139" s="87">
        <v>41.043517734913621</v>
      </c>
      <c r="C2139" s="14">
        <v>5</v>
      </c>
      <c r="D2139" s="86">
        <v>0.67828212887271577</v>
      </c>
      <c r="E2139" s="86"/>
      <c r="F2139" s="14"/>
    </row>
    <row r="2140" spans="1:6" x14ac:dyDescent="0.25">
      <c r="A2140" s="86">
        <v>2139</v>
      </c>
      <c r="B2140" s="87">
        <v>47.535729658527998</v>
      </c>
      <c r="C2140" s="14">
        <v>2</v>
      </c>
      <c r="D2140" s="86">
        <v>0.28393101866610904</v>
      </c>
      <c r="E2140" s="86"/>
      <c r="F2140" s="14"/>
    </row>
    <row r="2141" spans="1:6" x14ac:dyDescent="0.25">
      <c r="A2141" s="86">
        <v>2140</v>
      </c>
      <c r="B2141" s="87">
        <v>49.825098353147041</v>
      </c>
      <c r="C2141" s="14">
        <v>5</v>
      </c>
      <c r="D2141" s="86">
        <v>0.64914050434445369</v>
      </c>
      <c r="E2141" s="86"/>
      <c r="F2141" s="14"/>
    </row>
    <row r="2142" spans="1:6" x14ac:dyDescent="0.25">
      <c r="A2142" s="86">
        <v>2141</v>
      </c>
      <c r="B2142" s="87">
        <v>44.305005525864544</v>
      </c>
      <c r="C2142" s="14">
        <v>1</v>
      </c>
      <c r="D2142" s="86">
        <v>0.31402779358792354</v>
      </c>
      <c r="E2142" s="86"/>
      <c r="F2142" s="14"/>
    </row>
    <row r="2143" spans="1:6" x14ac:dyDescent="0.25">
      <c r="A2143" s="86">
        <v>2142</v>
      </c>
      <c r="B2143" s="87">
        <v>44.492355750087881</v>
      </c>
      <c r="C2143" s="14">
        <v>5</v>
      </c>
      <c r="D2143" s="86">
        <v>0.29245038394660638</v>
      </c>
      <c r="E2143" s="86"/>
      <c r="F2143" s="14"/>
    </row>
    <row r="2144" spans="1:6" x14ac:dyDescent="0.25">
      <c r="A2144" s="86">
        <v>2143</v>
      </c>
      <c r="B2144" s="87">
        <v>47.029493538837414</v>
      </c>
      <c r="C2144" s="14">
        <v>1</v>
      </c>
      <c r="D2144" s="86">
        <v>0.45095473069657455</v>
      </c>
      <c r="E2144" s="86"/>
      <c r="F2144" s="14"/>
    </row>
    <row r="2145" spans="1:6" x14ac:dyDescent="0.25">
      <c r="A2145" s="86">
        <v>2144</v>
      </c>
      <c r="B2145" s="87">
        <v>46.279751581430901</v>
      </c>
      <c r="C2145" s="14">
        <v>1</v>
      </c>
      <c r="D2145" s="86">
        <v>0.70440073183955165</v>
      </c>
      <c r="E2145" s="86"/>
      <c r="F2145" s="14"/>
    </row>
    <row r="2146" spans="1:6" x14ac:dyDescent="0.25">
      <c r="A2146" s="86">
        <v>2145</v>
      </c>
      <c r="B2146" s="87">
        <v>44.399428128934233</v>
      </c>
      <c r="C2146" s="14">
        <v>4</v>
      </c>
      <c r="D2146" s="86">
        <v>5.8515278595773212E-2</v>
      </c>
      <c r="E2146" s="86"/>
      <c r="F2146" s="14"/>
    </row>
    <row r="2147" spans="1:6" x14ac:dyDescent="0.25">
      <c r="A2147" s="86">
        <v>2146</v>
      </c>
      <c r="B2147" s="87">
        <v>49.216578185558319</v>
      </c>
      <c r="C2147" s="14">
        <v>5</v>
      </c>
      <c r="D2147" s="86">
        <v>0.39605733334019289</v>
      </c>
      <c r="E2147" s="86"/>
      <c r="F2147" s="14"/>
    </row>
    <row r="2148" spans="1:6" x14ac:dyDescent="0.25">
      <c r="A2148" s="86">
        <v>2147</v>
      </c>
      <c r="B2148" s="87">
        <v>45.574324753368273</v>
      </c>
      <c r="C2148" s="14">
        <v>2</v>
      </c>
      <c r="D2148" s="86">
        <v>0.80636478778025844</v>
      </c>
      <c r="E2148" s="86"/>
      <c r="F2148" s="14"/>
    </row>
    <row r="2149" spans="1:6" x14ac:dyDescent="0.25">
      <c r="A2149" s="86">
        <v>2148</v>
      </c>
      <c r="B2149" s="87">
        <v>50.775179255986586</v>
      </c>
      <c r="C2149" s="14">
        <v>2</v>
      </c>
      <c r="D2149" s="86">
        <v>0.37529618905890605</v>
      </c>
      <c r="E2149" s="86"/>
      <c r="F2149" s="14"/>
    </row>
    <row r="2150" spans="1:6" x14ac:dyDescent="0.25">
      <c r="A2150" s="86">
        <v>2149</v>
      </c>
      <c r="B2150" s="87">
        <v>49.87595047565992</v>
      </c>
      <c r="C2150" s="14">
        <v>2</v>
      </c>
      <c r="D2150" s="86">
        <v>0.83650950520214906</v>
      </c>
      <c r="E2150" s="86"/>
      <c r="F2150" s="14"/>
    </row>
    <row r="2151" spans="1:6" x14ac:dyDescent="0.25">
      <c r="A2151" s="86">
        <v>2150</v>
      </c>
      <c r="B2151" s="87">
        <v>41.346072516142158</v>
      </c>
      <c r="C2151" s="14">
        <v>5</v>
      </c>
      <c r="D2151" s="86">
        <v>0.14806589919560387</v>
      </c>
      <c r="E2151" s="86"/>
      <c r="F2151" s="14"/>
    </row>
    <row r="2152" spans="1:6" x14ac:dyDescent="0.25">
      <c r="A2152" s="86">
        <v>2151</v>
      </c>
      <c r="B2152" s="87">
        <v>48.613037501461804</v>
      </c>
      <c r="C2152" s="14">
        <v>2</v>
      </c>
      <c r="D2152" s="86">
        <v>0.72379314245178128</v>
      </c>
      <c r="E2152" s="86"/>
      <c r="F2152" s="14"/>
    </row>
    <row r="2153" spans="1:6" x14ac:dyDescent="0.25">
      <c r="A2153" s="86">
        <v>2152</v>
      </c>
      <c r="B2153" s="87">
        <v>39.779308730765479</v>
      </c>
      <c r="C2153" s="14">
        <v>2</v>
      </c>
      <c r="D2153" s="86">
        <v>0.73260930319064377</v>
      </c>
      <c r="E2153" s="86"/>
      <c r="F2153" s="14"/>
    </row>
    <row r="2154" spans="1:6" x14ac:dyDescent="0.25">
      <c r="A2154" s="86">
        <v>2153</v>
      </c>
      <c r="B2154" s="87">
        <v>42.914507498033345</v>
      </c>
      <c r="C2154" s="14">
        <v>2</v>
      </c>
      <c r="D2154" s="86">
        <v>0.24598734442115899</v>
      </c>
      <c r="E2154" s="86"/>
      <c r="F2154" s="14"/>
    </row>
    <row r="2155" spans="1:6" x14ac:dyDescent="0.25">
      <c r="A2155" s="86">
        <v>2154</v>
      </c>
      <c r="B2155" s="87">
        <v>48.871152097824961</v>
      </c>
      <c r="C2155" s="14">
        <v>2</v>
      </c>
      <c r="D2155" s="86">
        <v>0.78082477864446231</v>
      </c>
      <c r="E2155" s="86"/>
      <c r="F2155" s="14"/>
    </row>
    <row r="2156" spans="1:6" x14ac:dyDescent="0.25">
      <c r="A2156" s="86">
        <v>2155</v>
      </c>
      <c r="B2156" s="87">
        <v>34.881372807256412</v>
      </c>
      <c r="C2156" s="14">
        <v>4</v>
      </c>
      <c r="D2156" s="86">
        <v>0.43019903168659845</v>
      </c>
      <c r="E2156" s="86"/>
      <c r="F2156" s="14"/>
    </row>
    <row r="2157" spans="1:6" x14ac:dyDescent="0.25">
      <c r="A2157" s="86">
        <v>2156</v>
      </c>
      <c r="B2157" s="87">
        <v>39.757628650811967</v>
      </c>
      <c r="C2157" s="14">
        <v>2</v>
      </c>
      <c r="D2157" s="86">
        <v>0.17525258301604563</v>
      </c>
      <c r="E2157" s="86"/>
      <c r="F2157" s="14"/>
    </row>
    <row r="2158" spans="1:6" x14ac:dyDescent="0.25">
      <c r="A2158" s="86">
        <v>2157</v>
      </c>
      <c r="B2158" s="87">
        <v>47.380342488730093</v>
      </c>
      <c r="C2158" s="14">
        <v>4</v>
      </c>
      <c r="D2158" s="86">
        <v>3.9527251982292566E-2</v>
      </c>
      <c r="E2158" s="86"/>
      <c r="F2158" s="14"/>
    </row>
    <row r="2159" spans="1:6" x14ac:dyDescent="0.25">
      <c r="A2159" s="86">
        <v>2158</v>
      </c>
      <c r="B2159" s="87">
        <v>37.353083820897155</v>
      </c>
      <c r="C2159" s="14">
        <v>5</v>
      </c>
      <c r="D2159" s="86">
        <v>0.65857105834102581</v>
      </c>
      <c r="E2159" s="86"/>
      <c r="F2159" s="14"/>
    </row>
    <row r="2160" spans="1:6" x14ac:dyDescent="0.25">
      <c r="A2160" s="86">
        <v>2159</v>
      </c>
      <c r="B2160" s="87">
        <v>40.436145804385887</v>
      </c>
      <c r="C2160" s="14">
        <v>5</v>
      </c>
      <c r="D2160" s="86">
        <v>0.75773019467537772</v>
      </c>
      <c r="E2160" s="86"/>
      <c r="F2160" s="14"/>
    </row>
    <row r="2161" spans="1:6" x14ac:dyDescent="0.25">
      <c r="A2161" s="86">
        <v>2160</v>
      </c>
      <c r="B2161" s="87">
        <v>45.83243934973143</v>
      </c>
      <c r="C2161" s="14">
        <v>4</v>
      </c>
      <c r="D2161" s="86">
        <v>0.58928424103615951</v>
      </c>
      <c r="E2161" s="86"/>
      <c r="F2161" s="14"/>
    </row>
    <row r="2162" spans="1:6" x14ac:dyDescent="0.25">
      <c r="A2162" s="86">
        <v>2161</v>
      </c>
      <c r="B2162" s="87">
        <v>38.181076428707456</v>
      </c>
      <c r="C2162" s="14">
        <v>5</v>
      </c>
      <c r="D2162" s="86">
        <v>0.38863128288970494</v>
      </c>
      <c r="E2162" s="86"/>
      <c r="F2162" s="14"/>
    </row>
    <row r="2163" spans="1:6" x14ac:dyDescent="0.25">
      <c r="A2163" s="86">
        <v>2162</v>
      </c>
      <c r="B2163" s="87">
        <v>47.061860181536758</v>
      </c>
      <c r="C2163" s="14">
        <v>4</v>
      </c>
      <c r="D2163" s="86">
        <v>0.86794048913760791</v>
      </c>
      <c r="E2163" s="86"/>
      <c r="F2163" s="14"/>
    </row>
    <row r="2164" spans="1:6" x14ac:dyDescent="0.25">
      <c r="A2164" s="86">
        <v>2163</v>
      </c>
      <c r="B2164" s="87">
        <v>41.194186900946079</v>
      </c>
      <c r="C2164" s="14">
        <v>3</v>
      </c>
      <c r="D2164" s="86">
        <v>0.35301987161872783</v>
      </c>
      <c r="E2164" s="86"/>
      <c r="F2164" s="14"/>
    </row>
    <row r="2165" spans="1:6" x14ac:dyDescent="0.25">
      <c r="A2165" s="86">
        <v>2164</v>
      </c>
      <c r="B2165" s="87">
        <v>45.171418600482866</v>
      </c>
      <c r="C2165" s="14">
        <v>4</v>
      </c>
      <c r="D2165" s="86">
        <v>0.19885663332018322</v>
      </c>
      <c r="E2165" s="86"/>
      <c r="F2165" s="14"/>
    </row>
    <row r="2166" spans="1:6" x14ac:dyDescent="0.25">
      <c r="A2166" s="86">
        <v>2165</v>
      </c>
      <c r="B2166" s="87">
        <v>39.137103153159842</v>
      </c>
      <c r="C2166" s="14">
        <v>3</v>
      </c>
      <c r="D2166" s="86">
        <v>0.49557643553479303</v>
      </c>
      <c r="E2166" s="86"/>
      <c r="F2166" s="14"/>
    </row>
    <row r="2167" spans="1:6" x14ac:dyDescent="0.25">
      <c r="A2167" s="86">
        <v>2166</v>
      </c>
      <c r="B2167" s="87">
        <v>36.412757248734124</v>
      </c>
      <c r="C2167" s="14">
        <v>4</v>
      </c>
      <c r="D2167" s="86">
        <v>0.72035162657824559</v>
      </c>
      <c r="E2167" s="86"/>
      <c r="F2167" s="14"/>
    </row>
    <row r="2168" spans="1:6" x14ac:dyDescent="0.25">
      <c r="A2168" s="86">
        <v>2167</v>
      </c>
      <c r="B2168" s="87">
        <v>42.796648353367345</v>
      </c>
      <c r="C2168" s="14">
        <v>1</v>
      </c>
      <c r="D2168" s="86">
        <v>0.42805720169171602</v>
      </c>
      <c r="E2168" s="86"/>
      <c r="F2168" s="14"/>
    </row>
    <row r="2169" spans="1:6" x14ac:dyDescent="0.25">
      <c r="A2169" s="86">
        <v>2168</v>
      </c>
      <c r="B2169" s="87">
        <v>52.821269486565143</v>
      </c>
      <c r="C2169" s="14">
        <v>1</v>
      </c>
      <c r="D2169" s="86">
        <v>0.52150935230847573</v>
      </c>
      <c r="E2169" s="86"/>
      <c r="F2169" s="14"/>
    </row>
    <row r="2170" spans="1:6" x14ac:dyDescent="0.25">
      <c r="A2170" s="86">
        <v>2169</v>
      </c>
      <c r="B2170" s="87">
        <v>50.26572579878848</v>
      </c>
      <c r="C2170" s="14">
        <v>2</v>
      </c>
      <c r="D2170" s="86">
        <v>0.54641777865317032</v>
      </c>
      <c r="E2170" s="86"/>
      <c r="F2170" s="14"/>
    </row>
    <row r="2171" spans="1:6" x14ac:dyDescent="0.25">
      <c r="A2171" s="86">
        <v>2170</v>
      </c>
      <c r="B2171" s="87">
        <v>35.420021044381429</v>
      </c>
      <c r="C2171" s="14">
        <v>2</v>
      </c>
      <c r="D2171" s="86">
        <v>1.2964953892584008E-2</v>
      </c>
      <c r="E2171" s="86"/>
      <c r="F2171" s="14"/>
    </row>
    <row r="2172" spans="1:6" x14ac:dyDescent="0.25">
      <c r="A2172" s="86">
        <v>2171</v>
      </c>
      <c r="B2172" s="87">
        <v>41.203168161126086</v>
      </c>
      <c r="C2172" s="14">
        <v>3</v>
      </c>
      <c r="D2172" s="86">
        <v>5.4112560895505202E-2</v>
      </c>
      <c r="E2172" s="86"/>
      <c r="F2172" s="14"/>
    </row>
    <row r="2173" spans="1:6" x14ac:dyDescent="0.25">
      <c r="A2173" s="86">
        <v>2172</v>
      </c>
      <c r="B2173" s="87">
        <v>47.004141374025494</v>
      </c>
      <c r="C2173" s="14">
        <v>5</v>
      </c>
      <c r="D2173" s="86">
        <v>0.77333230315139878</v>
      </c>
      <c r="E2173" s="86"/>
      <c r="F2173" s="14"/>
    </row>
    <row r="2174" spans="1:6" x14ac:dyDescent="0.25">
      <c r="A2174" s="86">
        <v>2173</v>
      </c>
      <c r="B2174" s="87">
        <v>46.294940142950509</v>
      </c>
      <c r="C2174" s="14">
        <v>5</v>
      </c>
      <c r="D2174" s="86">
        <v>0.50900553540116744</v>
      </c>
      <c r="E2174" s="86"/>
      <c r="F2174" s="14"/>
    </row>
    <row r="2175" spans="1:6" x14ac:dyDescent="0.25">
      <c r="A2175" s="86">
        <v>2174</v>
      </c>
      <c r="B2175" s="87">
        <v>36.517894836259075</v>
      </c>
      <c r="C2175" s="14">
        <v>1</v>
      </c>
      <c r="D2175" s="86">
        <v>0.50347709635600157</v>
      </c>
      <c r="E2175" s="86"/>
      <c r="F2175" s="14"/>
    </row>
    <row r="2176" spans="1:6" x14ac:dyDescent="0.25">
      <c r="A2176" s="86">
        <v>2175</v>
      </c>
      <c r="B2176" s="87">
        <v>32.832076607854106</v>
      </c>
      <c r="C2176" s="14">
        <v>5</v>
      </c>
      <c r="D2176" s="86">
        <v>0.25681844226877693</v>
      </c>
      <c r="E2176" s="86"/>
      <c r="F2176" s="14"/>
    </row>
    <row r="2177" spans="1:6" x14ac:dyDescent="0.25">
      <c r="A2177" s="86">
        <v>2176</v>
      </c>
      <c r="B2177" s="87">
        <v>48.499555300048087</v>
      </c>
      <c r="C2177" s="14">
        <v>2</v>
      </c>
      <c r="D2177" s="86">
        <v>0.41671259685865425</v>
      </c>
      <c r="E2177" s="86"/>
      <c r="F2177" s="14"/>
    </row>
    <row r="2178" spans="1:6" x14ac:dyDescent="0.25">
      <c r="A2178" s="86">
        <v>2177</v>
      </c>
      <c r="B2178" s="87">
        <v>40.716224697796861</v>
      </c>
      <c r="C2178" s="14">
        <v>2</v>
      </c>
      <c r="D2178" s="86">
        <v>0.82520236891430554</v>
      </c>
      <c r="E2178" s="86"/>
      <c r="F2178" s="14"/>
    </row>
    <row r="2179" spans="1:6" x14ac:dyDescent="0.25">
      <c r="A2179" s="86">
        <v>2178</v>
      </c>
      <c r="B2179" s="87">
        <v>53.46337274601683</v>
      </c>
      <c r="C2179" s="14">
        <v>2</v>
      </c>
      <c r="D2179" s="86">
        <v>0.57122465432984315</v>
      </c>
      <c r="E2179" s="86"/>
      <c r="F2179" s="14"/>
    </row>
    <row r="2180" spans="1:6" x14ac:dyDescent="0.25">
      <c r="A2180" s="86">
        <v>2179</v>
      </c>
      <c r="B2180" s="87">
        <v>41.493638031504815</v>
      </c>
      <c r="C2180" s="14">
        <v>4</v>
      </c>
      <c r="D2180" s="86">
        <v>0.1208419274732998</v>
      </c>
      <c r="E2180" s="86"/>
      <c r="F2180" s="14"/>
    </row>
    <row r="2181" spans="1:6" x14ac:dyDescent="0.25">
      <c r="A2181" s="86">
        <v>2180</v>
      </c>
      <c r="B2181" s="87">
        <v>36.875974269030849</v>
      </c>
      <c r="C2181" s="14">
        <v>5</v>
      </c>
      <c r="D2181" s="86">
        <v>0.98331410135354602</v>
      </c>
      <c r="E2181" s="86"/>
      <c r="F2181" s="14"/>
    </row>
    <row r="2182" spans="1:6" x14ac:dyDescent="0.25">
      <c r="A2182" s="86">
        <v>2181</v>
      </c>
      <c r="B2182" s="87">
        <v>42.934783545540995</v>
      </c>
      <c r="C2182" s="14">
        <v>1</v>
      </c>
      <c r="D2182" s="86">
        <v>0.81977290387109214</v>
      </c>
      <c r="E2182" s="86"/>
      <c r="F2182" s="14"/>
    </row>
    <row r="2183" spans="1:6" x14ac:dyDescent="0.25">
      <c r="A2183" s="86">
        <v>2182</v>
      </c>
      <c r="B2183" s="87">
        <v>35.41156274365494</v>
      </c>
      <c r="C2183" s="14">
        <v>2</v>
      </c>
      <c r="D2183" s="86">
        <v>0.840208870796609</v>
      </c>
      <c r="E2183" s="86"/>
      <c r="F2183" s="14"/>
    </row>
    <row r="2184" spans="1:6" x14ac:dyDescent="0.25">
      <c r="A2184" s="86">
        <v>2183</v>
      </c>
      <c r="B2184" s="87">
        <v>41.480024032687652</v>
      </c>
      <c r="C2184" s="14">
        <v>2</v>
      </c>
      <c r="D2184" s="86">
        <v>0.28066866160263548</v>
      </c>
      <c r="E2184" s="86"/>
      <c r="F2184" s="14"/>
    </row>
    <row r="2185" spans="1:6" x14ac:dyDescent="0.25">
      <c r="A2185" s="86">
        <v>2184</v>
      </c>
      <c r="B2185" s="87">
        <v>39.970893789693946</v>
      </c>
      <c r="C2185" s="14">
        <v>2</v>
      </c>
      <c r="D2185" s="86">
        <v>0.27481417593736446</v>
      </c>
      <c r="E2185" s="86"/>
      <c r="F2185" s="14"/>
    </row>
    <row r="2186" spans="1:6" x14ac:dyDescent="0.25">
      <c r="A2186" s="86">
        <v>2185</v>
      </c>
      <c r="B2186" s="87">
        <v>47.79402615383151</v>
      </c>
      <c r="C2186" s="14">
        <v>4</v>
      </c>
      <c r="D2186" s="86">
        <v>0.71273048707879905</v>
      </c>
      <c r="E2186" s="86"/>
      <c r="F2186" s="14"/>
    </row>
    <row r="2187" spans="1:6" x14ac:dyDescent="0.25">
      <c r="A2187" s="86">
        <v>2186</v>
      </c>
      <c r="B2187" s="87">
        <v>45.508170382498065</v>
      </c>
      <c r="C2187" s="14">
        <v>5</v>
      </c>
      <c r="D2187" s="86">
        <v>0.8989508669013816</v>
      </c>
      <c r="E2187" s="86"/>
      <c r="F2187" s="14"/>
    </row>
    <row r="2188" spans="1:6" x14ac:dyDescent="0.25">
      <c r="A2188" s="86">
        <v>2187</v>
      </c>
      <c r="B2188" s="87">
        <v>40.057295786362374</v>
      </c>
      <c r="C2188" s="14">
        <v>2</v>
      </c>
      <c r="D2188" s="86">
        <v>0.27657646143705195</v>
      </c>
      <c r="E2188" s="86"/>
      <c r="F2188" s="14"/>
    </row>
    <row r="2189" spans="1:6" x14ac:dyDescent="0.25">
      <c r="A2189" s="86">
        <v>2188</v>
      </c>
      <c r="B2189" s="87">
        <v>38.259599927521776</v>
      </c>
      <c r="C2189" s="14">
        <v>2</v>
      </c>
      <c r="D2189" s="86">
        <v>0.107414039508959</v>
      </c>
      <c r="E2189" s="86"/>
      <c r="F2189" s="14"/>
    </row>
    <row r="2190" spans="1:6" x14ac:dyDescent="0.25">
      <c r="A2190" s="86">
        <v>2189</v>
      </c>
      <c r="B2190" s="87">
        <v>43.792579157860018</v>
      </c>
      <c r="C2190" s="14">
        <v>3</v>
      </c>
      <c r="D2190" s="86">
        <v>0.34153655575739794</v>
      </c>
      <c r="E2190" s="86"/>
      <c r="F2190" s="14"/>
    </row>
    <row r="2191" spans="1:6" x14ac:dyDescent="0.25">
      <c r="A2191" s="86">
        <v>2190</v>
      </c>
      <c r="B2191" s="87">
        <v>44.172480779132457</v>
      </c>
      <c r="C2191" s="14">
        <v>5</v>
      </c>
      <c r="D2191" s="86">
        <v>0.98230304986786732</v>
      </c>
      <c r="E2191" s="86"/>
      <c r="F2191" s="14"/>
    </row>
    <row r="2192" spans="1:6" x14ac:dyDescent="0.25">
      <c r="A2192" s="86">
        <v>2191</v>
      </c>
      <c r="B2192" s="87">
        <v>37.446193340991158</v>
      </c>
      <c r="C2192" s="14">
        <v>3</v>
      </c>
      <c r="D2192" s="86">
        <v>0.68105735814484991</v>
      </c>
      <c r="E2192" s="86"/>
      <c r="F2192" s="14"/>
    </row>
    <row r="2193" spans="1:6" x14ac:dyDescent="0.25">
      <c r="A2193" s="86">
        <v>2192</v>
      </c>
      <c r="B2193" s="87">
        <v>41.691828295704909</v>
      </c>
      <c r="C2193" s="14">
        <v>2</v>
      </c>
      <c r="D2193" s="86">
        <v>0.25434496509250781</v>
      </c>
      <c r="E2193" s="86"/>
      <c r="F2193" s="14"/>
    </row>
    <row r="2194" spans="1:6" x14ac:dyDescent="0.25">
      <c r="A2194" s="86">
        <v>2193</v>
      </c>
      <c r="B2194" s="87">
        <v>37.263885128020775</v>
      </c>
      <c r="C2194" s="14">
        <v>5</v>
      </c>
      <c r="D2194" s="86">
        <v>0.95242196210155949</v>
      </c>
      <c r="E2194" s="86"/>
      <c r="F2194" s="14"/>
    </row>
    <row r="2195" spans="1:6" x14ac:dyDescent="0.25">
      <c r="A2195" s="86">
        <v>2194</v>
      </c>
      <c r="B2195" s="87">
        <v>41.146336110949051</v>
      </c>
      <c r="C2195" s="14">
        <v>2</v>
      </c>
      <c r="D2195" s="86">
        <v>0.97964853064061275</v>
      </c>
      <c r="E2195" s="86"/>
      <c r="F2195" s="14"/>
    </row>
    <row r="2196" spans="1:6" x14ac:dyDescent="0.25">
      <c r="A2196" s="86">
        <v>2195</v>
      </c>
      <c r="B2196" s="87">
        <v>55.825330486521125</v>
      </c>
      <c r="C2196" s="14">
        <v>5</v>
      </c>
      <c r="D2196" s="86">
        <v>0.58354607484447463</v>
      </c>
      <c r="E2196" s="86"/>
      <c r="F2196" s="14"/>
    </row>
    <row r="2197" spans="1:6" x14ac:dyDescent="0.25">
      <c r="A2197" s="86">
        <v>2196</v>
      </c>
      <c r="B2197" s="87">
        <v>48.34868149770773</v>
      </c>
      <c r="C2197" s="14">
        <v>4</v>
      </c>
      <c r="D2197" s="86">
        <v>8.7601434879744922E-3</v>
      </c>
      <c r="E2197" s="86"/>
      <c r="F2197" s="14"/>
    </row>
    <row r="2198" spans="1:6" x14ac:dyDescent="0.25">
      <c r="A2198" s="86">
        <v>2197</v>
      </c>
      <c r="B2198" s="87">
        <v>37.24834413730423</v>
      </c>
      <c r="C2198" s="14">
        <v>5</v>
      </c>
      <c r="D2198" s="86">
        <v>0.43440917071848806</v>
      </c>
      <c r="E2198" s="86"/>
      <c r="F2198" s="14"/>
    </row>
    <row r="2199" spans="1:6" x14ac:dyDescent="0.25">
      <c r="A2199" s="86">
        <v>2198</v>
      </c>
      <c r="B2199" s="87">
        <v>45.053479875030462</v>
      </c>
      <c r="C2199" s="14">
        <v>2</v>
      </c>
      <c r="D2199" s="86">
        <v>0.88681768328200528</v>
      </c>
      <c r="E2199" s="86"/>
      <c r="F2199" s="14"/>
    </row>
    <row r="2200" spans="1:6" x14ac:dyDescent="0.25">
      <c r="A2200" s="86">
        <v>2199</v>
      </c>
      <c r="B2200" s="87">
        <v>47.875209924648516</v>
      </c>
      <c r="C2200" s="14">
        <v>3</v>
      </c>
      <c r="D2200" s="86">
        <v>5.0857418250144115E-2</v>
      </c>
      <c r="E2200" s="86"/>
      <c r="F2200" s="14"/>
    </row>
    <row r="2201" spans="1:6" x14ac:dyDescent="0.25">
      <c r="A2201" s="86">
        <v>2200</v>
      </c>
      <c r="B2201" s="87">
        <v>36.739265846670605</v>
      </c>
      <c r="C2201" s="14">
        <v>4</v>
      </c>
      <c r="D2201" s="86">
        <v>0.11555391153547923</v>
      </c>
      <c r="E2201" s="86"/>
      <c r="F2201" s="14"/>
    </row>
    <row r="2202" spans="1:6" x14ac:dyDescent="0.25">
      <c r="A2202" s="86">
        <v>2201</v>
      </c>
      <c r="B2202" s="87">
        <v>59.319972928613424</v>
      </c>
      <c r="C2202" s="14">
        <v>5</v>
      </c>
      <c r="D2202" s="86">
        <v>0.26002000029385619</v>
      </c>
      <c r="E2202" s="86"/>
      <c r="F2202" s="14"/>
    </row>
    <row r="2203" spans="1:6" x14ac:dyDescent="0.25">
      <c r="A2203" s="86">
        <v>2202</v>
      </c>
      <c r="B2203" s="87">
        <v>41.893468955429853</v>
      </c>
      <c r="C2203" s="14">
        <v>5</v>
      </c>
      <c r="D2203" s="86">
        <v>0.47390007436772852</v>
      </c>
      <c r="E2203" s="86"/>
      <c r="F2203" s="14"/>
    </row>
    <row r="2204" spans="1:6" x14ac:dyDescent="0.25">
      <c r="A2204" s="86">
        <v>2203</v>
      </c>
      <c r="B2204" s="87">
        <v>46.55317979483516</v>
      </c>
      <c r="C2204" s="14">
        <v>2</v>
      </c>
      <c r="D2204" s="86">
        <v>0.13874600593701281</v>
      </c>
      <c r="E2204" s="86"/>
      <c r="F2204" s="14"/>
    </row>
    <row r="2205" spans="1:6" x14ac:dyDescent="0.25">
      <c r="A2205" s="86">
        <v>2204</v>
      </c>
      <c r="B2205" s="87">
        <v>47.722437552118208</v>
      </c>
      <c r="C2205" s="14">
        <v>5</v>
      </c>
      <c r="D2205" s="86">
        <v>0.33186718544461258</v>
      </c>
      <c r="E2205" s="86"/>
      <c r="F2205" s="14"/>
    </row>
    <row r="2206" spans="1:6" x14ac:dyDescent="0.25">
      <c r="A2206" s="86">
        <v>2205</v>
      </c>
      <c r="B2206" s="87">
        <v>38.042912814824376</v>
      </c>
      <c r="C2206" s="14">
        <v>5</v>
      </c>
      <c r="D2206" s="86">
        <v>0.22347128765993229</v>
      </c>
      <c r="E2206" s="86"/>
      <c r="F2206" s="14"/>
    </row>
    <row r="2207" spans="1:6" x14ac:dyDescent="0.25">
      <c r="A2207" s="86">
        <v>2206</v>
      </c>
      <c r="B2207" s="87">
        <v>42.422107066493481</v>
      </c>
      <c r="C2207" s="14">
        <v>2</v>
      </c>
      <c r="D2207" s="86">
        <v>0.7358185890993002</v>
      </c>
      <c r="E2207" s="86"/>
      <c r="F2207" s="14"/>
    </row>
    <row r="2208" spans="1:6" x14ac:dyDescent="0.25">
      <c r="A2208" s="86">
        <v>2207</v>
      </c>
      <c r="B2208" s="87">
        <v>43.388428134101559</v>
      </c>
      <c r="C2208" s="14">
        <v>2</v>
      </c>
      <c r="D2208" s="86">
        <v>0.26839390295433985</v>
      </c>
      <c r="E2208" s="86"/>
      <c r="F2208" s="14"/>
    </row>
    <row r="2209" spans="1:6" x14ac:dyDescent="0.25">
      <c r="A2209" s="86">
        <v>2208</v>
      </c>
      <c r="B2209" s="87">
        <v>42.035333075880772</v>
      </c>
      <c r="C2209" s="14">
        <v>4</v>
      </c>
      <c r="D2209" s="86">
        <v>0.70341181625466742</v>
      </c>
      <c r="E2209" s="86"/>
      <c r="F2209" s="14"/>
    </row>
    <row r="2210" spans="1:6" x14ac:dyDescent="0.25">
      <c r="A2210" s="86">
        <v>2209</v>
      </c>
      <c r="B2210" s="87">
        <v>49.255709195102099</v>
      </c>
      <c r="C2210" s="14">
        <v>5</v>
      </c>
      <c r="D2210" s="86">
        <v>0.34957179425245755</v>
      </c>
      <c r="E2210" s="86"/>
      <c r="F2210" s="14"/>
    </row>
    <row r="2211" spans="1:6" x14ac:dyDescent="0.25">
      <c r="A2211" s="86">
        <v>2210</v>
      </c>
      <c r="B2211" s="87">
        <v>53.108169590239413</v>
      </c>
      <c r="C2211" s="14">
        <v>2</v>
      </c>
      <c r="D2211" s="86">
        <v>0.62444956567515686</v>
      </c>
      <c r="E2211" s="86"/>
      <c r="F2211" s="14"/>
    </row>
    <row r="2212" spans="1:6" x14ac:dyDescent="0.25">
      <c r="A2212" s="86">
        <v>2211</v>
      </c>
      <c r="B2212" s="87">
        <v>49.624782145081554</v>
      </c>
      <c r="C2212" s="14">
        <v>2</v>
      </c>
      <c r="D2212" s="86">
        <v>0.31529018505691631</v>
      </c>
      <c r="E2212" s="86"/>
      <c r="F2212" s="14"/>
    </row>
    <row r="2213" spans="1:6" x14ac:dyDescent="0.25">
      <c r="A2213" s="86">
        <v>2212</v>
      </c>
      <c r="B2213" s="87">
        <v>35.418815963901579</v>
      </c>
      <c r="C2213" s="14">
        <v>4</v>
      </c>
      <c r="D2213" s="86">
        <v>0.42816375983269006</v>
      </c>
      <c r="E2213" s="86"/>
      <c r="F2213" s="14"/>
    </row>
    <row r="2214" spans="1:6" x14ac:dyDescent="0.25">
      <c r="A2214" s="86">
        <v>2213</v>
      </c>
      <c r="B2214" s="87">
        <v>47.242758677719394</v>
      </c>
      <c r="C2214" s="14">
        <v>2</v>
      </c>
      <c r="D2214" s="86">
        <v>0.51140384623715918</v>
      </c>
      <c r="E2214" s="86"/>
      <c r="F2214" s="14"/>
    </row>
    <row r="2215" spans="1:6" x14ac:dyDescent="0.25">
      <c r="A2215" s="86">
        <v>2214</v>
      </c>
      <c r="B2215" s="87">
        <v>40.87179376653512</v>
      </c>
      <c r="C2215" s="14">
        <v>1</v>
      </c>
      <c r="D2215" s="86">
        <v>0.77210375667558429</v>
      </c>
      <c r="E2215" s="86"/>
      <c r="F2215" s="14"/>
    </row>
    <row r="2216" spans="1:6" x14ac:dyDescent="0.25">
      <c r="A2216" s="86">
        <v>2215</v>
      </c>
      <c r="B2216" s="87">
        <v>48.955826054560021</v>
      </c>
      <c r="C2216" s="14">
        <v>2</v>
      </c>
      <c r="D2216" s="86">
        <v>0.41579423472992738</v>
      </c>
      <c r="E2216" s="86"/>
      <c r="F2216" s="14"/>
    </row>
    <row r="2217" spans="1:6" x14ac:dyDescent="0.25">
      <c r="A2217" s="86">
        <v>2216</v>
      </c>
      <c r="B2217" s="87">
        <v>37.796155533549609</v>
      </c>
      <c r="C2217" s="14">
        <v>4</v>
      </c>
      <c r="D2217" s="86">
        <v>7.7969451808661661E-2</v>
      </c>
      <c r="E2217" s="86"/>
      <c r="F2217" s="14"/>
    </row>
    <row r="2218" spans="1:6" x14ac:dyDescent="0.25">
      <c r="A2218" s="86">
        <v>2217</v>
      </c>
      <c r="B2218" s="87">
        <v>35.355424183188006</v>
      </c>
      <c r="C2218" s="14">
        <v>2</v>
      </c>
      <c r="D2218" s="86">
        <v>0.7692896023946334</v>
      </c>
      <c r="E2218" s="86"/>
      <c r="F2218" s="14"/>
    </row>
    <row r="2219" spans="1:6" x14ac:dyDescent="0.25">
      <c r="A2219" s="86">
        <v>2218</v>
      </c>
      <c r="B2219" s="87">
        <v>41.248790689103771</v>
      </c>
      <c r="C2219" s="14">
        <v>4</v>
      </c>
      <c r="D2219" s="86">
        <v>0.94523245692471647</v>
      </c>
      <c r="E2219" s="86"/>
      <c r="F2219" s="14"/>
    </row>
    <row r="2220" spans="1:6" x14ac:dyDescent="0.25">
      <c r="A2220" s="86">
        <v>2219</v>
      </c>
      <c r="B2220" s="87">
        <v>40.440073684629169</v>
      </c>
      <c r="C2220" s="14">
        <v>4</v>
      </c>
      <c r="D2220" s="86">
        <v>0.12491027286225342</v>
      </c>
      <c r="E2220" s="86"/>
      <c r="F2220" s="14"/>
    </row>
    <row r="2221" spans="1:6" x14ac:dyDescent="0.25">
      <c r="A2221" s="86">
        <v>2220</v>
      </c>
      <c r="B2221" s="87">
        <v>43.663465016259579</v>
      </c>
      <c r="C2221" s="14">
        <v>3</v>
      </c>
      <c r="D2221" s="86">
        <v>0.94327580112799914</v>
      </c>
      <c r="E2221" s="86"/>
      <c r="F2221" s="14"/>
    </row>
    <row r="2222" spans="1:6" x14ac:dyDescent="0.25">
      <c r="A2222" s="86">
        <v>2221</v>
      </c>
      <c r="B2222" s="87">
        <v>40.449663169390988</v>
      </c>
      <c r="C2222" s="14">
        <v>4</v>
      </c>
      <c r="D2222" s="86">
        <v>0.35402056789966929</v>
      </c>
      <c r="E2222" s="86"/>
      <c r="F2222" s="14"/>
    </row>
    <row r="2223" spans="1:6" x14ac:dyDescent="0.25">
      <c r="A2223" s="86">
        <v>2222</v>
      </c>
      <c r="B2223" s="87">
        <v>49.785512596252374</v>
      </c>
      <c r="C2223" s="14">
        <v>4</v>
      </c>
      <c r="D2223" s="86">
        <v>0.46837071574136468</v>
      </c>
      <c r="E2223" s="86"/>
      <c r="F2223" s="14"/>
    </row>
    <row r="2224" spans="1:6" x14ac:dyDescent="0.25">
      <c r="A2224" s="86">
        <v>2223</v>
      </c>
      <c r="B2224" s="87">
        <v>50.237258614622988</v>
      </c>
      <c r="C2224" s="14">
        <v>5</v>
      </c>
      <c r="D2224" s="86">
        <v>0.16772756678780809</v>
      </c>
      <c r="E2224" s="86"/>
      <c r="F2224" s="14"/>
    </row>
    <row r="2225" spans="1:6" x14ac:dyDescent="0.25">
      <c r="A2225" s="86">
        <v>2224</v>
      </c>
      <c r="B2225" s="87">
        <v>44.1257441201451</v>
      </c>
      <c r="C2225" s="14">
        <v>4</v>
      </c>
      <c r="D2225" s="86">
        <v>6.1398589569671591E-2</v>
      </c>
      <c r="E2225" s="86"/>
      <c r="F2225" s="14"/>
    </row>
    <row r="2226" spans="1:6" x14ac:dyDescent="0.25">
      <c r="A2226" s="86">
        <v>2225</v>
      </c>
      <c r="B2226" s="87">
        <v>41.111468357819831</v>
      </c>
      <c r="C2226" s="14">
        <v>2</v>
      </c>
      <c r="D2226" s="86">
        <v>0.82437654777867198</v>
      </c>
      <c r="E2226" s="86"/>
      <c r="F2226" s="14"/>
    </row>
    <row r="2227" spans="1:6" x14ac:dyDescent="0.25">
      <c r="A2227" s="86">
        <v>2226</v>
      </c>
      <c r="B2227" s="87">
        <v>45.845024482667213</v>
      </c>
      <c r="C2227" s="14">
        <v>2</v>
      </c>
      <c r="D2227" s="86">
        <v>0.7971775308561424</v>
      </c>
      <c r="E2227" s="86"/>
      <c r="F2227" s="14"/>
    </row>
    <row r="2228" spans="1:6" x14ac:dyDescent="0.25">
      <c r="A2228" s="86">
        <v>2227</v>
      </c>
      <c r="B2228" s="87">
        <v>42.138395878617303</v>
      </c>
      <c r="C2228" s="14">
        <v>4</v>
      </c>
      <c r="D2228" s="86">
        <v>0.62624455112361099</v>
      </c>
      <c r="E2228" s="86"/>
      <c r="F2228" s="14"/>
    </row>
    <row r="2229" spans="1:6" x14ac:dyDescent="0.25">
      <c r="A2229" s="86">
        <v>2228</v>
      </c>
      <c r="B2229" s="87">
        <v>35.840366758173332</v>
      </c>
      <c r="C2229" s="14">
        <v>4</v>
      </c>
      <c r="D2229" s="86">
        <v>0.44992441053258425</v>
      </c>
      <c r="E2229" s="86"/>
      <c r="F2229" s="14"/>
    </row>
    <row r="2230" spans="1:6" x14ac:dyDescent="0.25">
      <c r="A2230" s="86">
        <v>2229</v>
      </c>
      <c r="B2230" s="87">
        <v>44.908676949824439</v>
      </c>
      <c r="C2230" s="14">
        <v>1</v>
      </c>
      <c r="D2230" s="86">
        <v>9.1725399049522705E-2</v>
      </c>
      <c r="E2230" s="86"/>
      <c r="F2230" s="14"/>
    </row>
    <row r="2231" spans="1:6" x14ac:dyDescent="0.25">
      <c r="A2231" s="86">
        <v>2230</v>
      </c>
      <c r="B2231" s="87">
        <v>39.691741444010404</v>
      </c>
      <c r="C2231" s="14">
        <v>2</v>
      </c>
      <c r="D2231" s="86">
        <v>0.70918994135799562</v>
      </c>
      <c r="E2231" s="86"/>
      <c r="F2231" s="14"/>
    </row>
    <row r="2232" spans="1:6" x14ac:dyDescent="0.25">
      <c r="A2232" s="86">
        <v>2231</v>
      </c>
      <c r="B2232" s="87">
        <v>42.304111497622216</v>
      </c>
      <c r="C2232" s="14">
        <v>2</v>
      </c>
      <c r="D2232" s="86">
        <v>0.68226902099181952</v>
      </c>
      <c r="E2232" s="86"/>
      <c r="F2232" s="14"/>
    </row>
    <row r="2233" spans="1:6" x14ac:dyDescent="0.25">
      <c r="A2233" s="86">
        <v>2232</v>
      </c>
      <c r="B2233" s="87">
        <v>42.043905063444981</v>
      </c>
      <c r="C2233" s="14">
        <v>5</v>
      </c>
      <c r="D2233" s="86">
        <v>0.95260182001344529</v>
      </c>
      <c r="E2233" s="86"/>
      <c r="F2233" s="14"/>
    </row>
    <row r="2234" spans="1:6" x14ac:dyDescent="0.25">
      <c r="A2234" s="86">
        <v>2233</v>
      </c>
      <c r="B2234" s="87">
        <v>44.482362677052151</v>
      </c>
      <c r="C2234" s="14">
        <v>3</v>
      </c>
      <c r="D2234" s="86">
        <v>0.14048583774441847</v>
      </c>
      <c r="E2234" s="86"/>
      <c r="F2234" s="14"/>
    </row>
    <row r="2235" spans="1:6" x14ac:dyDescent="0.25">
      <c r="A2235" s="86">
        <v>2234</v>
      </c>
      <c r="B2235" s="87">
        <v>47.074115622643149</v>
      </c>
      <c r="C2235" s="14">
        <v>3</v>
      </c>
      <c r="D2235" s="86">
        <v>0.1689151868236819</v>
      </c>
      <c r="E2235" s="86"/>
      <c r="F2235" s="14"/>
    </row>
    <row r="2236" spans="1:6" x14ac:dyDescent="0.25">
      <c r="A2236" s="86">
        <v>2235</v>
      </c>
      <c r="B2236" s="87">
        <v>35.545554050593637</v>
      </c>
      <c r="C2236" s="14">
        <v>4</v>
      </c>
      <c r="D2236" s="86">
        <v>0.93362274611836527</v>
      </c>
      <c r="E2236" s="86"/>
      <c r="F2236" s="14"/>
    </row>
    <row r="2237" spans="1:6" x14ac:dyDescent="0.25">
      <c r="A2237" s="86">
        <v>2236</v>
      </c>
      <c r="B2237" s="87">
        <v>37.727295415941626</v>
      </c>
      <c r="C2237" s="14">
        <v>2</v>
      </c>
      <c r="D2237" s="86">
        <v>1.9801966415517347E-2</v>
      </c>
      <c r="E2237" s="86"/>
      <c r="F2237" s="14"/>
    </row>
    <row r="2238" spans="1:6" x14ac:dyDescent="0.25">
      <c r="A2238" s="86">
        <v>2237</v>
      </c>
      <c r="B2238" s="87">
        <v>46.476299070825917</v>
      </c>
      <c r="C2238" s="14">
        <v>5</v>
      </c>
      <c r="D2238" s="86">
        <v>9.312701576182969E-2</v>
      </c>
      <c r="E2238" s="86"/>
      <c r="F2238" s="14"/>
    </row>
    <row r="2239" spans="1:6" x14ac:dyDescent="0.25">
      <c r="A2239" s="86">
        <v>2238</v>
      </c>
      <c r="B2239" s="87">
        <v>39.097290022589732</v>
      </c>
      <c r="C2239" s="14">
        <v>2</v>
      </c>
      <c r="D2239" s="86">
        <v>0.1876845120030689</v>
      </c>
      <c r="E2239" s="86"/>
      <c r="F2239" s="14"/>
    </row>
    <row r="2240" spans="1:6" x14ac:dyDescent="0.25">
      <c r="A2240" s="86">
        <v>2239</v>
      </c>
      <c r="B2240" s="87">
        <v>53.090525393025018</v>
      </c>
      <c r="C2240" s="14">
        <v>2</v>
      </c>
      <c r="D2240" s="86">
        <v>0.30883210356088497</v>
      </c>
      <c r="E2240" s="86"/>
      <c r="F2240" s="14"/>
    </row>
    <row r="2241" spans="1:6" x14ac:dyDescent="0.25">
      <c r="A2241" s="86">
        <v>2240</v>
      </c>
      <c r="B2241" s="87">
        <v>45.569959178799763</v>
      </c>
      <c r="C2241" s="14">
        <v>5</v>
      </c>
      <c r="D2241" s="86">
        <v>0.29038024005861074</v>
      </c>
      <c r="E2241" s="86"/>
      <c r="F2241" s="14"/>
    </row>
    <row r="2242" spans="1:6" x14ac:dyDescent="0.25">
      <c r="A2242" s="86">
        <v>2241</v>
      </c>
      <c r="B2242" s="87">
        <v>46.342137233630638</v>
      </c>
      <c r="C2242" s="14">
        <v>2</v>
      </c>
      <c r="D2242" s="86">
        <v>0.85160944951528006</v>
      </c>
      <c r="E2242" s="86"/>
      <c r="F2242" s="14"/>
    </row>
    <row r="2243" spans="1:6" x14ac:dyDescent="0.25">
      <c r="A2243" s="86">
        <v>2242</v>
      </c>
      <c r="B2243" s="87">
        <v>48.284732651489321</v>
      </c>
      <c r="C2243" s="14">
        <v>2</v>
      </c>
      <c r="D2243" s="86">
        <v>8.5741533216175947E-3</v>
      </c>
      <c r="E2243" s="86"/>
      <c r="F2243" s="14"/>
    </row>
    <row r="2244" spans="1:6" x14ac:dyDescent="0.25">
      <c r="A2244" s="86">
        <v>2243</v>
      </c>
      <c r="B2244" s="87">
        <v>44.373990698994021</v>
      </c>
      <c r="C2244" s="14">
        <v>4</v>
      </c>
      <c r="D2244" s="86">
        <v>0.57096909233115978</v>
      </c>
      <c r="E2244" s="86"/>
      <c r="F2244" s="14"/>
    </row>
    <row r="2245" spans="1:6" x14ac:dyDescent="0.25">
      <c r="A2245" s="86">
        <v>2244</v>
      </c>
      <c r="B2245" s="87">
        <v>34.803201737639029</v>
      </c>
      <c r="C2245" s="14">
        <v>4</v>
      </c>
      <c r="D2245" s="86">
        <v>0.79007962550045097</v>
      </c>
      <c r="E2245" s="86"/>
      <c r="F2245" s="14"/>
    </row>
    <row r="2246" spans="1:6" x14ac:dyDescent="0.25">
      <c r="A2246" s="86">
        <v>2245</v>
      </c>
      <c r="B2246" s="87">
        <v>41.004227563797031</v>
      </c>
      <c r="C2246" s="14">
        <v>2</v>
      </c>
      <c r="D2246" s="86">
        <v>0.47615168802680852</v>
      </c>
      <c r="E2246" s="86"/>
      <c r="F2246" s="14"/>
    </row>
    <row r="2247" spans="1:6" x14ac:dyDescent="0.25">
      <c r="A2247" s="86">
        <v>2246</v>
      </c>
      <c r="B2247" s="87">
        <v>49.646928341069724</v>
      </c>
      <c r="C2247" s="14">
        <v>1</v>
      </c>
      <c r="D2247" s="86">
        <v>0.58634541212431357</v>
      </c>
      <c r="E2247" s="86"/>
      <c r="F2247" s="14"/>
    </row>
    <row r="2248" spans="1:6" x14ac:dyDescent="0.25">
      <c r="A2248" s="86">
        <v>2247</v>
      </c>
      <c r="B2248" s="87">
        <v>42.366241354437079</v>
      </c>
      <c r="C2248" s="14">
        <v>4</v>
      </c>
      <c r="D2248" s="86">
        <v>0.17579214770352747</v>
      </c>
      <c r="E2248" s="86"/>
      <c r="F2248" s="14"/>
    </row>
    <row r="2249" spans="1:6" x14ac:dyDescent="0.25">
      <c r="A2249" s="86">
        <v>2248</v>
      </c>
      <c r="B2249" s="87">
        <v>50.10147105564829</v>
      </c>
      <c r="C2249" s="14">
        <v>2</v>
      </c>
      <c r="D2249" s="86">
        <v>0.82722418624759908</v>
      </c>
      <c r="E2249" s="86"/>
      <c r="F2249" s="14"/>
    </row>
    <row r="2250" spans="1:6" x14ac:dyDescent="0.25">
      <c r="A2250" s="86">
        <v>2249</v>
      </c>
      <c r="B2250" s="87">
        <v>40.962322595412843</v>
      </c>
      <c r="C2250" s="14">
        <v>5</v>
      </c>
      <c r="D2250" s="86">
        <v>0.1636878628613655</v>
      </c>
      <c r="E2250" s="86"/>
      <c r="F2250" s="14"/>
    </row>
    <row r="2251" spans="1:6" x14ac:dyDescent="0.25">
      <c r="A2251" s="86">
        <v>2250</v>
      </c>
      <c r="B2251" s="87">
        <v>45.411468358332058</v>
      </c>
      <c r="C2251" s="14">
        <v>2</v>
      </c>
      <c r="D2251" s="86">
        <v>0.57659964495684823</v>
      </c>
      <c r="E2251" s="86"/>
      <c r="F2251" s="14"/>
    </row>
    <row r="2252" spans="1:6" x14ac:dyDescent="0.25">
      <c r="A2252" s="86">
        <v>2251</v>
      </c>
      <c r="B2252" s="87">
        <v>29.839247867465019</v>
      </c>
      <c r="C2252" s="14">
        <v>5</v>
      </c>
      <c r="D2252" s="86">
        <v>0.38185754250966053</v>
      </c>
      <c r="E2252" s="86"/>
      <c r="F2252" s="14"/>
    </row>
    <row r="2253" spans="1:6" x14ac:dyDescent="0.25">
      <c r="A2253" s="86">
        <v>2252</v>
      </c>
      <c r="B2253" s="87">
        <v>33.748574418830685</v>
      </c>
      <c r="C2253" s="14">
        <v>2</v>
      </c>
      <c r="D2253" s="86">
        <v>0.37871599527299893</v>
      </c>
      <c r="E2253" s="86"/>
      <c r="F2253" s="14"/>
    </row>
    <row r="2254" spans="1:6" x14ac:dyDescent="0.25">
      <c r="A2254" s="86">
        <v>2253</v>
      </c>
      <c r="B2254" s="87">
        <v>41.671631828983664</v>
      </c>
      <c r="C2254" s="14">
        <v>5</v>
      </c>
      <c r="D2254" s="86">
        <v>0.96838202596389134</v>
      </c>
      <c r="E2254" s="86"/>
      <c r="F2254" s="14"/>
    </row>
    <row r="2255" spans="1:6" x14ac:dyDescent="0.25">
      <c r="A2255" s="86">
        <v>2254</v>
      </c>
      <c r="B2255" s="87">
        <v>39.78683479942265</v>
      </c>
      <c r="C2255" s="14">
        <v>4</v>
      </c>
      <c r="D2255" s="86">
        <v>0.37444106275811984</v>
      </c>
      <c r="E2255" s="86"/>
      <c r="F2255" s="14"/>
    </row>
    <row r="2256" spans="1:6" x14ac:dyDescent="0.25">
      <c r="A2256" s="86">
        <v>2255</v>
      </c>
      <c r="B2256" s="87">
        <v>41.977204995753709</v>
      </c>
      <c r="C2256" s="14">
        <v>2</v>
      </c>
      <c r="D2256" s="86">
        <v>0.23686049363368</v>
      </c>
      <c r="E2256" s="86"/>
      <c r="F2256" s="14"/>
    </row>
    <row r="2257" spans="1:6" x14ac:dyDescent="0.25">
      <c r="A2257" s="86">
        <v>2256</v>
      </c>
      <c r="B2257" s="87">
        <v>40.82101554046676</v>
      </c>
      <c r="C2257" s="14">
        <v>5</v>
      </c>
      <c r="D2257" s="86">
        <v>0.33542634060607546</v>
      </c>
      <c r="E2257" s="86"/>
      <c r="F2257" s="14"/>
    </row>
    <row r="2258" spans="1:6" x14ac:dyDescent="0.25">
      <c r="A2258" s="86">
        <v>2257</v>
      </c>
      <c r="B2258" s="87">
        <v>53.096391633851454</v>
      </c>
      <c r="C2258" s="14">
        <v>5</v>
      </c>
      <c r="D2258" s="86">
        <v>0.73386515622737802</v>
      </c>
      <c r="E2258" s="86"/>
      <c r="F2258" s="14"/>
    </row>
    <row r="2259" spans="1:6" x14ac:dyDescent="0.25">
      <c r="A2259" s="86">
        <v>2258</v>
      </c>
      <c r="B2259" s="87">
        <v>46.123858505205135</v>
      </c>
      <c r="C2259" s="14">
        <v>5</v>
      </c>
      <c r="D2259" s="86">
        <v>0.85754203043349142</v>
      </c>
      <c r="E2259" s="86"/>
      <c r="F2259" s="14"/>
    </row>
    <row r="2260" spans="1:6" x14ac:dyDescent="0.25">
      <c r="A2260" s="86">
        <v>2259</v>
      </c>
      <c r="B2260" s="87">
        <v>40.82311874696461</v>
      </c>
      <c r="C2260" s="14">
        <v>2</v>
      </c>
      <c r="D2260" s="86">
        <v>0.44885922278496804</v>
      </c>
      <c r="E2260" s="86"/>
      <c r="F2260" s="14"/>
    </row>
    <row r="2261" spans="1:6" x14ac:dyDescent="0.25">
      <c r="A2261" s="86">
        <v>2260</v>
      </c>
      <c r="B2261" s="87">
        <v>44.091638068828615</v>
      </c>
      <c r="C2261" s="14">
        <v>2</v>
      </c>
      <c r="D2261" s="86">
        <v>0.36584205205229936</v>
      </c>
      <c r="E2261" s="86"/>
      <c r="F2261" s="14"/>
    </row>
    <row r="2262" spans="1:6" x14ac:dyDescent="0.25">
      <c r="A2262" s="86">
        <v>2261</v>
      </c>
      <c r="B2262" s="87">
        <v>39.65882342014811</v>
      </c>
      <c r="C2262" s="14">
        <v>2</v>
      </c>
      <c r="D2262" s="86">
        <v>0.14908775915091499</v>
      </c>
      <c r="E2262" s="86"/>
      <c r="F2262" s="14"/>
    </row>
    <row r="2263" spans="1:6" x14ac:dyDescent="0.25">
      <c r="A2263" s="86">
        <v>2262</v>
      </c>
      <c r="B2263" s="87">
        <v>46.286868377472274</v>
      </c>
      <c r="C2263" s="14">
        <v>2</v>
      </c>
      <c r="D2263" s="86">
        <v>6.3596888739767654E-2</v>
      </c>
      <c r="E2263" s="86"/>
      <c r="F2263" s="14"/>
    </row>
    <row r="2264" spans="1:6" x14ac:dyDescent="0.25">
      <c r="A2264" s="86">
        <v>2263</v>
      </c>
      <c r="B2264" s="87">
        <v>51.91495801624842</v>
      </c>
      <c r="C2264" s="14">
        <v>2</v>
      </c>
      <c r="D2264" s="86">
        <v>0.48944397583211252</v>
      </c>
      <c r="E2264" s="86"/>
      <c r="F2264" s="14"/>
    </row>
    <row r="2265" spans="1:6" x14ac:dyDescent="0.25">
      <c r="A2265" s="86">
        <v>2264</v>
      </c>
      <c r="B2265" s="87">
        <v>39.30807678840938</v>
      </c>
      <c r="C2265" s="14">
        <v>2</v>
      </c>
      <c r="D2265" s="86">
        <v>0.47056864787550723</v>
      </c>
      <c r="E2265" s="86"/>
      <c r="F2265" s="14"/>
    </row>
    <row r="2266" spans="1:6" x14ac:dyDescent="0.25">
      <c r="A2266" s="86">
        <v>2265</v>
      </c>
      <c r="B2266" s="87">
        <v>37.460335983603727</v>
      </c>
      <c r="C2266" s="14">
        <v>2</v>
      </c>
      <c r="D2266" s="86">
        <v>0.93334883203814001</v>
      </c>
      <c r="E2266" s="86"/>
      <c r="F2266" s="14"/>
    </row>
    <row r="2267" spans="1:6" x14ac:dyDescent="0.25">
      <c r="A2267" s="86">
        <v>2266</v>
      </c>
      <c r="B2267" s="87">
        <v>41.571507831002236</v>
      </c>
      <c r="C2267" s="14">
        <v>5</v>
      </c>
      <c r="D2267" s="86">
        <v>0.92514858758431595</v>
      </c>
      <c r="E2267" s="86"/>
      <c r="F2267" s="14"/>
    </row>
    <row r="2268" spans="1:6" x14ac:dyDescent="0.25">
      <c r="A2268" s="86">
        <v>2267</v>
      </c>
      <c r="B2268" s="87">
        <v>53.38274604070466</v>
      </c>
      <c r="C2268" s="14">
        <v>4</v>
      </c>
      <c r="D2268" s="86">
        <v>0.96085781678333149</v>
      </c>
      <c r="E2268" s="86"/>
      <c r="F2268" s="14"/>
    </row>
    <row r="2269" spans="1:6" x14ac:dyDescent="0.25">
      <c r="A2269" s="86">
        <v>2268</v>
      </c>
      <c r="B2269" s="87">
        <v>49.108666639192961</v>
      </c>
      <c r="C2269" s="14">
        <v>2</v>
      </c>
      <c r="D2269" s="86">
        <v>0.7258617049717313</v>
      </c>
      <c r="E2269" s="86"/>
      <c r="F2269" s="14"/>
    </row>
    <row r="2270" spans="1:6" x14ac:dyDescent="0.25">
      <c r="A2270" s="86">
        <v>2269</v>
      </c>
      <c r="B2270" s="87">
        <v>41.0079564920743</v>
      </c>
      <c r="C2270" s="14">
        <v>2</v>
      </c>
      <c r="D2270" s="86">
        <v>0.81016011753293238</v>
      </c>
      <c r="E2270" s="86"/>
      <c r="F2270" s="14"/>
    </row>
    <row r="2271" spans="1:6" x14ac:dyDescent="0.25">
      <c r="A2271" s="86">
        <v>2270</v>
      </c>
      <c r="B2271" s="87">
        <v>38.788948581321165</v>
      </c>
      <c r="C2271" s="14">
        <v>4</v>
      </c>
      <c r="D2271" s="86">
        <v>0.47927510856555522</v>
      </c>
      <c r="E2271" s="86"/>
      <c r="F2271" s="14"/>
    </row>
    <row r="2272" spans="1:6" x14ac:dyDescent="0.25">
      <c r="A2272" s="86">
        <v>2271</v>
      </c>
      <c r="B2272" s="87">
        <v>38.372309058438987</v>
      </c>
      <c r="C2272" s="14">
        <v>2</v>
      </c>
      <c r="D2272" s="86">
        <v>0.27284269602538447</v>
      </c>
      <c r="E2272" s="86"/>
      <c r="F2272" s="14"/>
    </row>
    <row r="2273" spans="1:6" x14ac:dyDescent="0.25">
      <c r="A2273" s="86">
        <v>2272</v>
      </c>
      <c r="B2273" s="87">
        <v>42.859034005567082</v>
      </c>
      <c r="C2273" s="14">
        <v>5</v>
      </c>
      <c r="D2273" s="86">
        <v>0.87649751516241081</v>
      </c>
      <c r="E2273" s="86"/>
      <c r="F2273" s="14"/>
    </row>
    <row r="2274" spans="1:6" x14ac:dyDescent="0.25">
      <c r="A2274" s="86">
        <v>2273</v>
      </c>
      <c r="B2274" s="87">
        <v>45.866636350518093</v>
      </c>
      <c r="C2274" s="14">
        <v>1</v>
      </c>
      <c r="D2274" s="86">
        <v>0.20064665984765795</v>
      </c>
      <c r="E2274" s="86"/>
      <c r="F2274" s="14"/>
    </row>
    <row r="2275" spans="1:6" x14ac:dyDescent="0.25">
      <c r="A2275" s="86">
        <v>2274</v>
      </c>
      <c r="B2275" s="87">
        <v>41.261392875065212</v>
      </c>
      <c r="C2275" s="14">
        <v>4</v>
      </c>
      <c r="D2275" s="86">
        <v>0.76708208965142854</v>
      </c>
      <c r="E2275" s="86"/>
      <c r="F2275" s="14"/>
    </row>
    <row r="2276" spans="1:6" x14ac:dyDescent="0.25">
      <c r="A2276" s="86">
        <v>2275</v>
      </c>
      <c r="B2276" s="87">
        <v>42.682125917388476</v>
      </c>
      <c r="C2276" s="14">
        <v>5</v>
      </c>
      <c r="D2276" s="86">
        <v>0.56842815609806607</v>
      </c>
      <c r="E2276" s="86"/>
      <c r="F2276" s="14"/>
    </row>
    <row r="2277" spans="1:6" x14ac:dyDescent="0.25">
      <c r="A2277" s="86">
        <v>2276</v>
      </c>
      <c r="B2277" s="87">
        <v>41.024509295646567</v>
      </c>
      <c r="C2277" s="14">
        <v>5</v>
      </c>
      <c r="D2277" s="86">
        <v>0.53894934348062062</v>
      </c>
      <c r="E2277" s="86"/>
      <c r="F2277" s="14"/>
    </row>
    <row r="2278" spans="1:6" x14ac:dyDescent="0.25">
      <c r="A2278" s="86">
        <v>2277</v>
      </c>
      <c r="B2278" s="87">
        <v>43.476734385301825</v>
      </c>
      <c r="C2278" s="14">
        <v>5</v>
      </c>
      <c r="D2278" s="86">
        <v>0.86332558118918046</v>
      </c>
      <c r="E2278" s="86"/>
      <c r="F2278" s="14"/>
    </row>
    <row r="2279" spans="1:6" x14ac:dyDescent="0.25">
      <c r="A2279" s="86">
        <v>2278</v>
      </c>
      <c r="B2279" s="87">
        <v>47.04062348025036</v>
      </c>
      <c r="C2279" s="14">
        <v>5</v>
      </c>
      <c r="D2279" s="86">
        <v>0.81904626723622409</v>
      </c>
      <c r="E2279" s="86"/>
      <c r="F2279" s="14"/>
    </row>
    <row r="2280" spans="1:6" x14ac:dyDescent="0.25">
      <c r="A2280" s="86">
        <v>2279</v>
      </c>
      <c r="B2280" s="87">
        <v>40.499628534569638</v>
      </c>
      <c r="C2280" s="14">
        <v>4</v>
      </c>
      <c r="D2280" s="86">
        <v>6.9243951868672826E-2</v>
      </c>
      <c r="E2280" s="86"/>
      <c r="F2280" s="14"/>
    </row>
    <row r="2281" spans="1:6" x14ac:dyDescent="0.25">
      <c r="A2281" s="86">
        <v>2280</v>
      </c>
      <c r="B2281" s="87">
        <v>37.939309999608668</v>
      </c>
      <c r="C2281" s="14">
        <v>2</v>
      </c>
      <c r="D2281" s="86">
        <v>0.66694388540801208</v>
      </c>
      <c r="E2281" s="86"/>
      <c r="F2281" s="14"/>
    </row>
    <row r="2282" spans="1:6" x14ac:dyDescent="0.25">
      <c r="A2282" s="86">
        <v>2281</v>
      </c>
      <c r="B2282" s="87">
        <v>39.23838675688603</v>
      </c>
      <c r="C2282" s="14">
        <v>5</v>
      </c>
      <c r="D2282" s="86">
        <v>0.80386991977820255</v>
      </c>
      <c r="E2282" s="86"/>
      <c r="F2282" s="14"/>
    </row>
    <row r="2283" spans="1:6" x14ac:dyDescent="0.25">
      <c r="A2283" s="86">
        <v>2282</v>
      </c>
      <c r="B2283" s="87">
        <v>39.337146512814797</v>
      </c>
      <c r="C2283" s="14">
        <v>1</v>
      </c>
      <c r="D2283" s="86">
        <v>7.6992617029435384E-2</v>
      </c>
      <c r="E2283" s="86"/>
      <c r="F2283" s="14"/>
    </row>
    <row r="2284" spans="1:6" x14ac:dyDescent="0.25">
      <c r="A2284" s="86">
        <v>2283</v>
      </c>
      <c r="B2284" s="87">
        <v>49.624782145081554</v>
      </c>
      <c r="C2284" s="14">
        <v>4</v>
      </c>
      <c r="D2284" s="86">
        <v>0.44141041202548736</v>
      </c>
      <c r="E2284" s="86"/>
      <c r="F2284" s="14"/>
    </row>
    <row r="2285" spans="1:6" x14ac:dyDescent="0.25">
      <c r="A2285" s="86">
        <v>2284</v>
      </c>
      <c r="B2285" s="87">
        <v>39.950646163895726</v>
      </c>
      <c r="C2285" s="14">
        <v>2</v>
      </c>
      <c r="D2285" s="86">
        <v>0.77061344296493728</v>
      </c>
      <c r="E2285" s="86"/>
      <c r="F2285" s="14"/>
    </row>
    <row r="2286" spans="1:6" x14ac:dyDescent="0.25">
      <c r="A2286" s="86">
        <v>2285</v>
      </c>
      <c r="B2286" s="87">
        <v>36.577694112900645</v>
      </c>
      <c r="C2286" s="14">
        <v>2</v>
      </c>
      <c r="D2286" s="86">
        <v>0.49495005421850435</v>
      </c>
      <c r="E2286" s="86"/>
      <c r="F2286" s="14"/>
    </row>
    <row r="2287" spans="1:6" x14ac:dyDescent="0.25">
      <c r="A2287" s="86">
        <v>2286</v>
      </c>
      <c r="B2287" s="87">
        <v>36.23365500458749</v>
      </c>
      <c r="C2287" s="14">
        <v>4</v>
      </c>
      <c r="D2287" s="86">
        <v>0.93221044385341123</v>
      </c>
      <c r="E2287" s="86"/>
      <c r="F2287" s="14"/>
    </row>
    <row r="2288" spans="1:6" x14ac:dyDescent="0.25">
      <c r="A2288" s="86">
        <v>2287</v>
      </c>
      <c r="B2288" s="87">
        <v>43.058713567341329</v>
      </c>
      <c r="C2288" s="14">
        <v>2</v>
      </c>
      <c r="D2288" s="86">
        <v>0.72571870969000041</v>
      </c>
      <c r="E2288" s="86"/>
      <c r="F2288" s="14"/>
    </row>
    <row r="2289" spans="1:6" x14ac:dyDescent="0.25">
      <c r="A2289" s="86">
        <v>2288</v>
      </c>
      <c r="B2289" s="87">
        <v>38.713210410031024</v>
      </c>
      <c r="C2289" s="14">
        <v>4</v>
      </c>
      <c r="D2289" s="86">
        <v>0.23017574521920869</v>
      </c>
      <c r="E2289" s="86"/>
      <c r="F2289" s="14"/>
    </row>
    <row r="2290" spans="1:6" x14ac:dyDescent="0.25">
      <c r="A2290" s="86">
        <v>2289</v>
      </c>
      <c r="B2290" s="87">
        <v>43.469049155071843</v>
      </c>
      <c r="C2290" s="14">
        <v>1</v>
      </c>
      <c r="D2290" s="86">
        <v>0.44006994995386406</v>
      </c>
      <c r="E2290" s="86"/>
      <c r="F2290" s="14"/>
    </row>
    <row r="2291" spans="1:6" x14ac:dyDescent="0.25">
      <c r="A2291" s="86">
        <v>2290</v>
      </c>
      <c r="B2291" s="87">
        <v>35.010157257027458</v>
      </c>
      <c r="C2291" s="14">
        <v>4</v>
      </c>
      <c r="D2291" s="86">
        <v>0.46042135051088651</v>
      </c>
      <c r="E2291" s="86"/>
      <c r="F2291" s="14"/>
    </row>
    <row r="2292" spans="1:6" x14ac:dyDescent="0.25">
      <c r="A2292" s="86">
        <v>2291</v>
      </c>
      <c r="B2292" s="87">
        <v>31.954095897497609</v>
      </c>
      <c r="C2292" s="14">
        <v>2</v>
      </c>
      <c r="D2292" s="86">
        <v>0.86371656468273028</v>
      </c>
      <c r="E2292" s="86"/>
      <c r="F2292" s="14"/>
    </row>
    <row r="2293" spans="1:6" x14ac:dyDescent="0.25">
      <c r="A2293" s="86">
        <v>2292</v>
      </c>
      <c r="B2293" s="87">
        <v>45.376299335082876</v>
      </c>
      <c r="C2293" s="14">
        <v>1</v>
      </c>
      <c r="D2293" s="86">
        <v>0.86038030628794804</v>
      </c>
      <c r="E2293" s="86"/>
      <c r="F2293" s="14"/>
    </row>
    <row r="2294" spans="1:6" x14ac:dyDescent="0.25">
      <c r="A2294" s="86">
        <v>2293</v>
      </c>
      <c r="B2294" s="87">
        <v>40.412999164225766</v>
      </c>
      <c r="C2294" s="14">
        <v>2</v>
      </c>
      <c r="D2294" s="86">
        <v>0.85504020755903365</v>
      </c>
      <c r="E2294" s="86"/>
      <c r="F2294" s="14"/>
    </row>
    <row r="2295" spans="1:6" x14ac:dyDescent="0.25">
      <c r="A2295" s="86">
        <v>2294</v>
      </c>
      <c r="B2295" s="87">
        <v>40.060933765169466</v>
      </c>
      <c r="C2295" s="14">
        <v>4</v>
      </c>
      <c r="D2295" s="86">
        <v>0.80708260637552576</v>
      </c>
      <c r="E2295" s="86"/>
      <c r="F2295" s="14"/>
    </row>
    <row r="2296" spans="1:6" x14ac:dyDescent="0.25">
      <c r="A2296" s="86">
        <v>2295</v>
      </c>
      <c r="B2296" s="87">
        <v>38.724806467478629</v>
      </c>
      <c r="C2296" s="14">
        <v>2</v>
      </c>
      <c r="D2296" s="86">
        <v>0.55039512842027571</v>
      </c>
      <c r="E2296" s="86"/>
      <c r="F2296" s="14"/>
    </row>
    <row r="2297" spans="1:6" x14ac:dyDescent="0.25">
      <c r="A2297" s="86">
        <v>2296</v>
      </c>
      <c r="B2297" s="87">
        <v>41.106540033404599</v>
      </c>
      <c r="C2297" s="14">
        <v>2</v>
      </c>
      <c r="D2297" s="86">
        <v>0.7762027833384485</v>
      </c>
      <c r="E2297" s="86"/>
      <c r="F2297" s="14"/>
    </row>
    <row r="2298" spans="1:6" x14ac:dyDescent="0.25">
      <c r="A2298" s="86">
        <v>2297</v>
      </c>
      <c r="B2298" s="87">
        <v>40.571757148762117</v>
      </c>
      <c r="C2298" s="14">
        <v>2</v>
      </c>
      <c r="D2298" s="86">
        <v>7.4927962643280499E-2</v>
      </c>
      <c r="E2298" s="86"/>
      <c r="F2298" s="14"/>
    </row>
    <row r="2299" spans="1:6" x14ac:dyDescent="0.25">
      <c r="A2299" s="86">
        <v>2298</v>
      </c>
      <c r="B2299" s="87">
        <v>38.069106262235437</v>
      </c>
      <c r="C2299" s="14">
        <v>5</v>
      </c>
      <c r="D2299" s="86">
        <v>0.75024338948861446</v>
      </c>
      <c r="E2299" s="86"/>
      <c r="F2299" s="14"/>
    </row>
    <row r="2300" spans="1:6" x14ac:dyDescent="0.25">
      <c r="A2300" s="86">
        <v>2299</v>
      </c>
      <c r="B2300" s="87">
        <v>48.362267074815463</v>
      </c>
      <c r="C2300" s="14">
        <v>4</v>
      </c>
      <c r="D2300" s="86">
        <v>0.62245036732180226</v>
      </c>
      <c r="E2300" s="86"/>
      <c r="F2300" s="14"/>
    </row>
    <row r="2301" spans="1:6" x14ac:dyDescent="0.25">
      <c r="A2301" s="86">
        <v>2300</v>
      </c>
      <c r="B2301" s="87">
        <v>39.374560851108981</v>
      </c>
      <c r="C2301" s="14">
        <v>5</v>
      </c>
      <c r="D2301" s="86">
        <v>0.42852662024118093</v>
      </c>
      <c r="E2301" s="86"/>
      <c r="F2301" s="14"/>
    </row>
    <row r="2302" spans="1:6" x14ac:dyDescent="0.25">
      <c r="A2302" s="86">
        <v>2301</v>
      </c>
      <c r="B2302" s="87">
        <v>44.867601895355619</v>
      </c>
      <c r="C2302" s="14">
        <v>5</v>
      </c>
      <c r="D2302" s="86">
        <v>0.15660256439377651</v>
      </c>
      <c r="E2302" s="86"/>
      <c r="F2302" s="14"/>
    </row>
    <row r="2303" spans="1:6" x14ac:dyDescent="0.25">
      <c r="A2303" s="86">
        <v>2302</v>
      </c>
      <c r="B2303" s="87">
        <v>42.923693394521251</v>
      </c>
      <c r="C2303" s="14">
        <v>1</v>
      </c>
      <c r="D2303" s="86">
        <v>0.55298618134540667</v>
      </c>
      <c r="E2303" s="86"/>
      <c r="F2303" s="14"/>
    </row>
    <row r="2304" spans="1:6" x14ac:dyDescent="0.25">
      <c r="A2304" s="86">
        <v>2303</v>
      </c>
      <c r="B2304" s="87">
        <v>36.575943335599732</v>
      </c>
      <c r="C2304" s="14">
        <v>1</v>
      </c>
      <c r="D2304" s="86">
        <v>1.0846478197556353E-2</v>
      </c>
      <c r="E2304" s="86"/>
      <c r="F2304" s="14"/>
    </row>
    <row r="2305" spans="1:6" x14ac:dyDescent="0.25">
      <c r="A2305" s="86">
        <v>2304</v>
      </c>
      <c r="B2305" s="87">
        <v>37.549898474360816</v>
      </c>
      <c r="C2305" s="14">
        <v>5</v>
      </c>
      <c r="D2305" s="86">
        <v>3.4341673095358627E-2</v>
      </c>
      <c r="E2305" s="86"/>
      <c r="F2305" s="14"/>
    </row>
    <row r="2306" spans="1:6" x14ac:dyDescent="0.25">
      <c r="A2306" s="86">
        <v>2305</v>
      </c>
      <c r="B2306" s="87">
        <v>34.197137205745094</v>
      </c>
      <c r="C2306" s="14">
        <v>2</v>
      </c>
      <c r="D2306" s="86">
        <v>0.27518381253067759</v>
      </c>
      <c r="E2306" s="86"/>
      <c r="F2306" s="14"/>
    </row>
    <row r="2307" spans="1:6" x14ac:dyDescent="0.25">
      <c r="A2307" s="86">
        <v>2306</v>
      </c>
      <c r="B2307" s="87">
        <v>34.28931449376978</v>
      </c>
      <c r="C2307" s="14">
        <v>5</v>
      </c>
      <c r="D2307" s="86">
        <v>0.1315741585179282</v>
      </c>
      <c r="E2307" s="86"/>
      <c r="F2307" s="14"/>
    </row>
    <row r="2308" spans="1:6" x14ac:dyDescent="0.25">
      <c r="A2308" s="86">
        <v>2307</v>
      </c>
      <c r="B2308" s="87">
        <v>37.888617038668599</v>
      </c>
      <c r="C2308" s="14">
        <v>2</v>
      </c>
      <c r="D2308" s="86">
        <v>0.23026313050847391</v>
      </c>
      <c r="E2308" s="86"/>
      <c r="F2308" s="14"/>
    </row>
    <row r="2309" spans="1:6" x14ac:dyDescent="0.25">
      <c r="A2309" s="86">
        <v>2308</v>
      </c>
      <c r="B2309" s="87">
        <v>39.814062797056977</v>
      </c>
      <c r="C2309" s="14">
        <v>4</v>
      </c>
      <c r="D2309" s="86">
        <v>0.52844613727409362</v>
      </c>
      <c r="E2309" s="86"/>
      <c r="F2309" s="14"/>
    </row>
    <row r="2310" spans="1:6" x14ac:dyDescent="0.25">
      <c r="A2310" s="86">
        <v>2309</v>
      </c>
      <c r="B2310" s="87">
        <v>45.64709569819388</v>
      </c>
      <c r="C2310" s="14">
        <v>5</v>
      </c>
      <c r="D2310" s="86">
        <v>0.52605065821470232</v>
      </c>
      <c r="E2310" s="86"/>
      <c r="F2310" s="14"/>
    </row>
    <row r="2311" spans="1:6" x14ac:dyDescent="0.25">
      <c r="A2311" s="86">
        <v>2310</v>
      </c>
      <c r="B2311" s="87">
        <v>39.943734004162252</v>
      </c>
      <c r="C2311" s="14">
        <v>2</v>
      </c>
      <c r="D2311" s="86">
        <v>0.18385550817910667</v>
      </c>
      <c r="E2311" s="86"/>
      <c r="F2311" s="14"/>
    </row>
    <row r="2312" spans="1:6" x14ac:dyDescent="0.25">
      <c r="A2312" s="86">
        <v>2311</v>
      </c>
      <c r="B2312" s="87">
        <v>48.076037723483751</v>
      </c>
      <c r="C2312" s="14">
        <v>3</v>
      </c>
      <c r="D2312" s="86">
        <v>0.66120119655780318</v>
      </c>
      <c r="E2312" s="86"/>
      <c r="F2312" s="14"/>
    </row>
    <row r="2313" spans="1:6" x14ac:dyDescent="0.25">
      <c r="A2313" s="86">
        <v>2312</v>
      </c>
      <c r="B2313" s="87">
        <v>50.969356374815106</v>
      </c>
      <c r="C2313" s="14">
        <v>4</v>
      </c>
      <c r="D2313" s="86">
        <v>0.33529838892050456</v>
      </c>
      <c r="E2313" s="86"/>
      <c r="F2313" s="14"/>
    </row>
    <row r="2314" spans="1:6" x14ac:dyDescent="0.25">
      <c r="A2314" s="86">
        <v>2313</v>
      </c>
      <c r="B2314" s="87">
        <v>45.347644567635143</v>
      </c>
      <c r="C2314" s="14">
        <v>2</v>
      </c>
      <c r="D2314" s="86">
        <v>0.97746867663157644</v>
      </c>
      <c r="E2314" s="86"/>
      <c r="F2314" s="14"/>
    </row>
    <row r="2315" spans="1:6" x14ac:dyDescent="0.25">
      <c r="A2315" s="86">
        <v>2314</v>
      </c>
      <c r="B2315" s="87">
        <v>41.18030573806027</v>
      </c>
      <c r="C2315" s="14">
        <v>2</v>
      </c>
      <c r="D2315" s="86">
        <v>0.65630231069286404</v>
      </c>
      <c r="E2315" s="86"/>
      <c r="F2315" s="14"/>
    </row>
    <row r="2316" spans="1:6" x14ac:dyDescent="0.25">
      <c r="A2316" s="86">
        <v>2315</v>
      </c>
      <c r="B2316" s="87">
        <v>38.783491613110527</v>
      </c>
      <c r="C2316" s="14">
        <v>4</v>
      </c>
      <c r="D2316" s="86">
        <v>0.83758342671911856</v>
      </c>
      <c r="E2316" s="86"/>
      <c r="F2316" s="14"/>
    </row>
    <row r="2317" spans="1:6" x14ac:dyDescent="0.25">
      <c r="A2317" s="86">
        <v>2316</v>
      </c>
      <c r="B2317" s="87">
        <v>51.872166290530004</v>
      </c>
      <c r="C2317" s="14">
        <v>4</v>
      </c>
      <c r="D2317" s="86">
        <v>0.91429477890537647</v>
      </c>
      <c r="E2317" s="86"/>
      <c r="F2317" s="14"/>
    </row>
    <row r="2318" spans="1:6" x14ac:dyDescent="0.25">
      <c r="A2318" s="86">
        <v>2317</v>
      </c>
      <c r="B2318" s="87">
        <v>44.137124172601034</v>
      </c>
      <c r="C2318" s="14">
        <v>2</v>
      </c>
      <c r="D2318" s="86">
        <v>0.84257762066997766</v>
      </c>
      <c r="E2318" s="86"/>
      <c r="F2318" s="14"/>
    </row>
    <row r="2319" spans="1:6" x14ac:dyDescent="0.25">
      <c r="A2319" s="86">
        <v>2318</v>
      </c>
      <c r="B2319" s="87">
        <v>37.355243870813865</v>
      </c>
      <c r="C2319" s="14">
        <v>2</v>
      </c>
      <c r="D2319" s="86">
        <v>0.42907340505520997</v>
      </c>
      <c r="E2319" s="86"/>
      <c r="F2319" s="14"/>
    </row>
    <row r="2320" spans="1:6" x14ac:dyDescent="0.25">
      <c r="A2320" s="86">
        <v>2319</v>
      </c>
      <c r="B2320" s="87">
        <v>39.344649844104424</v>
      </c>
      <c r="C2320" s="14">
        <v>1</v>
      </c>
      <c r="D2320" s="86">
        <v>0.86504290138328455</v>
      </c>
      <c r="E2320" s="86"/>
      <c r="F2320" s="14"/>
    </row>
    <row r="2321" spans="1:6" x14ac:dyDescent="0.25">
      <c r="A2321" s="86">
        <v>2320</v>
      </c>
      <c r="B2321" s="87">
        <v>40.149581076882896</v>
      </c>
      <c r="C2321" s="14">
        <v>4</v>
      </c>
      <c r="D2321" s="86">
        <v>0.4154002109217213</v>
      </c>
      <c r="E2321" s="86"/>
      <c r="F2321" s="14"/>
    </row>
    <row r="2322" spans="1:6" x14ac:dyDescent="0.25">
      <c r="A2322" s="86">
        <v>2321</v>
      </c>
      <c r="B2322" s="87">
        <v>52.539735401631333</v>
      </c>
      <c r="C2322" s="14">
        <v>4</v>
      </c>
      <c r="D2322" s="86">
        <v>0.99031952868651896</v>
      </c>
      <c r="E2322" s="86"/>
      <c r="F2322" s="14"/>
    </row>
    <row r="2323" spans="1:6" x14ac:dyDescent="0.25">
      <c r="A2323" s="86">
        <v>2322</v>
      </c>
      <c r="B2323" s="87">
        <v>36.697156241978519</v>
      </c>
      <c r="C2323" s="14">
        <v>2</v>
      </c>
      <c r="D2323" s="86">
        <v>0.32357179036410477</v>
      </c>
      <c r="E2323" s="86"/>
      <c r="F2323" s="14"/>
    </row>
    <row r="2324" spans="1:6" x14ac:dyDescent="0.25">
      <c r="A2324" s="86">
        <v>2323</v>
      </c>
      <c r="B2324" s="87">
        <v>42.400540673377691</v>
      </c>
      <c r="C2324" s="14">
        <v>5</v>
      </c>
      <c r="D2324" s="86">
        <v>0.63752860095916286</v>
      </c>
      <c r="E2324" s="86"/>
      <c r="F2324" s="14"/>
    </row>
    <row r="2325" spans="1:6" x14ac:dyDescent="0.25">
      <c r="A2325" s="86">
        <v>2324</v>
      </c>
      <c r="B2325" s="87">
        <v>45.485205641278299</v>
      </c>
      <c r="C2325" s="14">
        <v>2</v>
      </c>
      <c r="D2325" s="86">
        <v>0.46555717843727284</v>
      </c>
      <c r="E2325" s="86"/>
      <c r="F2325" s="14"/>
    </row>
    <row r="2326" spans="1:6" x14ac:dyDescent="0.25">
      <c r="A2326" s="86">
        <v>2325</v>
      </c>
      <c r="B2326" s="87">
        <v>35.756193023524247</v>
      </c>
      <c r="C2326" s="14">
        <v>5</v>
      </c>
      <c r="D2326" s="86">
        <v>0.51244718792494037</v>
      </c>
      <c r="E2326" s="86"/>
      <c r="F2326" s="14"/>
    </row>
    <row r="2327" spans="1:6" x14ac:dyDescent="0.25">
      <c r="A2327" s="86">
        <v>2326</v>
      </c>
      <c r="B2327" s="87">
        <v>40.152730202287785</v>
      </c>
      <c r="C2327" s="14">
        <v>3</v>
      </c>
      <c r="D2327" s="86">
        <v>0.62097208758889544</v>
      </c>
      <c r="E2327" s="86"/>
      <c r="F2327" s="14"/>
    </row>
    <row r="2328" spans="1:6" x14ac:dyDescent="0.25">
      <c r="A2328" s="86">
        <v>2327</v>
      </c>
      <c r="B2328" s="87">
        <v>36.82628175226273</v>
      </c>
      <c r="C2328" s="14">
        <v>2</v>
      </c>
      <c r="D2328" s="86">
        <v>0.48764247221440116</v>
      </c>
      <c r="E2328" s="86"/>
      <c r="F2328" s="14"/>
    </row>
    <row r="2329" spans="1:6" x14ac:dyDescent="0.25">
      <c r="A2329" s="86">
        <v>2328</v>
      </c>
      <c r="B2329" s="87">
        <v>37.854965734703001</v>
      </c>
      <c r="C2329" s="14">
        <v>4</v>
      </c>
      <c r="D2329" s="86">
        <v>0.42952499236155617</v>
      </c>
      <c r="E2329" s="86"/>
      <c r="F2329" s="14"/>
    </row>
    <row r="2330" spans="1:6" x14ac:dyDescent="0.25">
      <c r="A2330" s="86">
        <v>2329</v>
      </c>
      <c r="B2330" s="87">
        <v>40.712825461348984</v>
      </c>
      <c r="C2330" s="14">
        <v>4</v>
      </c>
      <c r="D2330" s="86">
        <v>0.54325472374821893</v>
      </c>
      <c r="E2330" s="86"/>
      <c r="F2330" s="14"/>
    </row>
    <row r="2331" spans="1:6" x14ac:dyDescent="0.25">
      <c r="A2331" s="86">
        <v>2330</v>
      </c>
      <c r="B2331" s="87">
        <v>48.427295945992228</v>
      </c>
      <c r="C2331" s="14">
        <v>2</v>
      </c>
      <c r="D2331" s="86">
        <v>0.68152243213557939</v>
      </c>
      <c r="E2331" s="86"/>
      <c r="F2331" s="14"/>
    </row>
    <row r="2332" spans="1:6" x14ac:dyDescent="0.25">
      <c r="A2332" s="86">
        <v>2331</v>
      </c>
      <c r="B2332" s="87">
        <v>45.816284450091189</v>
      </c>
      <c r="C2332" s="14">
        <v>2</v>
      </c>
      <c r="D2332" s="86">
        <v>0.80065176012413553</v>
      </c>
      <c r="E2332" s="86"/>
      <c r="F2332" s="14"/>
    </row>
    <row r="2333" spans="1:6" x14ac:dyDescent="0.25">
      <c r="A2333" s="86">
        <v>2332</v>
      </c>
      <c r="B2333" s="87">
        <v>41.596990735677537</v>
      </c>
      <c r="C2333" s="14">
        <v>4</v>
      </c>
      <c r="D2333" s="86">
        <v>0.90412873193183263</v>
      </c>
      <c r="E2333" s="86"/>
      <c r="F2333" s="14"/>
    </row>
    <row r="2334" spans="1:6" x14ac:dyDescent="0.25">
      <c r="A2334" s="86">
        <v>2333</v>
      </c>
      <c r="B2334" s="87">
        <v>40.132465523463907</v>
      </c>
      <c r="C2334" s="14">
        <v>2</v>
      </c>
      <c r="D2334" s="86">
        <v>0.43465987289513819</v>
      </c>
      <c r="E2334" s="86"/>
      <c r="F2334" s="14"/>
    </row>
    <row r="2335" spans="1:6" x14ac:dyDescent="0.25">
      <c r="A2335" s="86">
        <v>2334</v>
      </c>
      <c r="B2335" s="87">
        <v>42.674076889277785</v>
      </c>
      <c r="C2335" s="14">
        <v>4</v>
      </c>
      <c r="D2335" s="86">
        <v>8.5458756622376342E-3</v>
      </c>
      <c r="E2335" s="86"/>
      <c r="F2335" s="14"/>
    </row>
    <row r="2336" spans="1:6" x14ac:dyDescent="0.25">
      <c r="A2336" s="86">
        <v>2335</v>
      </c>
      <c r="B2336" s="87">
        <v>48.670142400049372</v>
      </c>
      <c r="C2336" s="14">
        <v>4</v>
      </c>
      <c r="D2336" s="86">
        <v>0.2244817623831955</v>
      </c>
      <c r="E2336" s="86"/>
      <c r="F2336" s="14"/>
    </row>
    <row r="2337" spans="1:6" x14ac:dyDescent="0.25">
      <c r="A2337" s="86">
        <v>2336</v>
      </c>
      <c r="B2337" s="87">
        <v>43.151300127981813</v>
      </c>
      <c r="C2337" s="14">
        <v>2</v>
      </c>
      <c r="D2337" s="86">
        <v>0.77251795946475632</v>
      </c>
      <c r="E2337" s="86"/>
      <c r="F2337" s="14"/>
    </row>
    <row r="2338" spans="1:6" x14ac:dyDescent="0.25">
      <c r="A2338" s="86">
        <v>2337</v>
      </c>
      <c r="B2338" s="87">
        <v>41.2084716521058</v>
      </c>
      <c r="C2338" s="14">
        <v>2</v>
      </c>
      <c r="D2338" s="86">
        <v>0.68586745544072214</v>
      </c>
      <c r="E2338" s="86"/>
      <c r="F2338" s="14"/>
    </row>
    <row r="2339" spans="1:6" x14ac:dyDescent="0.25">
      <c r="A2339" s="86">
        <v>2338</v>
      </c>
      <c r="B2339" s="87">
        <v>38.800931174017023</v>
      </c>
      <c r="C2339" s="14">
        <v>2</v>
      </c>
      <c r="D2339" s="86">
        <v>0.11616724110776244</v>
      </c>
      <c r="E2339" s="86"/>
      <c r="F2339" s="14"/>
    </row>
    <row r="2340" spans="1:6" x14ac:dyDescent="0.25">
      <c r="A2340" s="86">
        <v>2339</v>
      </c>
      <c r="B2340" s="87">
        <v>51.095844350464176</v>
      </c>
      <c r="C2340" s="14">
        <v>2</v>
      </c>
      <c r="D2340" s="86">
        <v>2.1106037544841749E-2</v>
      </c>
      <c r="E2340" s="86"/>
      <c r="F2340" s="14"/>
    </row>
    <row r="2341" spans="1:6" x14ac:dyDescent="0.25">
      <c r="A2341" s="86">
        <v>2340</v>
      </c>
      <c r="B2341" s="87">
        <v>37.563734162511537</v>
      </c>
      <c r="C2341" s="14">
        <v>4</v>
      </c>
      <c r="D2341" s="86">
        <v>0.46263803193208286</v>
      </c>
      <c r="E2341" s="86"/>
      <c r="F2341" s="14"/>
    </row>
    <row r="2342" spans="1:6" x14ac:dyDescent="0.25">
      <c r="A2342" s="86">
        <v>2341</v>
      </c>
      <c r="B2342" s="87">
        <v>35.348034538736101</v>
      </c>
      <c r="C2342" s="14">
        <v>5</v>
      </c>
      <c r="D2342" s="86">
        <v>0.36866287814540422</v>
      </c>
      <c r="E2342" s="86"/>
      <c r="F2342" s="14"/>
    </row>
    <row r="2343" spans="1:6" x14ac:dyDescent="0.25">
      <c r="A2343" s="86">
        <v>2342</v>
      </c>
      <c r="B2343" s="87">
        <v>49.954587661311962</v>
      </c>
      <c r="C2343" s="14">
        <v>5</v>
      </c>
      <c r="D2343" s="86">
        <v>0.21893801534026724</v>
      </c>
      <c r="E2343" s="86"/>
      <c r="F2343" s="14"/>
    </row>
    <row r="2344" spans="1:6" x14ac:dyDescent="0.25">
      <c r="A2344" s="86">
        <v>2343</v>
      </c>
      <c r="B2344" s="87">
        <v>44.270609573111869</v>
      </c>
      <c r="C2344" s="14">
        <v>4</v>
      </c>
      <c r="D2344" s="86">
        <v>0.71340264298876899</v>
      </c>
      <c r="E2344" s="86"/>
      <c r="F2344" s="14"/>
    </row>
    <row r="2345" spans="1:6" x14ac:dyDescent="0.25">
      <c r="A2345" s="86">
        <v>2344</v>
      </c>
      <c r="B2345" s="87">
        <v>49.853383638372179</v>
      </c>
      <c r="C2345" s="14">
        <v>3</v>
      </c>
      <c r="D2345" s="86">
        <v>0.70327088612145061</v>
      </c>
      <c r="E2345" s="86"/>
      <c r="F2345" s="14"/>
    </row>
    <row r="2346" spans="1:6" x14ac:dyDescent="0.25">
      <c r="A2346" s="86">
        <v>2345</v>
      </c>
      <c r="B2346" s="87">
        <v>35.880657373461872</v>
      </c>
      <c r="C2346" s="14">
        <v>4</v>
      </c>
      <c r="D2346" s="86">
        <v>0.18717584425544764</v>
      </c>
      <c r="E2346" s="86"/>
      <c r="F2346" s="14"/>
    </row>
    <row r="2347" spans="1:6" x14ac:dyDescent="0.25">
      <c r="A2347" s="86">
        <v>2346</v>
      </c>
      <c r="B2347" s="87">
        <v>38.779126038542017</v>
      </c>
      <c r="C2347" s="14">
        <v>5</v>
      </c>
      <c r="D2347" s="86">
        <v>8.5212760874367133E-2</v>
      </c>
      <c r="E2347" s="86"/>
      <c r="F2347" s="14"/>
    </row>
    <row r="2348" spans="1:6" x14ac:dyDescent="0.25">
      <c r="A2348" s="86">
        <v>2347</v>
      </c>
      <c r="B2348" s="87">
        <v>45.954539013444446</v>
      </c>
      <c r="C2348" s="14">
        <v>4</v>
      </c>
      <c r="D2348" s="86">
        <v>0.23332868244425942</v>
      </c>
      <c r="E2348" s="86"/>
      <c r="F2348" s="14"/>
    </row>
    <row r="2349" spans="1:6" x14ac:dyDescent="0.25">
      <c r="A2349" s="86">
        <v>2348</v>
      </c>
      <c r="B2349" s="87">
        <v>47.751200322061777</v>
      </c>
      <c r="C2349" s="14">
        <v>2</v>
      </c>
      <c r="D2349" s="86">
        <v>0.96034326996524333</v>
      </c>
      <c r="E2349" s="86"/>
      <c r="F2349" s="14"/>
    </row>
    <row r="2350" spans="1:6" x14ac:dyDescent="0.25">
      <c r="A2350" s="86">
        <v>2349</v>
      </c>
      <c r="B2350" s="87">
        <v>50.989842742972542</v>
      </c>
      <c r="C2350" s="14">
        <v>4</v>
      </c>
      <c r="D2350" s="86">
        <v>0.84864634980131659</v>
      </c>
      <c r="E2350" s="86"/>
      <c r="F2350" s="14"/>
    </row>
    <row r="2351" spans="1:6" x14ac:dyDescent="0.25">
      <c r="A2351" s="86">
        <v>2350</v>
      </c>
      <c r="B2351" s="87">
        <v>41.7278101798438</v>
      </c>
      <c r="C2351" s="14">
        <v>5</v>
      </c>
      <c r="D2351" s="86">
        <v>0.9344782507657764</v>
      </c>
      <c r="E2351" s="86"/>
      <c r="F2351" s="14"/>
    </row>
    <row r="2352" spans="1:6" x14ac:dyDescent="0.25">
      <c r="A2352" s="86">
        <v>2351</v>
      </c>
      <c r="B2352" s="87">
        <v>47.341177373134997</v>
      </c>
      <c r="C2352" s="14">
        <v>4</v>
      </c>
      <c r="D2352" s="86">
        <v>0.99032971100550493</v>
      </c>
      <c r="E2352" s="86"/>
      <c r="F2352" s="14"/>
    </row>
    <row r="2353" spans="1:6" x14ac:dyDescent="0.25">
      <c r="A2353" s="86">
        <v>2352</v>
      </c>
      <c r="B2353" s="87">
        <v>39.330143403611146</v>
      </c>
      <c r="C2353" s="14">
        <v>4</v>
      </c>
      <c r="D2353" s="86">
        <v>3.3177460715762219E-2</v>
      </c>
      <c r="E2353" s="86"/>
      <c r="F2353" s="14"/>
    </row>
    <row r="2354" spans="1:6" x14ac:dyDescent="0.25">
      <c r="A2354" s="86">
        <v>2353</v>
      </c>
      <c r="B2354" s="87">
        <v>44.651505954214372</v>
      </c>
      <c r="C2354" s="14">
        <v>5</v>
      </c>
      <c r="D2354" s="86">
        <v>0.27368365193444044</v>
      </c>
      <c r="E2354" s="86"/>
      <c r="F2354" s="14"/>
    </row>
    <row r="2355" spans="1:6" x14ac:dyDescent="0.25">
      <c r="A2355" s="86">
        <v>2354</v>
      </c>
      <c r="B2355" s="87">
        <v>36.180722412944306</v>
      </c>
      <c r="C2355" s="14">
        <v>4</v>
      </c>
      <c r="D2355" s="86">
        <v>0.20064798278682938</v>
      </c>
      <c r="E2355" s="86"/>
      <c r="F2355" s="14"/>
    </row>
    <row r="2356" spans="1:6" x14ac:dyDescent="0.25">
      <c r="A2356" s="86">
        <v>2355</v>
      </c>
      <c r="B2356" s="87">
        <v>40.067754975432763</v>
      </c>
      <c r="C2356" s="14">
        <v>5</v>
      </c>
      <c r="D2356" s="86">
        <v>0.98524720531840071</v>
      </c>
      <c r="E2356" s="86"/>
      <c r="F2356" s="14"/>
    </row>
    <row r="2357" spans="1:6" x14ac:dyDescent="0.25">
      <c r="A2357" s="86">
        <v>2356</v>
      </c>
      <c r="B2357" s="87">
        <v>52.141422196989879</v>
      </c>
      <c r="C2357" s="14">
        <v>2</v>
      </c>
      <c r="D2357" s="86">
        <v>4.7469127950216961E-2</v>
      </c>
      <c r="E2357" s="86"/>
      <c r="F2357" s="14"/>
    </row>
    <row r="2358" spans="1:6" x14ac:dyDescent="0.25">
      <c r="A2358" s="86">
        <v>2357</v>
      </c>
      <c r="B2358" s="87">
        <v>46.305399332020897</v>
      </c>
      <c r="C2358" s="14">
        <v>2</v>
      </c>
      <c r="D2358" s="86">
        <v>0.30129227344437015</v>
      </c>
      <c r="E2358" s="86"/>
      <c r="F2358" s="14"/>
    </row>
    <row r="2359" spans="1:6" x14ac:dyDescent="0.25">
      <c r="A2359" s="86">
        <v>2358</v>
      </c>
      <c r="B2359" s="87">
        <v>42.664493088857853</v>
      </c>
      <c r="C2359" s="14">
        <v>4</v>
      </c>
      <c r="D2359" s="86">
        <v>0.8563613546382941</v>
      </c>
      <c r="E2359" s="86"/>
      <c r="F2359" s="14"/>
    </row>
    <row r="2360" spans="1:6" x14ac:dyDescent="0.25">
      <c r="A2360" s="86">
        <v>2359</v>
      </c>
      <c r="B2360" s="87">
        <v>47.552487098408164</v>
      </c>
      <c r="C2360" s="14">
        <v>5</v>
      </c>
      <c r="D2360" s="86">
        <v>0.56501749591885786</v>
      </c>
      <c r="E2360" s="86"/>
      <c r="F2360" s="14"/>
    </row>
    <row r="2361" spans="1:6" x14ac:dyDescent="0.25">
      <c r="A2361" s="86">
        <v>2360</v>
      </c>
      <c r="B2361" s="87">
        <v>43.248530795943225</v>
      </c>
      <c r="C2361" s="14">
        <v>1</v>
      </c>
      <c r="D2361" s="86">
        <v>0.75460690620731963</v>
      </c>
      <c r="E2361" s="86"/>
      <c r="F2361" s="14"/>
    </row>
    <row r="2362" spans="1:6" x14ac:dyDescent="0.25">
      <c r="A2362" s="86">
        <v>2361</v>
      </c>
      <c r="B2362" s="87">
        <v>46.196720399500919</v>
      </c>
      <c r="C2362" s="14">
        <v>5</v>
      </c>
      <c r="D2362" s="86">
        <v>0.67292290397418653</v>
      </c>
      <c r="E2362" s="86"/>
      <c r="F2362" s="14"/>
    </row>
    <row r="2363" spans="1:6" x14ac:dyDescent="0.25">
      <c r="A2363" s="86">
        <v>2362</v>
      </c>
      <c r="B2363" s="87">
        <v>31.633771863533184</v>
      </c>
      <c r="C2363" s="14">
        <v>4</v>
      </c>
      <c r="D2363" s="86">
        <v>0.34273751043296652</v>
      </c>
      <c r="E2363" s="86"/>
      <c r="F2363" s="14"/>
    </row>
    <row r="2364" spans="1:6" x14ac:dyDescent="0.25">
      <c r="A2364" s="86">
        <v>2363</v>
      </c>
      <c r="B2364" s="87">
        <v>39.082226516591618</v>
      </c>
      <c r="C2364" s="14">
        <v>4</v>
      </c>
      <c r="D2364" s="86">
        <v>0.57018827113195936</v>
      </c>
      <c r="E2364" s="86"/>
      <c r="F2364" s="14"/>
    </row>
    <row r="2365" spans="1:6" x14ac:dyDescent="0.25">
      <c r="A2365" s="86">
        <v>2364</v>
      </c>
      <c r="B2365" s="87">
        <v>44.195689947053324</v>
      </c>
      <c r="C2365" s="14">
        <v>4</v>
      </c>
      <c r="D2365" s="86">
        <v>1.809855917711034E-2</v>
      </c>
      <c r="E2365" s="86"/>
      <c r="F2365" s="14"/>
    </row>
    <row r="2366" spans="1:6" x14ac:dyDescent="0.25">
      <c r="A2366" s="86">
        <v>2365</v>
      </c>
      <c r="B2366" s="87">
        <v>47.019443622382823</v>
      </c>
      <c r="C2366" s="14">
        <v>4</v>
      </c>
      <c r="D2366" s="86">
        <v>0.7483948960450344</v>
      </c>
      <c r="E2366" s="86"/>
      <c r="F2366" s="14"/>
    </row>
    <row r="2367" spans="1:6" x14ac:dyDescent="0.25">
      <c r="A2367" s="86">
        <v>2366</v>
      </c>
      <c r="B2367" s="87">
        <v>47.131425157538615</v>
      </c>
      <c r="C2367" s="14">
        <v>5</v>
      </c>
      <c r="D2367" s="86">
        <v>0.5364907891447408</v>
      </c>
      <c r="E2367" s="86"/>
      <c r="F2367" s="14"/>
    </row>
    <row r="2368" spans="1:6" x14ac:dyDescent="0.25">
      <c r="A2368" s="86">
        <v>2367</v>
      </c>
      <c r="B2368" s="87">
        <v>46.815125637629535</v>
      </c>
      <c r="C2368" s="14">
        <v>2</v>
      </c>
      <c r="D2368" s="86">
        <v>0.82346505715769736</v>
      </c>
      <c r="E2368" s="86"/>
      <c r="F2368" s="14"/>
    </row>
    <row r="2369" spans="1:6" x14ac:dyDescent="0.25">
      <c r="A2369" s="86">
        <v>2368</v>
      </c>
      <c r="B2369" s="87">
        <v>31.556373864412308</v>
      </c>
      <c r="C2369" s="14">
        <v>2</v>
      </c>
      <c r="D2369" s="86">
        <v>0.10305327589388757</v>
      </c>
      <c r="E2369" s="86"/>
      <c r="F2369" s="14"/>
    </row>
    <row r="2370" spans="1:6" x14ac:dyDescent="0.25">
      <c r="A2370" s="86">
        <v>2369</v>
      </c>
      <c r="B2370" s="87">
        <v>46.071488663408672</v>
      </c>
      <c r="C2370" s="14">
        <v>4</v>
      </c>
      <c r="D2370" s="86">
        <v>0.30727788996630512</v>
      </c>
      <c r="E2370" s="86"/>
      <c r="F2370" s="14"/>
    </row>
    <row r="2371" spans="1:6" x14ac:dyDescent="0.25">
      <c r="A2371" s="86">
        <v>2370</v>
      </c>
      <c r="B2371" s="87">
        <v>50.786729838699102</v>
      </c>
      <c r="C2371" s="14">
        <v>2</v>
      </c>
      <c r="D2371" s="86">
        <v>0.64072291171836737</v>
      </c>
      <c r="E2371" s="86"/>
      <c r="F2371" s="14"/>
    </row>
    <row r="2372" spans="1:6" x14ac:dyDescent="0.25">
      <c r="A2372" s="86">
        <v>2371</v>
      </c>
      <c r="B2372" s="87">
        <v>47.496041583479382</v>
      </c>
      <c r="C2372" s="14">
        <v>5</v>
      </c>
      <c r="D2372" s="86">
        <v>0.82726254520035702</v>
      </c>
      <c r="E2372" s="86"/>
      <c r="F2372" s="14"/>
    </row>
    <row r="2373" spans="1:6" x14ac:dyDescent="0.25">
      <c r="A2373" s="86">
        <v>2372</v>
      </c>
      <c r="B2373" s="87">
        <v>41.048053839738714</v>
      </c>
      <c r="C2373" s="14">
        <v>5</v>
      </c>
      <c r="D2373" s="86">
        <v>0.96598063815871404</v>
      </c>
      <c r="E2373" s="86"/>
      <c r="F2373" s="14"/>
    </row>
    <row r="2374" spans="1:6" x14ac:dyDescent="0.25">
      <c r="A2374" s="86">
        <v>2373</v>
      </c>
      <c r="B2374" s="87">
        <v>46.448104735070956</v>
      </c>
      <c r="C2374" s="14">
        <v>4</v>
      </c>
      <c r="D2374" s="86">
        <v>0.89125138946482607</v>
      </c>
      <c r="E2374" s="86"/>
      <c r="F2374" s="14"/>
    </row>
    <row r="2375" spans="1:6" x14ac:dyDescent="0.25">
      <c r="A2375" s="86">
        <v>2374</v>
      </c>
      <c r="B2375" s="87">
        <v>44.052501374942949</v>
      </c>
      <c r="C2375" s="14">
        <v>2</v>
      </c>
      <c r="D2375" s="86">
        <v>0.4864566298463453</v>
      </c>
      <c r="E2375" s="86"/>
      <c r="F2375" s="14"/>
    </row>
    <row r="2376" spans="1:6" x14ac:dyDescent="0.25">
      <c r="A2376" s="86">
        <v>2375</v>
      </c>
      <c r="B2376" s="87">
        <v>39.964459114678903</v>
      </c>
      <c r="C2376" s="14">
        <v>2</v>
      </c>
      <c r="D2376" s="86">
        <v>0.1336532501770209</v>
      </c>
      <c r="E2376" s="86"/>
      <c r="F2376" s="14"/>
    </row>
    <row r="2377" spans="1:6" x14ac:dyDescent="0.25">
      <c r="A2377" s="86">
        <v>2376</v>
      </c>
      <c r="B2377" s="87">
        <v>39.204803665023064</v>
      </c>
      <c r="C2377" s="14">
        <v>2</v>
      </c>
      <c r="D2377" s="86">
        <v>1.2066616218548654E-2</v>
      </c>
      <c r="E2377" s="86"/>
      <c r="F2377" s="14"/>
    </row>
    <row r="2378" spans="1:6" x14ac:dyDescent="0.25">
      <c r="A2378" s="86">
        <v>2377</v>
      </c>
      <c r="B2378" s="87">
        <v>38.671635133476229</v>
      </c>
      <c r="C2378" s="14">
        <v>5</v>
      </c>
      <c r="D2378" s="86">
        <v>0.1777882892220819</v>
      </c>
      <c r="E2378" s="86"/>
      <c r="F2378" s="14"/>
    </row>
    <row r="2379" spans="1:6" x14ac:dyDescent="0.25">
      <c r="A2379" s="86">
        <v>2378</v>
      </c>
      <c r="B2379" s="87">
        <v>45.243518792965915</v>
      </c>
      <c r="C2379" s="14">
        <v>2</v>
      </c>
      <c r="D2379" s="86">
        <v>0.12964545326598087</v>
      </c>
      <c r="E2379" s="86"/>
      <c r="F2379" s="14"/>
    </row>
    <row r="2380" spans="1:6" x14ac:dyDescent="0.25">
      <c r="A2380" s="86">
        <v>2379</v>
      </c>
      <c r="B2380" s="87">
        <v>52.821269486565143</v>
      </c>
      <c r="C2380" s="14">
        <v>4</v>
      </c>
      <c r="D2380" s="86">
        <v>0.54995212710819774</v>
      </c>
      <c r="E2380" s="86"/>
      <c r="F2380" s="14"/>
    </row>
    <row r="2381" spans="1:6" x14ac:dyDescent="0.25">
      <c r="A2381" s="86">
        <v>2380</v>
      </c>
      <c r="B2381" s="87">
        <v>44.621242518012878</v>
      </c>
      <c r="C2381" s="14">
        <v>5</v>
      </c>
      <c r="D2381" s="86">
        <v>4.1931628658877451E-2</v>
      </c>
      <c r="E2381" s="86"/>
      <c r="F2381" s="14"/>
    </row>
    <row r="2382" spans="1:6" x14ac:dyDescent="0.25">
      <c r="A2382" s="86">
        <v>2381</v>
      </c>
      <c r="B2382" s="87">
        <v>37.798781699500978</v>
      </c>
      <c r="C2382" s="14">
        <v>5</v>
      </c>
      <c r="D2382" s="86">
        <v>0.63739013112940746</v>
      </c>
      <c r="E2382" s="86"/>
      <c r="F2382" s="14"/>
    </row>
    <row r="2383" spans="1:6" x14ac:dyDescent="0.25">
      <c r="A2383" s="86">
        <v>2382</v>
      </c>
      <c r="B2383" s="87">
        <v>38.692189713736298</v>
      </c>
      <c r="C2383" s="14">
        <v>5</v>
      </c>
      <c r="D2383" s="86">
        <v>0.53641087662956422</v>
      </c>
      <c r="E2383" s="86"/>
      <c r="F2383" s="14"/>
    </row>
    <row r="2384" spans="1:6" x14ac:dyDescent="0.25">
      <c r="A2384" s="86">
        <v>2383</v>
      </c>
      <c r="B2384" s="87">
        <v>44.153222228822415</v>
      </c>
      <c r="C2384" s="14">
        <v>2</v>
      </c>
      <c r="D2384" s="86">
        <v>0.15572896643428158</v>
      </c>
      <c r="E2384" s="86"/>
      <c r="F2384" s="14"/>
    </row>
    <row r="2385" spans="1:6" x14ac:dyDescent="0.25">
      <c r="A2385" s="86">
        <v>2384</v>
      </c>
      <c r="B2385" s="87">
        <v>38.836742527899332</v>
      </c>
      <c r="C2385" s="14">
        <v>1</v>
      </c>
      <c r="D2385" s="86">
        <v>7.491159936265257E-3</v>
      </c>
      <c r="E2385" s="86"/>
      <c r="F2385" s="14"/>
    </row>
    <row r="2386" spans="1:6" x14ac:dyDescent="0.25">
      <c r="A2386" s="86">
        <v>2385</v>
      </c>
      <c r="B2386" s="87">
        <v>39.850533534598071</v>
      </c>
      <c r="C2386" s="14">
        <v>5</v>
      </c>
      <c r="D2386" s="86">
        <v>0.77318327967043399</v>
      </c>
      <c r="E2386" s="86"/>
      <c r="F2386" s="14"/>
    </row>
    <row r="2387" spans="1:6" x14ac:dyDescent="0.25">
      <c r="A2387" s="86">
        <v>2386</v>
      </c>
      <c r="B2387" s="87">
        <v>54.699557944666594</v>
      </c>
      <c r="C2387" s="14">
        <v>2</v>
      </c>
      <c r="D2387" s="86">
        <v>0.53159329731586069</v>
      </c>
      <c r="E2387" s="86"/>
      <c r="F2387" s="14"/>
    </row>
    <row r="2388" spans="1:6" x14ac:dyDescent="0.25">
      <c r="A2388" s="86">
        <v>2387</v>
      </c>
      <c r="B2388" s="87">
        <v>46.869593001581961</v>
      </c>
      <c r="C2388" s="14">
        <v>2</v>
      </c>
      <c r="D2388" s="86">
        <v>0.94567866003433998</v>
      </c>
      <c r="E2388" s="86"/>
      <c r="F2388" s="14"/>
    </row>
    <row r="2389" spans="1:6" x14ac:dyDescent="0.25">
      <c r="A2389" s="86">
        <v>2388</v>
      </c>
      <c r="B2389" s="87">
        <v>49.35395736026112</v>
      </c>
      <c r="C2389" s="14">
        <v>5</v>
      </c>
      <c r="D2389" s="86">
        <v>0.20811185855756575</v>
      </c>
      <c r="E2389" s="86"/>
      <c r="F2389" s="14"/>
    </row>
    <row r="2390" spans="1:6" x14ac:dyDescent="0.25">
      <c r="A2390" s="86">
        <v>2389</v>
      </c>
      <c r="B2390" s="87">
        <v>41.792895894439425</v>
      </c>
      <c r="C2390" s="14">
        <v>2</v>
      </c>
      <c r="D2390" s="86">
        <v>0.5371713229442644</v>
      </c>
      <c r="E2390" s="86"/>
      <c r="F2390" s="14"/>
    </row>
    <row r="2391" spans="1:6" x14ac:dyDescent="0.25">
      <c r="A2391" s="86">
        <v>2390</v>
      </c>
      <c r="B2391" s="87">
        <v>47.891239768767264</v>
      </c>
      <c r="C2391" s="14">
        <v>4</v>
      </c>
      <c r="D2391" s="86">
        <v>0.56368442925325635</v>
      </c>
      <c r="E2391" s="86"/>
      <c r="F2391" s="14"/>
    </row>
    <row r="2392" spans="1:6" x14ac:dyDescent="0.25">
      <c r="A2392" s="86">
        <v>2391</v>
      </c>
      <c r="B2392" s="87">
        <v>44.300657004321693</v>
      </c>
      <c r="C2392" s="14">
        <v>1</v>
      </c>
      <c r="D2392" s="86">
        <v>0.25894363735667991</v>
      </c>
      <c r="E2392" s="86"/>
      <c r="F2392" s="14"/>
    </row>
    <row r="2393" spans="1:6" x14ac:dyDescent="0.25">
      <c r="A2393" s="86">
        <v>2392</v>
      </c>
      <c r="B2393" s="87">
        <v>48.869628694199491</v>
      </c>
      <c r="C2393" s="14">
        <v>2</v>
      </c>
      <c r="D2393" s="86">
        <v>0.13103448521449257</v>
      </c>
      <c r="E2393" s="86"/>
      <c r="F2393" s="14"/>
    </row>
    <row r="2394" spans="1:6" x14ac:dyDescent="0.25">
      <c r="A2394" s="86">
        <v>2393</v>
      </c>
      <c r="B2394" s="87">
        <v>43.494026153319282</v>
      </c>
      <c r="C2394" s="14">
        <v>2</v>
      </c>
      <c r="D2394" s="86">
        <v>0.89607024129488388</v>
      </c>
      <c r="E2394" s="86"/>
      <c r="F2394" s="14"/>
    </row>
    <row r="2395" spans="1:6" x14ac:dyDescent="0.25">
      <c r="A2395" s="86">
        <v>2394</v>
      </c>
      <c r="B2395" s="87">
        <v>50.059770723572001</v>
      </c>
      <c r="C2395" s="14">
        <v>4</v>
      </c>
      <c r="D2395" s="86">
        <v>0.61022847876904995</v>
      </c>
      <c r="E2395" s="86"/>
      <c r="F2395" s="14"/>
    </row>
    <row r="2396" spans="1:6" x14ac:dyDescent="0.25">
      <c r="A2396" s="86">
        <v>2395</v>
      </c>
      <c r="B2396" s="87">
        <v>45.543367827456677</v>
      </c>
      <c r="C2396" s="14">
        <v>4</v>
      </c>
      <c r="D2396" s="86">
        <v>0.2583314807704219</v>
      </c>
      <c r="E2396" s="86"/>
      <c r="F2396" s="14"/>
    </row>
    <row r="2397" spans="1:6" x14ac:dyDescent="0.25">
      <c r="A2397" s="86">
        <v>2396</v>
      </c>
      <c r="B2397" s="87">
        <v>37.122742918989388</v>
      </c>
      <c r="C2397" s="14">
        <v>4</v>
      </c>
      <c r="D2397" s="86">
        <v>0.3990773455466633</v>
      </c>
      <c r="E2397" s="86"/>
      <c r="F2397" s="14"/>
    </row>
    <row r="2398" spans="1:6" x14ac:dyDescent="0.25">
      <c r="A2398" s="86">
        <v>2397</v>
      </c>
      <c r="B2398" s="87">
        <v>44.288788098463556</v>
      </c>
      <c r="C2398" s="14">
        <v>2</v>
      </c>
      <c r="D2398" s="86">
        <v>0.43713277915762982</v>
      </c>
      <c r="E2398" s="86"/>
      <c r="F2398" s="14"/>
    </row>
    <row r="2399" spans="1:6" x14ac:dyDescent="0.25">
      <c r="A2399" s="86">
        <v>2398</v>
      </c>
      <c r="B2399" s="87">
        <v>41.677174062322592</v>
      </c>
      <c r="C2399" s="14">
        <v>2</v>
      </c>
      <c r="D2399" s="86">
        <v>0.41432860482263645</v>
      </c>
      <c r="E2399" s="86"/>
      <c r="F2399" s="14"/>
    </row>
    <row r="2400" spans="1:6" x14ac:dyDescent="0.25">
      <c r="A2400" s="86">
        <v>2399</v>
      </c>
      <c r="B2400" s="87">
        <v>39.724523043667432</v>
      </c>
      <c r="C2400" s="14">
        <v>4</v>
      </c>
      <c r="D2400" s="86">
        <v>0.97869397895085242</v>
      </c>
      <c r="E2400" s="86"/>
      <c r="F2400" s="14"/>
    </row>
    <row r="2401" spans="1:6" x14ac:dyDescent="0.25">
      <c r="A2401" s="86">
        <v>2400</v>
      </c>
      <c r="B2401" s="87">
        <v>43.827844814921264</v>
      </c>
      <c r="C2401" s="14">
        <v>1</v>
      </c>
      <c r="D2401" s="86">
        <v>0.74872091571686616</v>
      </c>
      <c r="E2401" s="86"/>
      <c r="F2401" s="14"/>
    </row>
    <row r="2402" spans="1:6" x14ac:dyDescent="0.25">
      <c r="A2402" s="86">
        <v>2401</v>
      </c>
      <c r="B2402" s="87">
        <v>44.366049673379166</v>
      </c>
      <c r="C2402" s="14">
        <v>4</v>
      </c>
      <c r="D2402" s="86">
        <v>0.98026112037501612</v>
      </c>
      <c r="E2402" s="86"/>
      <c r="F2402" s="14"/>
    </row>
    <row r="2403" spans="1:6" x14ac:dyDescent="0.25">
      <c r="A2403" s="86">
        <v>2402</v>
      </c>
      <c r="B2403" s="87">
        <v>37.557515492488164</v>
      </c>
      <c r="C2403" s="14">
        <v>2</v>
      </c>
      <c r="D2403" s="86">
        <v>0.7526936212278651</v>
      </c>
      <c r="E2403" s="86"/>
      <c r="F2403" s="14"/>
    </row>
    <row r="2404" spans="1:6" x14ac:dyDescent="0.25">
      <c r="A2404" s="86">
        <v>2403</v>
      </c>
      <c r="B2404" s="87">
        <v>41.395276179508073</v>
      </c>
      <c r="C2404" s="14">
        <v>4</v>
      </c>
      <c r="D2404" s="86">
        <v>0.91097600825436809</v>
      </c>
      <c r="E2404" s="86"/>
      <c r="F2404" s="14"/>
    </row>
    <row r="2405" spans="1:6" x14ac:dyDescent="0.25">
      <c r="A2405" s="86">
        <v>2404</v>
      </c>
      <c r="B2405" s="87">
        <v>40.298624521135935</v>
      </c>
      <c r="C2405" s="14">
        <v>4</v>
      </c>
      <c r="D2405" s="86">
        <v>0.60900658625049475</v>
      </c>
      <c r="E2405" s="86"/>
      <c r="F2405" s="14"/>
    </row>
    <row r="2406" spans="1:6" x14ac:dyDescent="0.25">
      <c r="A2406" s="86">
        <v>2405</v>
      </c>
      <c r="B2406" s="87">
        <v>47.509240625338862</v>
      </c>
      <c r="C2406" s="14">
        <v>2</v>
      </c>
      <c r="D2406" s="86">
        <v>0.83401862119705916</v>
      </c>
      <c r="E2406" s="86"/>
      <c r="F2406" s="14"/>
    </row>
    <row r="2407" spans="1:6" x14ac:dyDescent="0.25">
      <c r="A2407" s="86">
        <v>2406</v>
      </c>
      <c r="B2407" s="87">
        <v>41.721091287734453</v>
      </c>
      <c r="C2407" s="14">
        <v>2</v>
      </c>
      <c r="D2407" s="86">
        <v>0.61588586603173578</v>
      </c>
      <c r="E2407" s="86"/>
      <c r="F2407" s="14"/>
    </row>
    <row r="2408" spans="1:6" x14ac:dyDescent="0.25">
      <c r="A2408" s="86">
        <v>2407</v>
      </c>
      <c r="B2408" s="87">
        <v>45.818978828145191</v>
      </c>
      <c r="C2408" s="14">
        <v>5</v>
      </c>
      <c r="D2408" s="86">
        <v>0.97398225650830106</v>
      </c>
      <c r="E2408" s="86"/>
      <c r="F2408" s="14"/>
    </row>
    <row r="2409" spans="1:6" x14ac:dyDescent="0.25">
      <c r="A2409" s="86">
        <v>2408</v>
      </c>
      <c r="B2409" s="87">
        <v>43.764703145250678</v>
      </c>
      <c r="C2409" s="14">
        <v>2</v>
      </c>
      <c r="D2409" s="86">
        <v>9.9938720583773177E-3</v>
      </c>
      <c r="E2409" s="86"/>
      <c r="F2409" s="14"/>
    </row>
    <row r="2410" spans="1:6" x14ac:dyDescent="0.25">
      <c r="A2410" s="86">
        <v>2409</v>
      </c>
      <c r="B2410" s="87">
        <v>39.015333181276219</v>
      </c>
      <c r="C2410" s="14">
        <v>2</v>
      </c>
      <c r="D2410" s="86">
        <v>0.6382437169176205</v>
      </c>
      <c r="E2410" s="86"/>
      <c r="F2410" s="14"/>
    </row>
    <row r="2411" spans="1:6" x14ac:dyDescent="0.25">
      <c r="A2411" s="86">
        <v>2410</v>
      </c>
      <c r="B2411" s="87">
        <v>42.725042698628386</v>
      </c>
      <c r="C2411" s="14">
        <v>2</v>
      </c>
      <c r="D2411" s="86">
        <v>0.74792458773503923</v>
      </c>
      <c r="E2411" s="86"/>
      <c r="F2411" s="14"/>
    </row>
    <row r="2412" spans="1:6" x14ac:dyDescent="0.25">
      <c r="A2412" s="86">
        <v>2411</v>
      </c>
      <c r="B2412" s="87">
        <v>36.909841577988118</v>
      </c>
      <c r="C2412" s="14">
        <v>1</v>
      </c>
      <c r="D2412" s="86">
        <v>0.23998295904683864</v>
      </c>
      <c r="E2412" s="86"/>
      <c r="F2412" s="14"/>
    </row>
    <row r="2413" spans="1:6" x14ac:dyDescent="0.25">
      <c r="A2413" s="86">
        <v>2412</v>
      </c>
      <c r="B2413" s="87">
        <v>37.66078861587448</v>
      </c>
      <c r="C2413" s="14">
        <v>4</v>
      </c>
      <c r="D2413" s="86">
        <v>6.2475474173525058E-2</v>
      </c>
      <c r="E2413" s="86"/>
      <c r="F2413" s="14"/>
    </row>
    <row r="2414" spans="1:6" x14ac:dyDescent="0.25">
      <c r="A2414" s="86">
        <v>2413</v>
      </c>
      <c r="B2414" s="87">
        <v>36.39632950068335</v>
      </c>
      <c r="C2414" s="14">
        <v>2</v>
      </c>
      <c r="D2414" s="86">
        <v>0.94245620654941875</v>
      </c>
      <c r="E2414" s="86"/>
      <c r="F2414" s="14"/>
    </row>
    <row r="2415" spans="1:6" x14ac:dyDescent="0.25">
      <c r="A2415" s="86">
        <v>2414</v>
      </c>
      <c r="B2415" s="87">
        <v>36.342885318270419</v>
      </c>
      <c r="C2415" s="14">
        <v>5</v>
      </c>
      <c r="D2415" s="86">
        <v>0.25843509188245628</v>
      </c>
      <c r="E2415" s="86"/>
      <c r="F2415" s="14"/>
    </row>
    <row r="2416" spans="1:6" x14ac:dyDescent="0.25">
      <c r="A2416" s="86">
        <v>2415</v>
      </c>
      <c r="B2416" s="87">
        <v>36.640028606023407</v>
      </c>
      <c r="C2416" s="14">
        <v>1</v>
      </c>
      <c r="D2416" s="86">
        <v>0.73030257066533444</v>
      </c>
      <c r="E2416" s="86"/>
      <c r="F2416" s="14"/>
    </row>
    <row r="2417" spans="1:6" x14ac:dyDescent="0.25">
      <c r="A2417" s="86">
        <v>2416</v>
      </c>
      <c r="B2417" s="87">
        <v>49.238178684725426</v>
      </c>
      <c r="C2417" s="14">
        <v>1</v>
      </c>
      <c r="D2417" s="86">
        <v>0.78894253628241817</v>
      </c>
      <c r="E2417" s="86"/>
      <c r="F2417" s="14"/>
    </row>
    <row r="2418" spans="1:6" x14ac:dyDescent="0.25">
      <c r="A2418" s="86">
        <v>2417</v>
      </c>
      <c r="B2418" s="87">
        <v>34.07562871358823</v>
      </c>
      <c r="C2418" s="14">
        <v>4</v>
      </c>
      <c r="D2418" s="86">
        <v>0.1646793812997559</v>
      </c>
      <c r="E2418" s="86"/>
      <c r="F2418" s="14"/>
    </row>
    <row r="2419" spans="1:6" x14ac:dyDescent="0.25">
      <c r="A2419" s="86">
        <v>2418</v>
      </c>
      <c r="B2419" s="87">
        <v>44.06775814856519</v>
      </c>
      <c r="C2419" s="14">
        <v>4</v>
      </c>
      <c r="D2419" s="86">
        <v>9.4563151213586827E-2</v>
      </c>
      <c r="E2419" s="86"/>
      <c r="F2419" s="14"/>
    </row>
    <row r="2420" spans="1:6" x14ac:dyDescent="0.25">
      <c r="A2420" s="86">
        <v>2419</v>
      </c>
      <c r="B2420" s="87">
        <v>49.437176125473343</v>
      </c>
      <c r="C2420" s="14">
        <v>4</v>
      </c>
      <c r="D2420" s="86">
        <v>0.69098121670529733</v>
      </c>
      <c r="E2420" s="86"/>
      <c r="F2420" s="14"/>
    </row>
    <row r="2421" spans="1:6" x14ac:dyDescent="0.25">
      <c r="A2421" s="86">
        <v>2420</v>
      </c>
      <c r="B2421" s="87">
        <v>49.560003384947777</v>
      </c>
      <c r="C2421" s="14">
        <v>5</v>
      </c>
      <c r="D2421" s="86">
        <v>0.83396767125627613</v>
      </c>
      <c r="E2421" s="86"/>
      <c r="F2421" s="14"/>
    </row>
    <row r="2422" spans="1:6" x14ac:dyDescent="0.25">
      <c r="A2422" s="86">
        <v>2421</v>
      </c>
      <c r="B2422" s="87">
        <v>34.40891304705292</v>
      </c>
      <c r="C2422" s="14">
        <v>2</v>
      </c>
      <c r="D2422" s="86">
        <v>0.86697220631902239</v>
      </c>
      <c r="E2422" s="86"/>
      <c r="F2422" s="14"/>
    </row>
    <row r="2423" spans="1:6" x14ac:dyDescent="0.25">
      <c r="A2423" s="86">
        <v>2422</v>
      </c>
      <c r="B2423" s="87">
        <v>44.865544163592858</v>
      </c>
      <c r="C2423" s="14">
        <v>2</v>
      </c>
      <c r="D2423" s="86">
        <v>0.35958942033587404</v>
      </c>
      <c r="E2423" s="86"/>
      <c r="F2423" s="14"/>
    </row>
    <row r="2424" spans="1:6" x14ac:dyDescent="0.25">
      <c r="A2424" s="86">
        <v>2423</v>
      </c>
      <c r="B2424" s="87">
        <v>49.188508905324852</v>
      </c>
      <c r="C2424" s="14">
        <v>2</v>
      </c>
      <c r="D2424" s="86">
        <v>0.89590058659627847</v>
      </c>
      <c r="E2424" s="86"/>
      <c r="F2424" s="14"/>
    </row>
    <row r="2425" spans="1:6" x14ac:dyDescent="0.25">
      <c r="A2425" s="86">
        <v>2424</v>
      </c>
      <c r="B2425" s="87">
        <v>38.536529695527861</v>
      </c>
      <c r="C2425" s="14">
        <v>5</v>
      </c>
      <c r="D2425" s="86">
        <v>0.17645126103460174</v>
      </c>
      <c r="E2425" s="86"/>
      <c r="F2425" s="14"/>
    </row>
    <row r="2426" spans="1:6" x14ac:dyDescent="0.25">
      <c r="A2426" s="86">
        <v>2425</v>
      </c>
      <c r="B2426" s="87">
        <v>36.934670783346519</v>
      </c>
      <c r="C2426" s="14">
        <v>4</v>
      </c>
      <c r="D2426" s="86">
        <v>0.64738126832636123</v>
      </c>
      <c r="E2426" s="86"/>
      <c r="F2426" s="14"/>
    </row>
    <row r="2427" spans="1:6" x14ac:dyDescent="0.25">
      <c r="A2427" s="86">
        <v>2426</v>
      </c>
      <c r="B2427" s="87">
        <v>45.321201009181095</v>
      </c>
      <c r="C2427" s="14">
        <v>2</v>
      </c>
      <c r="D2427" s="86">
        <v>0.27576369524557065</v>
      </c>
      <c r="E2427" s="86"/>
      <c r="F2427" s="14"/>
    </row>
    <row r="2428" spans="1:6" x14ac:dyDescent="0.25">
      <c r="A2428" s="86">
        <v>2427</v>
      </c>
      <c r="B2428" s="87">
        <v>37.358859112253413</v>
      </c>
      <c r="C2428" s="14">
        <v>2</v>
      </c>
      <c r="D2428" s="86">
        <v>0.37025054028894766</v>
      </c>
      <c r="E2428" s="86"/>
      <c r="F2428" s="14"/>
    </row>
    <row r="2429" spans="1:6" x14ac:dyDescent="0.25">
      <c r="A2429" s="86">
        <v>2428</v>
      </c>
      <c r="B2429" s="87">
        <v>39.901669874205254</v>
      </c>
      <c r="C2429" s="14">
        <v>2</v>
      </c>
      <c r="D2429" s="86">
        <v>0.95542107892545913</v>
      </c>
      <c r="E2429" s="86"/>
      <c r="F2429" s="14"/>
    </row>
    <row r="2430" spans="1:6" x14ac:dyDescent="0.25">
      <c r="A2430" s="86">
        <v>2429</v>
      </c>
      <c r="B2430" s="87">
        <v>35.40551460388815</v>
      </c>
      <c r="C2430" s="14">
        <v>1</v>
      </c>
      <c r="D2430" s="86">
        <v>0.57953601587923598</v>
      </c>
      <c r="E2430" s="86"/>
      <c r="F2430" s="14"/>
    </row>
    <row r="2431" spans="1:6" x14ac:dyDescent="0.25">
      <c r="A2431" s="86">
        <v>2430</v>
      </c>
      <c r="B2431" s="87">
        <v>42.899591784924269</v>
      </c>
      <c r="C2431" s="14">
        <v>2</v>
      </c>
      <c r="D2431" s="86">
        <v>1.3778616659146259E-2</v>
      </c>
      <c r="E2431" s="86"/>
      <c r="F2431" s="14"/>
    </row>
    <row r="2432" spans="1:6" x14ac:dyDescent="0.25">
      <c r="A2432" s="86">
        <v>2431</v>
      </c>
      <c r="B2432" s="87">
        <v>49.532968654937577</v>
      </c>
      <c r="C2432" s="14">
        <v>2</v>
      </c>
      <c r="D2432" s="86">
        <v>0.78463882873089419</v>
      </c>
      <c r="E2432" s="86"/>
      <c r="F2432" s="14"/>
    </row>
    <row r="2433" spans="1:6" x14ac:dyDescent="0.25">
      <c r="A2433" s="86">
        <v>2432</v>
      </c>
      <c r="B2433" s="87">
        <v>44.769114987837384</v>
      </c>
      <c r="C2433" s="14">
        <v>4</v>
      </c>
      <c r="D2433" s="86">
        <v>0.4838551337018171</v>
      </c>
      <c r="E2433" s="86"/>
      <c r="F2433" s="14"/>
    </row>
    <row r="2434" spans="1:6" x14ac:dyDescent="0.25">
      <c r="A2434" s="86">
        <v>2433</v>
      </c>
      <c r="B2434" s="87">
        <v>48.294100446917582</v>
      </c>
      <c r="C2434" s="14">
        <v>1</v>
      </c>
      <c r="D2434" s="86">
        <v>0.50125242508231005</v>
      </c>
      <c r="E2434" s="86"/>
      <c r="F2434" s="14"/>
    </row>
    <row r="2435" spans="1:6" x14ac:dyDescent="0.25">
      <c r="A2435" s="86">
        <v>2434</v>
      </c>
      <c r="B2435" s="87">
        <v>42.418639617942972</v>
      </c>
      <c r="C2435" s="14">
        <v>5</v>
      </c>
      <c r="D2435" s="86">
        <v>0.42378541217072396</v>
      </c>
      <c r="E2435" s="86"/>
      <c r="F2435" s="14"/>
    </row>
    <row r="2436" spans="1:6" x14ac:dyDescent="0.25">
      <c r="A2436" s="86">
        <v>2435</v>
      </c>
      <c r="B2436" s="87">
        <v>49.246523298614193</v>
      </c>
      <c r="C2436" s="14">
        <v>2</v>
      </c>
      <c r="D2436" s="86">
        <v>0.61611019766661412</v>
      </c>
      <c r="E2436" s="86"/>
      <c r="F2436" s="14"/>
    </row>
    <row r="2437" spans="1:6" x14ac:dyDescent="0.25">
      <c r="A2437" s="86">
        <v>2436</v>
      </c>
      <c r="B2437" s="87">
        <v>41.894253394610132</v>
      </c>
      <c r="C2437" s="14">
        <v>4</v>
      </c>
      <c r="D2437" s="86">
        <v>0.64510141424534029</v>
      </c>
      <c r="E2437" s="86"/>
      <c r="F2437" s="14"/>
    </row>
    <row r="2438" spans="1:6" x14ac:dyDescent="0.25">
      <c r="A2438" s="86">
        <v>2437</v>
      </c>
      <c r="B2438" s="87">
        <v>38.673863395495573</v>
      </c>
      <c r="C2438" s="14">
        <v>1</v>
      </c>
      <c r="D2438" s="86">
        <v>8.5036021763085889E-2</v>
      </c>
      <c r="E2438" s="86"/>
      <c r="F2438" s="14"/>
    </row>
    <row r="2439" spans="1:6" x14ac:dyDescent="0.25">
      <c r="A2439" s="86">
        <v>2438</v>
      </c>
      <c r="B2439" s="87">
        <v>46.832030870398739</v>
      </c>
      <c r="C2439" s="14">
        <v>1</v>
      </c>
      <c r="D2439" s="86">
        <v>0.5823053117907645</v>
      </c>
      <c r="E2439" s="86"/>
      <c r="F2439" s="14"/>
    </row>
    <row r="2440" spans="1:6" x14ac:dyDescent="0.25">
      <c r="A2440" s="86">
        <v>2439</v>
      </c>
      <c r="B2440" s="87">
        <v>50.583594197058119</v>
      </c>
      <c r="C2440" s="14">
        <v>2</v>
      </c>
      <c r="D2440" s="86">
        <v>0.69001290970344897</v>
      </c>
      <c r="E2440" s="86"/>
      <c r="F2440" s="14"/>
    </row>
    <row r="2441" spans="1:6" x14ac:dyDescent="0.25">
      <c r="A2441" s="86">
        <v>2440</v>
      </c>
      <c r="B2441" s="87">
        <v>37.715267348510679</v>
      </c>
      <c r="C2441" s="14">
        <v>5</v>
      </c>
      <c r="D2441" s="86">
        <v>0.25108479619642654</v>
      </c>
      <c r="E2441" s="86"/>
      <c r="F2441" s="14"/>
    </row>
    <row r="2442" spans="1:6" x14ac:dyDescent="0.25">
      <c r="A2442" s="86">
        <v>2441</v>
      </c>
      <c r="B2442" s="87">
        <v>45.997916226377129</v>
      </c>
      <c r="C2442" s="14">
        <v>2</v>
      </c>
      <c r="D2442" s="86">
        <v>0.15842480653120206</v>
      </c>
      <c r="E2442" s="86"/>
      <c r="F2442" s="14"/>
    </row>
    <row r="2443" spans="1:6" x14ac:dyDescent="0.25">
      <c r="A2443" s="86">
        <v>2442</v>
      </c>
      <c r="B2443" s="87">
        <v>36.410028764628805</v>
      </c>
      <c r="C2443" s="14">
        <v>4</v>
      </c>
      <c r="D2443" s="86">
        <v>0.81188344512786159</v>
      </c>
      <c r="E2443" s="86"/>
      <c r="F2443" s="14"/>
    </row>
    <row r="2444" spans="1:6" x14ac:dyDescent="0.25">
      <c r="A2444" s="86">
        <v>2443</v>
      </c>
      <c r="B2444" s="87">
        <v>50.888661457400303</v>
      </c>
      <c r="C2444" s="14">
        <v>4</v>
      </c>
      <c r="D2444" s="86">
        <v>4.8339702259078909E-2</v>
      </c>
      <c r="E2444" s="86"/>
      <c r="F2444" s="14"/>
    </row>
    <row r="2445" spans="1:6" x14ac:dyDescent="0.25">
      <c r="A2445" s="86">
        <v>2444</v>
      </c>
      <c r="B2445" s="87">
        <v>38.676080288831145</v>
      </c>
      <c r="C2445" s="14">
        <v>2</v>
      </c>
      <c r="D2445" s="86">
        <v>0.42671662309544822</v>
      </c>
      <c r="E2445" s="86"/>
      <c r="F2445" s="14"/>
    </row>
    <row r="2446" spans="1:6" x14ac:dyDescent="0.25">
      <c r="A2446" s="86">
        <v>2445</v>
      </c>
      <c r="B2446" s="87">
        <v>43.940912059377297</v>
      </c>
      <c r="C2446" s="14">
        <v>2</v>
      </c>
      <c r="D2446" s="86">
        <v>0.85263892727471247</v>
      </c>
      <c r="E2446" s="86"/>
      <c r="F2446" s="14"/>
    </row>
    <row r="2447" spans="1:6" x14ac:dyDescent="0.25">
      <c r="A2447" s="86">
        <v>2446</v>
      </c>
      <c r="B2447" s="87">
        <v>51.198276191251352</v>
      </c>
      <c r="C2447" s="14">
        <v>2</v>
      </c>
      <c r="D2447" s="86">
        <v>0.51306888147633778</v>
      </c>
      <c r="E2447" s="86"/>
      <c r="F2447" s="14"/>
    </row>
    <row r="2448" spans="1:6" x14ac:dyDescent="0.25">
      <c r="A2448" s="86">
        <v>2447</v>
      </c>
      <c r="B2448" s="87">
        <v>31.864510669372976</v>
      </c>
      <c r="C2448" s="14">
        <v>1</v>
      </c>
      <c r="D2448" s="86">
        <v>0.50510604087807009</v>
      </c>
      <c r="E2448" s="86"/>
      <c r="F2448" s="14"/>
    </row>
    <row r="2449" spans="1:6" x14ac:dyDescent="0.25">
      <c r="A2449" s="86">
        <v>2448</v>
      </c>
      <c r="B2449" s="87">
        <v>43.419129264628282</v>
      </c>
      <c r="C2449" s="14">
        <v>5</v>
      </c>
      <c r="D2449" s="86">
        <v>0.59860851959757977</v>
      </c>
      <c r="E2449" s="86"/>
      <c r="F2449" s="14"/>
    </row>
    <row r="2450" spans="1:6" x14ac:dyDescent="0.25">
      <c r="A2450" s="86">
        <v>2449</v>
      </c>
      <c r="B2450" s="87">
        <v>43.179619519258267</v>
      </c>
      <c r="C2450" s="14">
        <v>4</v>
      </c>
      <c r="D2450" s="86">
        <v>0.32713695152561628</v>
      </c>
      <c r="E2450" s="86"/>
      <c r="F2450" s="14"/>
    </row>
    <row r="2451" spans="1:6" x14ac:dyDescent="0.25">
      <c r="A2451" s="86">
        <v>2450</v>
      </c>
      <c r="B2451" s="87">
        <v>41.977983750592102</v>
      </c>
      <c r="C2451" s="14">
        <v>2</v>
      </c>
      <c r="D2451" s="86">
        <v>0.92108856589503074</v>
      </c>
      <c r="E2451" s="86"/>
      <c r="F2451" s="14"/>
    </row>
    <row r="2452" spans="1:6" x14ac:dyDescent="0.25">
      <c r="A2452" s="86">
        <v>2451</v>
      </c>
      <c r="B2452" s="87">
        <v>39.471393615138368</v>
      </c>
      <c r="C2452" s="14">
        <v>2</v>
      </c>
      <c r="D2452" s="86">
        <v>6.9640895807792313E-2</v>
      </c>
      <c r="E2452" s="86"/>
      <c r="F2452" s="14"/>
    </row>
    <row r="2453" spans="1:6" x14ac:dyDescent="0.25">
      <c r="A2453" s="86">
        <v>2452</v>
      </c>
      <c r="B2453" s="87">
        <v>42.220199242699891</v>
      </c>
      <c r="C2453" s="14">
        <v>2</v>
      </c>
      <c r="D2453" s="86">
        <v>0.39814171041284352</v>
      </c>
      <c r="E2453" s="86"/>
      <c r="F2453" s="14"/>
    </row>
    <row r="2454" spans="1:6" x14ac:dyDescent="0.25">
      <c r="A2454" s="86">
        <v>2453</v>
      </c>
      <c r="B2454" s="87">
        <v>43.744586259315838</v>
      </c>
      <c r="C2454" s="14">
        <v>2</v>
      </c>
      <c r="D2454" s="86">
        <v>1.3572744463822728E-2</v>
      </c>
      <c r="E2454" s="86"/>
      <c r="F2454" s="14"/>
    </row>
    <row r="2455" spans="1:6" x14ac:dyDescent="0.25">
      <c r="A2455" s="86">
        <v>2454</v>
      </c>
      <c r="B2455" s="87">
        <v>42.442513853864511</v>
      </c>
      <c r="C2455" s="14">
        <v>3</v>
      </c>
      <c r="D2455" s="86">
        <v>0.62572762061725429</v>
      </c>
      <c r="E2455" s="86"/>
      <c r="F2455" s="14"/>
    </row>
    <row r="2456" spans="1:6" x14ac:dyDescent="0.25">
      <c r="A2456" s="86">
        <v>2455</v>
      </c>
      <c r="B2456" s="87">
        <v>40.013981101190438</v>
      </c>
      <c r="C2456" s="14">
        <v>2</v>
      </c>
      <c r="D2456" s="86">
        <v>0.30097665082560143</v>
      </c>
      <c r="E2456" s="86"/>
      <c r="F2456" s="14"/>
    </row>
    <row r="2457" spans="1:6" x14ac:dyDescent="0.25">
      <c r="A2457" s="86">
        <v>2456</v>
      </c>
      <c r="B2457" s="87">
        <v>50.166022442106623</v>
      </c>
      <c r="C2457" s="14">
        <v>4</v>
      </c>
      <c r="D2457" s="86">
        <v>0.53368973312199786</v>
      </c>
      <c r="E2457" s="86"/>
      <c r="F2457" s="14"/>
    </row>
    <row r="2458" spans="1:6" x14ac:dyDescent="0.25">
      <c r="A2458" s="86">
        <v>2457</v>
      </c>
      <c r="B2458" s="87">
        <v>39.652599065782852</v>
      </c>
      <c r="C2458" s="14">
        <v>4</v>
      </c>
      <c r="D2458" s="86">
        <v>0.16523735201787126</v>
      </c>
      <c r="E2458" s="86"/>
      <c r="F2458" s="14"/>
    </row>
    <row r="2459" spans="1:6" x14ac:dyDescent="0.25">
      <c r="A2459" s="86">
        <v>2458</v>
      </c>
      <c r="B2459" s="87">
        <v>37.925883584073745</v>
      </c>
      <c r="C2459" s="14">
        <v>2</v>
      </c>
      <c r="D2459" s="86">
        <v>0.90481781623600865</v>
      </c>
      <c r="E2459" s="86"/>
      <c r="F2459" s="14"/>
    </row>
    <row r="2460" spans="1:6" x14ac:dyDescent="0.25">
      <c r="A2460" s="86">
        <v>2459</v>
      </c>
      <c r="B2460" s="87">
        <v>38.045413925254252</v>
      </c>
      <c r="C2460" s="14">
        <v>5</v>
      </c>
      <c r="D2460" s="86">
        <v>0.28477379291525706</v>
      </c>
      <c r="E2460" s="86"/>
      <c r="F2460" s="14"/>
    </row>
    <row r="2461" spans="1:6" x14ac:dyDescent="0.25">
      <c r="A2461" s="86">
        <v>2460</v>
      </c>
      <c r="B2461" s="87">
        <v>41.356975083879661</v>
      </c>
      <c r="C2461" s="14">
        <v>2</v>
      </c>
      <c r="D2461" s="86">
        <v>0.43089476966023077</v>
      </c>
      <c r="E2461" s="86"/>
      <c r="F2461" s="14"/>
    </row>
    <row r="2462" spans="1:6" x14ac:dyDescent="0.25">
      <c r="A2462" s="86">
        <v>2461</v>
      </c>
      <c r="B2462" s="87">
        <v>42.088663571455982</v>
      </c>
      <c r="C2462" s="14">
        <v>2</v>
      </c>
      <c r="D2462" s="86">
        <v>9.6336807282976555E-2</v>
      </c>
      <c r="E2462" s="86"/>
      <c r="F2462" s="14"/>
    </row>
    <row r="2463" spans="1:6" x14ac:dyDescent="0.25">
      <c r="A2463" s="86">
        <v>2462</v>
      </c>
      <c r="B2463" s="87">
        <v>44.059930809788057</v>
      </c>
      <c r="C2463" s="14">
        <v>5</v>
      </c>
      <c r="D2463" s="86">
        <v>0.54880807050791103</v>
      </c>
      <c r="E2463" s="86"/>
      <c r="F2463" s="14"/>
    </row>
    <row r="2464" spans="1:6" x14ac:dyDescent="0.25">
      <c r="A2464" s="86">
        <v>2463</v>
      </c>
      <c r="B2464" s="87">
        <v>42.671774730813922</v>
      </c>
      <c r="C2464" s="14">
        <v>3</v>
      </c>
      <c r="D2464" s="86">
        <v>0.95771663631175075</v>
      </c>
      <c r="E2464" s="86"/>
      <c r="F2464" s="14"/>
    </row>
    <row r="2465" spans="1:6" x14ac:dyDescent="0.25">
      <c r="A2465" s="86">
        <v>2464</v>
      </c>
      <c r="B2465" s="87">
        <v>39.173096405982506</v>
      </c>
      <c r="C2465" s="14">
        <v>4</v>
      </c>
      <c r="D2465" s="86">
        <v>0.72917521248622086</v>
      </c>
      <c r="E2465" s="86"/>
      <c r="F2465" s="14"/>
    </row>
    <row r="2466" spans="1:6" x14ac:dyDescent="0.25">
      <c r="A2466" s="86">
        <v>2465</v>
      </c>
      <c r="B2466" s="87">
        <v>46.258907099734643</v>
      </c>
      <c r="C2466" s="14">
        <v>2</v>
      </c>
      <c r="D2466" s="86">
        <v>0.71191619645447357</v>
      </c>
      <c r="E2466" s="86"/>
      <c r="F2466" s="14"/>
    </row>
    <row r="2467" spans="1:6" x14ac:dyDescent="0.25">
      <c r="A2467" s="86">
        <v>2466</v>
      </c>
      <c r="B2467" s="87">
        <v>40.765780790359713</v>
      </c>
      <c r="C2467" s="14">
        <v>5</v>
      </c>
      <c r="D2467" s="86">
        <v>2.6555727071378876E-2</v>
      </c>
      <c r="E2467" s="86"/>
      <c r="F2467" s="14"/>
    </row>
    <row r="2468" spans="1:6" x14ac:dyDescent="0.25">
      <c r="A2468" s="86">
        <v>2467</v>
      </c>
      <c r="B2468" s="87">
        <v>40.435276100077317</v>
      </c>
      <c r="C2468" s="14">
        <v>2</v>
      </c>
      <c r="D2468" s="86">
        <v>0.20981612159076979</v>
      </c>
      <c r="E2468" s="86"/>
      <c r="F2468" s="14"/>
    </row>
    <row r="2469" spans="1:6" x14ac:dyDescent="0.25">
      <c r="A2469" s="86">
        <v>2468</v>
      </c>
      <c r="B2469" s="87">
        <v>38.190205481776502</v>
      </c>
      <c r="C2469" s="14">
        <v>4</v>
      </c>
      <c r="D2469" s="86">
        <v>0.1318151341289262</v>
      </c>
      <c r="E2469" s="86"/>
      <c r="F2469" s="14"/>
    </row>
    <row r="2470" spans="1:6" x14ac:dyDescent="0.25">
      <c r="A2470" s="86">
        <v>2469</v>
      </c>
      <c r="B2470" s="87">
        <v>46.18218553729821</v>
      </c>
      <c r="C2470" s="14">
        <v>2</v>
      </c>
      <c r="D2470" s="86">
        <v>0.62900219479737129</v>
      </c>
      <c r="E2470" s="86"/>
      <c r="F2470" s="14"/>
    </row>
    <row r="2471" spans="1:6" x14ac:dyDescent="0.25">
      <c r="A2471" s="86">
        <v>2470</v>
      </c>
      <c r="B2471" s="87">
        <v>41.934589484633761</v>
      </c>
      <c r="C2471" s="14">
        <v>5</v>
      </c>
      <c r="D2471" s="86">
        <v>0.52111243287278119</v>
      </c>
      <c r="E2471" s="86"/>
      <c r="F2471" s="14"/>
    </row>
    <row r="2472" spans="1:6" x14ac:dyDescent="0.25">
      <c r="A2472" s="86">
        <v>2471</v>
      </c>
      <c r="B2472" s="87">
        <v>36.687833921285346</v>
      </c>
      <c r="C2472" s="14">
        <v>2</v>
      </c>
      <c r="D2472" s="86">
        <v>0.21665510902294849</v>
      </c>
      <c r="E2472" s="86"/>
      <c r="F2472" s="14"/>
    </row>
    <row r="2473" spans="1:6" x14ac:dyDescent="0.25">
      <c r="A2473" s="86">
        <v>2472</v>
      </c>
      <c r="B2473" s="87">
        <v>46.043362539756345</v>
      </c>
      <c r="C2473" s="14">
        <v>5</v>
      </c>
      <c r="D2473" s="86">
        <v>0.19711946049872719</v>
      </c>
      <c r="E2473" s="86"/>
      <c r="F2473" s="14"/>
    </row>
    <row r="2474" spans="1:6" x14ac:dyDescent="0.25">
      <c r="A2474" s="86">
        <v>2473</v>
      </c>
      <c r="B2474" s="87">
        <v>46.036922180399415</v>
      </c>
      <c r="C2474" s="14">
        <v>5</v>
      </c>
      <c r="D2474" s="86">
        <v>0.87044721467190367</v>
      </c>
      <c r="E2474" s="86"/>
      <c r="F2474" s="14"/>
    </row>
    <row r="2475" spans="1:6" x14ac:dyDescent="0.25">
      <c r="A2475" s="86">
        <v>2474</v>
      </c>
      <c r="B2475" s="87">
        <v>46.880961685354123</v>
      </c>
      <c r="C2475" s="14">
        <v>1</v>
      </c>
      <c r="D2475" s="86">
        <v>6.6719429545172959E-2</v>
      </c>
      <c r="E2475" s="86"/>
      <c r="F2475" s="14"/>
    </row>
    <row r="2476" spans="1:6" x14ac:dyDescent="0.25">
      <c r="A2476" s="86">
        <v>2475</v>
      </c>
      <c r="B2476" s="87">
        <v>50.587232175865211</v>
      </c>
      <c r="C2476" s="14">
        <v>2</v>
      </c>
      <c r="D2476" s="86">
        <v>4.3302037941743698E-2</v>
      </c>
      <c r="E2476" s="86"/>
      <c r="F2476" s="14"/>
    </row>
    <row r="2477" spans="1:6" x14ac:dyDescent="0.25">
      <c r="A2477" s="86">
        <v>2476</v>
      </c>
      <c r="B2477" s="87">
        <v>44.63858544510731</v>
      </c>
      <c r="C2477" s="14">
        <v>4</v>
      </c>
      <c r="D2477" s="86">
        <v>0.15608307819499434</v>
      </c>
      <c r="E2477" s="86"/>
      <c r="F2477" s="14"/>
    </row>
    <row r="2478" spans="1:6" x14ac:dyDescent="0.25">
      <c r="A2478" s="86">
        <v>2477</v>
      </c>
      <c r="B2478" s="87">
        <v>40.327347500686301</v>
      </c>
      <c r="C2478" s="14">
        <v>1</v>
      </c>
      <c r="D2478" s="86">
        <v>0.18615892023650338</v>
      </c>
      <c r="E2478" s="86"/>
      <c r="F2478" s="14"/>
    </row>
    <row r="2479" spans="1:6" x14ac:dyDescent="0.25">
      <c r="A2479" s="86">
        <v>2478</v>
      </c>
      <c r="B2479" s="87">
        <v>49.644143013545545</v>
      </c>
      <c r="C2479" s="14">
        <v>4</v>
      </c>
      <c r="D2479" s="86">
        <v>0.8744289764974208</v>
      </c>
      <c r="E2479" s="86"/>
      <c r="F2479" s="14"/>
    </row>
    <row r="2480" spans="1:6" x14ac:dyDescent="0.25">
      <c r="A2480" s="86">
        <v>2479</v>
      </c>
      <c r="B2480" s="87">
        <v>37.930362845479976</v>
      </c>
      <c r="C2480" s="14">
        <v>2</v>
      </c>
      <c r="D2480" s="86">
        <v>0.74644504987938021</v>
      </c>
      <c r="E2480" s="86"/>
      <c r="F2480" s="14"/>
    </row>
    <row r="2481" spans="1:6" x14ac:dyDescent="0.25">
      <c r="A2481" s="86">
        <v>2480</v>
      </c>
      <c r="B2481" s="87">
        <v>48.877257081010612</v>
      </c>
      <c r="C2481" s="14">
        <v>4</v>
      </c>
      <c r="D2481" s="86">
        <v>0.11402627712315916</v>
      </c>
      <c r="E2481" s="86"/>
      <c r="F2481" s="14"/>
    </row>
    <row r="2482" spans="1:6" x14ac:dyDescent="0.25">
      <c r="A2482" s="86">
        <v>2481</v>
      </c>
      <c r="B2482" s="87">
        <v>45.18319087252894</v>
      </c>
      <c r="C2482" s="14">
        <v>4</v>
      </c>
      <c r="D2482" s="86">
        <v>0.29675121714265429</v>
      </c>
      <c r="E2482" s="86"/>
      <c r="F2482" s="14"/>
    </row>
    <row r="2483" spans="1:6" x14ac:dyDescent="0.25">
      <c r="A2483" s="86">
        <v>2482</v>
      </c>
      <c r="B2483" s="87">
        <v>47.67426843897556</v>
      </c>
      <c r="C2483" s="14">
        <v>5</v>
      </c>
      <c r="D2483" s="86">
        <v>0.59195336903169682</v>
      </c>
      <c r="E2483" s="86"/>
      <c r="F2483" s="14"/>
    </row>
    <row r="2484" spans="1:6" x14ac:dyDescent="0.25">
      <c r="A2484" s="86">
        <v>2483</v>
      </c>
      <c r="B2484" s="87">
        <v>34.968752510729246</v>
      </c>
      <c r="C2484" s="14">
        <v>1</v>
      </c>
      <c r="D2484" s="86">
        <v>0.20069950716034313</v>
      </c>
      <c r="E2484" s="86"/>
      <c r="F2484" s="14"/>
    </row>
    <row r="2485" spans="1:6" x14ac:dyDescent="0.25">
      <c r="A2485" s="86">
        <v>2484</v>
      </c>
      <c r="B2485" s="87">
        <v>53.090525393025018</v>
      </c>
      <c r="C2485" s="14">
        <v>5</v>
      </c>
      <c r="D2485" s="86">
        <v>0.74663993681386098</v>
      </c>
      <c r="E2485" s="86"/>
      <c r="F2485" s="14"/>
    </row>
    <row r="2486" spans="1:6" x14ac:dyDescent="0.25">
      <c r="A2486" s="86">
        <v>2485</v>
      </c>
      <c r="B2486" s="87">
        <v>46.506556822685525</v>
      </c>
      <c r="C2486" s="14">
        <v>5</v>
      </c>
      <c r="D2486" s="86">
        <v>0.96368498886637155</v>
      </c>
      <c r="E2486" s="86"/>
      <c r="F2486" s="14"/>
    </row>
    <row r="2487" spans="1:6" x14ac:dyDescent="0.25">
      <c r="A2487" s="86">
        <v>2486</v>
      </c>
      <c r="B2487" s="87">
        <v>36.637447914807126</v>
      </c>
      <c r="C2487" s="14">
        <v>2</v>
      </c>
      <c r="D2487" s="86">
        <v>0.78801060371538245</v>
      </c>
      <c r="E2487" s="86"/>
      <c r="F2487" s="14"/>
    </row>
    <row r="2488" spans="1:6" x14ac:dyDescent="0.25">
      <c r="A2488" s="86">
        <v>2487</v>
      </c>
      <c r="B2488" s="87">
        <v>42.955059593048645</v>
      </c>
      <c r="C2488" s="14">
        <v>2</v>
      </c>
      <c r="D2488" s="86">
        <v>2.6694792319046368E-3</v>
      </c>
      <c r="E2488" s="86"/>
      <c r="F2488" s="14"/>
    </row>
    <row r="2489" spans="1:6" x14ac:dyDescent="0.25">
      <c r="A2489" s="86">
        <v>2488</v>
      </c>
      <c r="B2489" s="87">
        <v>36.888911831163568</v>
      </c>
      <c r="C2489" s="14">
        <v>5</v>
      </c>
      <c r="D2489" s="86">
        <v>0.19313878026506726</v>
      </c>
      <c r="E2489" s="86"/>
      <c r="F2489" s="14"/>
    </row>
    <row r="2490" spans="1:6" x14ac:dyDescent="0.25">
      <c r="A2490" s="86">
        <v>2489</v>
      </c>
      <c r="B2490" s="87">
        <v>37.942504599748645</v>
      </c>
      <c r="C2490" s="14">
        <v>2</v>
      </c>
      <c r="D2490" s="86">
        <v>7.8189237510506882E-2</v>
      </c>
      <c r="E2490" s="86"/>
      <c r="F2490" s="14"/>
    </row>
    <row r="2491" spans="1:6" x14ac:dyDescent="0.25">
      <c r="A2491" s="86">
        <v>2490</v>
      </c>
      <c r="B2491" s="87">
        <v>28.306203598156571</v>
      </c>
      <c r="C2491" s="14">
        <v>4</v>
      </c>
      <c r="D2491" s="86">
        <v>0.7463101142481694</v>
      </c>
      <c r="E2491" s="86"/>
      <c r="F2491" s="14"/>
    </row>
    <row r="2492" spans="1:6" x14ac:dyDescent="0.25">
      <c r="A2492" s="86">
        <v>2491</v>
      </c>
      <c r="B2492" s="87">
        <v>36.088431438081898</v>
      </c>
      <c r="C2492" s="14">
        <v>5</v>
      </c>
      <c r="D2492" s="86">
        <v>0.49202390285038733</v>
      </c>
      <c r="E2492" s="86"/>
      <c r="F2492" s="14"/>
    </row>
    <row r="2493" spans="1:6" x14ac:dyDescent="0.25">
      <c r="A2493" s="86">
        <v>2492</v>
      </c>
      <c r="B2493" s="87">
        <v>47.11798737331992</v>
      </c>
      <c r="C2493" s="14">
        <v>5</v>
      </c>
      <c r="D2493" s="86">
        <v>0.41657811104694709</v>
      </c>
      <c r="E2493" s="86"/>
      <c r="F2493" s="14"/>
    </row>
    <row r="2494" spans="1:6" x14ac:dyDescent="0.25">
      <c r="A2494" s="86">
        <v>2493</v>
      </c>
      <c r="B2494" s="87">
        <v>48.140498160471907</v>
      </c>
      <c r="C2494" s="14">
        <v>1</v>
      </c>
      <c r="D2494" s="86">
        <v>0.97786881813220849</v>
      </c>
      <c r="E2494" s="86"/>
      <c r="F2494" s="14"/>
    </row>
    <row r="2495" spans="1:6" x14ac:dyDescent="0.25">
      <c r="A2495" s="86">
        <v>2494</v>
      </c>
      <c r="B2495" s="87">
        <v>42.396686689578928</v>
      </c>
      <c r="C2495" s="14">
        <v>2</v>
      </c>
      <c r="D2495" s="86">
        <v>0.46605735348138067</v>
      </c>
      <c r="E2495" s="86"/>
      <c r="F2495" s="14"/>
    </row>
    <row r="2496" spans="1:6" x14ac:dyDescent="0.25">
      <c r="A2496" s="86">
        <v>2495</v>
      </c>
      <c r="B2496" s="87">
        <v>48.707408945454517</v>
      </c>
      <c r="C2496" s="14">
        <v>2</v>
      </c>
      <c r="D2496" s="86">
        <v>0.83209037343738868</v>
      </c>
      <c r="E2496" s="86"/>
      <c r="F2496" s="14"/>
    </row>
    <row r="2497" spans="1:6" x14ac:dyDescent="0.25">
      <c r="A2497" s="86">
        <v>2496</v>
      </c>
      <c r="B2497" s="87">
        <v>48.007359504816122</v>
      </c>
      <c r="C2497" s="14">
        <v>4</v>
      </c>
      <c r="D2497" s="86">
        <v>0.18760601924104525</v>
      </c>
      <c r="E2497" s="86"/>
      <c r="F2497" s="14"/>
    </row>
    <row r="2498" spans="1:6" x14ac:dyDescent="0.25">
      <c r="A2498" s="86">
        <v>2497</v>
      </c>
      <c r="B2498" s="87">
        <v>51.056372280407231</v>
      </c>
      <c r="C2498" s="14">
        <v>5</v>
      </c>
      <c r="D2498" s="86">
        <v>0.96158537938467925</v>
      </c>
      <c r="E2498" s="86"/>
      <c r="F2498" s="14"/>
    </row>
    <row r="2499" spans="1:6" x14ac:dyDescent="0.25">
      <c r="A2499" s="86">
        <v>2498</v>
      </c>
      <c r="B2499" s="87">
        <v>53.42608346324414</v>
      </c>
      <c r="C2499" s="14">
        <v>3</v>
      </c>
      <c r="D2499" s="86">
        <v>0.84328024731192253</v>
      </c>
      <c r="E2499" s="86"/>
      <c r="F2499" s="14"/>
    </row>
    <row r="2500" spans="1:6" x14ac:dyDescent="0.25">
      <c r="A2500" s="86">
        <v>2499</v>
      </c>
      <c r="B2500" s="87">
        <v>38.567208088687039</v>
      </c>
      <c r="C2500" s="14">
        <v>2</v>
      </c>
      <c r="D2500" s="86">
        <v>0.96252783670548869</v>
      </c>
      <c r="E2500" s="86"/>
      <c r="F2500" s="14"/>
    </row>
    <row r="2501" spans="1:6" x14ac:dyDescent="0.25">
      <c r="A2501" s="86">
        <v>2500</v>
      </c>
      <c r="B2501" s="87">
        <v>35.164021023199894</v>
      </c>
      <c r="C2501" s="14">
        <v>2</v>
      </c>
      <c r="D2501" s="86">
        <v>0.78445238861949074</v>
      </c>
      <c r="E2501" s="86"/>
      <c r="F2501" s="14"/>
    </row>
    <row r="2502" spans="1:6" x14ac:dyDescent="0.25">
      <c r="A2502" s="86">
        <v>2501</v>
      </c>
      <c r="B2502" s="87">
        <v>38.920018136530416</v>
      </c>
      <c r="C2502" s="14">
        <v>4</v>
      </c>
      <c r="D2502" s="86">
        <v>0.4355913281571262</v>
      </c>
      <c r="E2502" s="86"/>
      <c r="F2502" s="14"/>
    </row>
    <row r="2503" spans="1:6" x14ac:dyDescent="0.25">
      <c r="A2503" s="86">
        <v>2502</v>
      </c>
      <c r="B2503" s="87">
        <v>40.188194811315043</v>
      </c>
      <c r="C2503" s="14">
        <v>4</v>
      </c>
      <c r="D2503" s="86">
        <v>0.32995609440879581</v>
      </c>
      <c r="E2503" s="86"/>
      <c r="F2503" s="14"/>
    </row>
    <row r="2504" spans="1:6" x14ac:dyDescent="0.25">
      <c r="A2504" s="86">
        <v>2503</v>
      </c>
      <c r="B2504" s="87">
        <v>43.507100139657268</v>
      </c>
      <c r="C2504" s="14">
        <v>3</v>
      </c>
      <c r="D2504" s="86">
        <v>0.95036974103022509</v>
      </c>
      <c r="E2504" s="86"/>
      <c r="F2504" s="14"/>
    </row>
    <row r="2505" spans="1:6" x14ac:dyDescent="0.25">
      <c r="A2505" s="86">
        <v>2504</v>
      </c>
      <c r="B2505" s="87">
        <v>44.180342223960906</v>
      </c>
      <c r="C2505" s="14">
        <v>4</v>
      </c>
      <c r="D2505" s="86">
        <v>0.11938589966627466</v>
      </c>
      <c r="E2505" s="86"/>
      <c r="F2505" s="14"/>
    </row>
    <row r="2506" spans="1:6" x14ac:dyDescent="0.25">
      <c r="A2506" s="86">
        <v>2505</v>
      </c>
      <c r="B2506" s="87">
        <v>44.56892383529339</v>
      </c>
      <c r="C2506" s="14">
        <v>5</v>
      </c>
      <c r="D2506" s="86">
        <v>0.57963359470683018</v>
      </c>
      <c r="E2506" s="86"/>
      <c r="F2506" s="14"/>
    </row>
    <row r="2507" spans="1:6" x14ac:dyDescent="0.25">
      <c r="A2507" s="86">
        <v>2506</v>
      </c>
      <c r="B2507" s="87">
        <v>44.042337771650637</v>
      </c>
      <c r="C2507" s="14">
        <v>4</v>
      </c>
      <c r="D2507" s="86">
        <v>0.68466171580701474</v>
      </c>
      <c r="E2507" s="86"/>
      <c r="F2507" s="14"/>
    </row>
    <row r="2508" spans="1:6" x14ac:dyDescent="0.25">
      <c r="A2508" s="86">
        <v>2507</v>
      </c>
      <c r="B2508" s="87">
        <v>39.022677350993035</v>
      </c>
      <c r="C2508" s="14">
        <v>2</v>
      </c>
      <c r="D2508" s="86">
        <v>0.39382771819370943</v>
      </c>
      <c r="E2508" s="86"/>
      <c r="F2508" s="14"/>
    </row>
    <row r="2509" spans="1:6" x14ac:dyDescent="0.25">
      <c r="A2509" s="86">
        <v>2508</v>
      </c>
      <c r="B2509" s="87">
        <v>40.764092540819547</v>
      </c>
      <c r="C2509" s="14">
        <v>2</v>
      </c>
      <c r="D2509" s="86">
        <v>0.45758461335311429</v>
      </c>
      <c r="E2509" s="86"/>
      <c r="F2509" s="14"/>
    </row>
    <row r="2510" spans="1:6" x14ac:dyDescent="0.25">
      <c r="A2510" s="86">
        <v>2509</v>
      </c>
      <c r="B2510" s="87">
        <v>48.596541541308397</v>
      </c>
      <c r="C2510" s="14">
        <v>5</v>
      </c>
      <c r="D2510" s="86">
        <v>0.95189741465990585</v>
      </c>
      <c r="E2510" s="86"/>
      <c r="F2510" s="14"/>
    </row>
    <row r="2511" spans="1:6" x14ac:dyDescent="0.25">
      <c r="A2511" s="86">
        <v>2510</v>
      </c>
      <c r="B2511" s="87">
        <v>41.583854221578804</v>
      </c>
      <c r="C2511" s="14">
        <v>2</v>
      </c>
      <c r="D2511" s="86">
        <v>0.21388792180961491</v>
      </c>
      <c r="E2511" s="86"/>
      <c r="F2511" s="14"/>
    </row>
    <row r="2512" spans="1:6" x14ac:dyDescent="0.25">
      <c r="A2512" s="86">
        <v>2511</v>
      </c>
      <c r="B2512" s="87">
        <v>43.191869276022771</v>
      </c>
      <c r="C2512" s="14">
        <v>4</v>
      </c>
      <c r="D2512" s="86">
        <v>0.64568745836091024</v>
      </c>
      <c r="E2512" s="86"/>
      <c r="F2512" s="14"/>
    </row>
    <row r="2513" spans="1:6" x14ac:dyDescent="0.25">
      <c r="A2513" s="86">
        <v>2512</v>
      </c>
      <c r="B2513" s="87">
        <v>39.209896835352993</v>
      </c>
      <c r="C2513" s="14">
        <v>4</v>
      </c>
      <c r="D2513" s="86">
        <v>0.2567080501777752</v>
      </c>
      <c r="E2513" s="86"/>
      <c r="F2513" s="14"/>
    </row>
    <row r="2514" spans="1:6" x14ac:dyDescent="0.25">
      <c r="A2514" s="86">
        <v>2513</v>
      </c>
      <c r="B2514" s="87">
        <v>48.869628694199491</v>
      </c>
      <c r="C2514" s="14">
        <v>2</v>
      </c>
      <c r="D2514" s="86">
        <v>0.36702030268636399</v>
      </c>
      <c r="E2514" s="86"/>
      <c r="F2514" s="14"/>
    </row>
    <row r="2515" spans="1:6" x14ac:dyDescent="0.25">
      <c r="A2515" s="86">
        <v>2514</v>
      </c>
      <c r="B2515" s="87">
        <v>49.868083346489584</v>
      </c>
      <c r="C2515" s="14">
        <v>2</v>
      </c>
      <c r="D2515" s="86">
        <v>0.1692124115556618</v>
      </c>
      <c r="E2515" s="86"/>
      <c r="F2515" s="14"/>
    </row>
    <row r="2516" spans="1:6" x14ac:dyDescent="0.25">
      <c r="A2516" s="86">
        <v>2515</v>
      </c>
      <c r="B2516" s="87">
        <v>39.708385197052849</v>
      </c>
      <c r="C2516" s="14">
        <v>2</v>
      </c>
      <c r="D2516" s="86">
        <v>0.31565660570997911</v>
      </c>
      <c r="E2516" s="86"/>
      <c r="F2516" s="14"/>
    </row>
    <row r="2517" spans="1:6" x14ac:dyDescent="0.25">
      <c r="A2517" s="86">
        <v>2516</v>
      </c>
      <c r="B2517" s="87">
        <v>34.168169799493626</v>
      </c>
      <c r="C2517" s="14">
        <v>2</v>
      </c>
      <c r="D2517" s="86">
        <v>0.38176115748598294</v>
      </c>
      <c r="E2517" s="86"/>
      <c r="F2517" s="14"/>
    </row>
    <row r="2518" spans="1:6" x14ac:dyDescent="0.25">
      <c r="A2518" s="86">
        <v>2517</v>
      </c>
      <c r="B2518" s="87">
        <v>41.09831479069544</v>
      </c>
      <c r="C2518" s="14">
        <v>2</v>
      </c>
      <c r="D2518" s="86">
        <v>0.56288373720386708</v>
      </c>
      <c r="E2518" s="86"/>
      <c r="F2518" s="14"/>
    </row>
    <row r="2519" spans="1:6" x14ac:dyDescent="0.25">
      <c r="A2519" s="86">
        <v>2518</v>
      </c>
      <c r="B2519" s="87">
        <v>45.621607109176693</v>
      </c>
      <c r="C2519" s="14">
        <v>4</v>
      </c>
      <c r="D2519" s="86">
        <v>0.88690623888077535</v>
      </c>
      <c r="E2519" s="86"/>
      <c r="F2519" s="14"/>
    </row>
    <row r="2520" spans="1:6" x14ac:dyDescent="0.25">
      <c r="A2520" s="86">
        <v>2519</v>
      </c>
      <c r="B2520" s="87">
        <v>42.451364374181139</v>
      </c>
      <c r="C2520" s="14">
        <v>2</v>
      </c>
      <c r="D2520" s="86">
        <v>0.56768874893020571</v>
      </c>
      <c r="E2520" s="86"/>
      <c r="F2520" s="14"/>
    </row>
    <row r="2521" spans="1:6" x14ac:dyDescent="0.25">
      <c r="A2521" s="86">
        <v>2520</v>
      </c>
      <c r="B2521" s="87">
        <v>40.296413312142249</v>
      </c>
      <c r="C2521" s="14">
        <v>4</v>
      </c>
      <c r="D2521" s="86">
        <v>0.77827794130122363</v>
      </c>
      <c r="E2521" s="86"/>
      <c r="F2521" s="14"/>
    </row>
    <row r="2522" spans="1:6" x14ac:dyDescent="0.25">
      <c r="A2522" s="86">
        <v>2521</v>
      </c>
      <c r="B2522" s="87">
        <v>42.133348183022463</v>
      </c>
      <c r="C2522" s="14">
        <v>2</v>
      </c>
      <c r="D2522" s="86">
        <v>0.45709650667557178</v>
      </c>
      <c r="E2522" s="86"/>
      <c r="F2522" s="14"/>
    </row>
    <row r="2523" spans="1:6" x14ac:dyDescent="0.25">
      <c r="A2523" s="86">
        <v>2522</v>
      </c>
      <c r="B2523" s="87">
        <v>44.943692495842697</v>
      </c>
      <c r="C2523" s="14">
        <v>4</v>
      </c>
      <c r="D2523" s="86">
        <v>0.88676400418667423</v>
      </c>
      <c r="E2523" s="86"/>
      <c r="F2523" s="14"/>
    </row>
    <row r="2524" spans="1:6" x14ac:dyDescent="0.25">
      <c r="A2524" s="86">
        <v>2523</v>
      </c>
      <c r="B2524" s="87">
        <v>48.156095994607313</v>
      </c>
      <c r="C2524" s="14">
        <v>2</v>
      </c>
      <c r="D2524" s="86">
        <v>0.23500336867271565</v>
      </c>
      <c r="E2524" s="86"/>
      <c r="F2524" s="14"/>
    </row>
    <row r="2525" spans="1:6" x14ac:dyDescent="0.25">
      <c r="A2525" s="86">
        <v>2524</v>
      </c>
      <c r="B2525" s="87">
        <v>50.552330316684674</v>
      </c>
      <c r="C2525" s="14">
        <v>4</v>
      </c>
      <c r="D2525" s="86">
        <v>0.91994061651508241</v>
      </c>
      <c r="E2525" s="86"/>
      <c r="F2525" s="14"/>
    </row>
    <row r="2526" spans="1:6" x14ac:dyDescent="0.25">
      <c r="A2526" s="86">
        <v>2525</v>
      </c>
      <c r="B2526" s="87">
        <v>41.57907369005261</v>
      </c>
      <c r="C2526" s="14">
        <v>5</v>
      </c>
      <c r="D2526" s="86">
        <v>0.968885607822767</v>
      </c>
      <c r="E2526" s="86"/>
      <c r="F2526" s="14"/>
    </row>
    <row r="2527" spans="1:6" x14ac:dyDescent="0.25">
      <c r="A2527" s="86">
        <v>2526</v>
      </c>
      <c r="B2527" s="87">
        <v>37.985057583107846</v>
      </c>
      <c r="C2527" s="14">
        <v>4</v>
      </c>
      <c r="D2527" s="86">
        <v>0.39922080308571373</v>
      </c>
      <c r="E2527" s="86"/>
      <c r="F2527" s="14"/>
    </row>
    <row r="2528" spans="1:6" x14ac:dyDescent="0.25">
      <c r="A2528" s="86">
        <v>2527</v>
      </c>
      <c r="B2528" s="87">
        <v>38.169503108627396</v>
      </c>
      <c r="C2528" s="14">
        <v>1</v>
      </c>
      <c r="D2528" s="86">
        <v>0.96288337541532065</v>
      </c>
      <c r="E2528" s="86"/>
      <c r="F2528" s="14"/>
    </row>
    <row r="2529" spans="1:6" x14ac:dyDescent="0.25">
      <c r="A2529" s="86">
        <v>2528</v>
      </c>
      <c r="B2529" s="87">
        <v>43.668478605803102</v>
      </c>
      <c r="C2529" s="14">
        <v>2</v>
      </c>
      <c r="D2529" s="86">
        <v>0.78719417092557142</v>
      </c>
      <c r="E2529" s="86"/>
      <c r="F2529" s="14"/>
    </row>
    <row r="2530" spans="1:6" x14ac:dyDescent="0.25">
      <c r="A2530" s="86">
        <v>2529</v>
      </c>
      <c r="B2530" s="87">
        <v>43.609475137025584</v>
      </c>
      <c r="C2530" s="14">
        <v>1</v>
      </c>
      <c r="D2530" s="86">
        <v>0.36941086446311944</v>
      </c>
      <c r="E2530" s="86"/>
      <c r="F2530" s="14"/>
    </row>
    <row r="2531" spans="1:6" x14ac:dyDescent="0.25">
      <c r="A2531" s="86">
        <v>2530</v>
      </c>
      <c r="B2531" s="87">
        <v>41.974857362554758</v>
      </c>
      <c r="C2531" s="14">
        <v>4</v>
      </c>
      <c r="D2531" s="86">
        <v>0.16225928080358709</v>
      </c>
      <c r="E2531" s="86"/>
      <c r="F2531" s="14"/>
    </row>
    <row r="2532" spans="1:6" x14ac:dyDescent="0.25">
      <c r="A2532" s="86">
        <v>2531</v>
      </c>
      <c r="B2532" s="87">
        <v>46.958450633945176</v>
      </c>
      <c r="C2532" s="14">
        <v>2</v>
      </c>
      <c r="D2532" s="86">
        <v>0.2716083596760398</v>
      </c>
      <c r="E2532" s="86"/>
      <c r="F2532" s="14"/>
    </row>
    <row r="2533" spans="1:6" x14ac:dyDescent="0.25">
      <c r="A2533" s="86">
        <v>2532</v>
      </c>
      <c r="B2533" s="87">
        <v>44.430089469067752</v>
      </c>
      <c r="C2533" s="14">
        <v>4</v>
      </c>
      <c r="D2533" s="86">
        <v>0.98784517485552537</v>
      </c>
      <c r="E2533" s="86"/>
      <c r="F2533" s="14"/>
    </row>
    <row r="2534" spans="1:6" x14ac:dyDescent="0.25">
      <c r="A2534" s="86">
        <v>2533</v>
      </c>
      <c r="B2534" s="87">
        <v>39.881251718150452</v>
      </c>
      <c r="C2534" s="14">
        <v>5</v>
      </c>
      <c r="D2534" s="86">
        <v>0.9046765455981467</v>
      </c>
      <c r="E2534" s="86"/>
      <c r="F2534" s="14"/>
    </row>
    <row r="2535" spans="1:6" x14ac:dyDescent="0.25">
      <c r="A2535" s="86">
        <v>2534</v>
      </c>
      <c r="B2535" s="87">
        <v>44.9164929199178</v>
      </c>
      <c r="C2535" s="14">
        <v>4</v>
      </c>
      <c r="D2535" s="86">
        <v>0.49727660770308024</v>
      </c>
      <c r="E2535" s="86"/>
      <c r="F2535" s="14"/>
    </row>
    <row r="2536" spans="1:6" x14ac:dyDescent="0.25">
      <c r="A2536" s="86">
        <v>2535</v>
      </c>
      <c r="B2536" s="87">
        <v>45.988304004247766</v>
      </c>
      <c r="C2536" s="14">
        <v>2</v>
      </c>
      <c r="D2536" s="86">
        <v>0.41565807545380706</v>
      </c>
      <c r="E2536" s="86"/>
      <c r="F2536" s="14"/>
    </row>
    <row r="2537" spans="1:6" x14ac:dyDescent="0.25">
      <c r="A2537" s="86">
        <v>2536</v>
      </c>
      <c r="B2537" s="87">
        <v>43.666551613903721</v>
      </c>
      <c r="C2537" s="14">
        <v>3</v>
      </c>
      <c r="D2537" s="86">
        <v>0.40819293669768797</v>
      </c>
      <c r="E2537" s="86"/>
      <c r="F2537" s="14"/>
    </row>
    <row r="2538" spans="1:6" x14ac:dyDescent="0.25">
      <c r="A2538" s="86">
        <v>2537</v>
      </c>
      <c r="B2538" s="87">
        <v>39.126268797524972</v>
      </c>
      <c r="C2538" s="14">
        <v>2</v>
      </c>
      <c r="D2538" s="86">
        <v>0.38207280651270492</v>
      </c>
      <c r="E2538" s="86"/>
      <c r="F2538" s="14"/>
    </row>
    <row r="2539" spans="1:6" x14ac:dyDescent="0.25">
      <c r="A2539" s="86">
        <v>2538</v>
      </c>
      <c r="B2539" s="87">
        <v>40.681356944667641</v>
      </c>
      <c r="C2539" s="14">
        <v>2</v>
      </c>
      <c r="D2539" s="86">
        <v>0.51821442056027334</v>
      </c>
      <c r="E2539" s="86"/>
      <c r="F2539" s="14"/>
    </row>
    <row r="2540" spans="1:6" x14ac:dyDescent="0.25">
      <c r="A2540" s="86">
        <v>2539</v>
      </c>
      <c r="B2540" s="87">
        <v>43.697434643370798</v>
      </c>
      <c r="C2540" s="14">
        <v>4</v>
      </c>
      <c r="D2540" s="86">
        <v>0.90700179087288391</v>
      </c>
      <c r="E2540" s="86"/>
      <c r="F2540" s="14"/>
    </row>
    <row r="2541" spans="1:6" x14ac:dyDescent="0.25">
      <c r="A2541" s="86">
        <v>2540</v>
      </c>
      <c r="B2541" s="87">
        <v>38.825373844127171</v>
      </c>
      <c r="C2541" s="14">
        <v>4</v>
      </c>
      <c r="D2541" s="86">
        <v>0.58392414167531792</v>
      </c>
      <c r="E2541" s="86"/>
      <c r="F2541" s="14"/>
    </row>
    <row r="2542" spans="1:6" x14ac:dyDescent="0.25">
      <c r="A2542" s="86">
        <v>2541</v>
      </c>
      <c r="B2542" s="87">
        <v>47.325022473494755</v>
      </c>
      <c r="C2542" s="14">
        <v>4</v>
      </c>
      <c r="D2542" s="86">
        <v>0.33868525536848559</v>
      </c>
      <c r="E2542" s="86"/>
      <c r="F2542" s="14"/>
    </row>
    <row r="2543" spans="1:6" x14ac:dyDescent="0.25">
      <c r="A2543" s="86">
        <v>2542</v>
      </c>
      <c r="B2543" s="87">
        <v>36.392668784508714</v>
      </c>
      <c r="C2543" s="14">
        <v>4</v>
      </c>
      <c r="D2543" s="86">
        <v>0.97858996507679608</v>
      </c>
      <c r="E2543" s="86"/>
      <c r="F2543" s="14"/>
    </row>
    <row r="2544" spans="1:6" x14ac:dyDescent="0.25">
      <c r="A2544" s="86">
        <v>2543</v>
      </c>
      <c r="B2544" s="87">
        <v>39.399890278553357</v>
      </c>
      <c r="C2544" s="14">
        <v>1</v>
      </c>
      <c r="D2544" s="86">
        <v>0.17309355851657227</v>
      </c>
      <c r="E2544" s="86"/>
      <c r="F2544" s="14"/>
    </row>
    <row r="2545" spans="1:6" x14ac:dyDescent="0.25">
      <c r="A2545" s="86">
        <v>2544</v>
      </c>
      <c r="B2545" s="87">
        <v>41.568716819136171</v>
      </c>
      <c r="C2545" s="14">
        <v>4</v>
      </c>
      <c r="D2545" s="86">
        <v>0.59003424200766219</v>
      </c>
      <c r="E2545" s="86"/>
      <c r="F2545" s="14"/>
    </row>
    <row r="2546" spans="1:6" x14ac:dyDescent="0.25">
      <c r="A2546" s="86">
        <v>2545</v>
      </c>
      <c r="B2546" s="87">
        <v>50.477774488506839</v>
      </c>
      <c r="C2546" s="14">
        <v>3</v>
      </c>
      <c r="D2546" s="86">
        <v>0.8941799052537871</v>
      </c>
      <c r="E2546" s="86"/>
      <c r="F2546" s="14"/>
    </row>
    <row r="2547" spans="1:6" x14ac:dyDescent="0.25">
      <c r="A2547" s="86">
        <v>2546</v>
      </c>
      <c r="B2547" s="87">
        <v>44.05171693576267</v>
      </c>
      <c r="C2547" s="14">
        <v>4</v>
      </c>
      <c r="D2547" s="86">
        <v>0.77333599680368459</v>
      </c>
      <c r="E2547" s="86"/>
      <c r="F2547" s="14"/>
    </row>
    <row r="2548" spans="1:6" x14ac:dyDescent="0.25">
      <c r="A2548" s="86">
        <v>2547</v>
      </c>
      <c r="B2548" s="87">
        <v>41.886806906739366</v>
      </c>
      <c r="C2548" s="14">
        <v>2</v>
      </c>
      <c r="D2548" s="86">
        <v>0.24717550640423669</v>
      </c>
      <c r="E2548" s="86"/>
      <c r="F2548" s="14"/>
    </row>
    <row r="2549" spans="1:6" x14ac:dyDescent="0.25">
      <c r="A2549" s="86">
        <v>2548</v>
      </c>
      <c r="B2549" s="87">
        <v>38.102587035944453</v>
      </c>
      <c r="C2549" s="14">
        <v>1</v>
      </c>
      <c r="D2549" s="86">
        <v>0.53826347654672702</v>
      </c>
      <c r="E2549" s="86"/>
      <c r="F2549" s="14"/>
    </row>
    <row r="2550" spans="1:6" x14ac:dyDescent="0.25">
      <c r="A2550" s="86">
        <v>2549</v>
      </c>
      <c r="B2550" s="87">
        <v>51.576057553000282</v>
      </c>
      <c r="C2550" s="14">
        <v>3</v>
      </c>
      <c r="D2550" s="86">
        <v>0.89855887931748868</v>
      </c>
      <c r="E2550" s="86"/>
      <c r="F2550" s="14"/>
    </row>
    <row r="2551" spans="1:6" x14ac:dyDescent="0.25">
      <c r="A2551" s="86">
        <v>2550</v>
      </c>
      <c r="B2551" s="87">
        <v>44.904561486298917</v>
      </c>
      <c r="C2551" s="14">
        <v>1</v>
      </c>
      <c r="D2551" s="86">
        <v>0.56395045677627986</v>
      </c>
      <c r="E2551" s="86"/>
      <c r="F2551" s="14"/>
    </row>
    <row r="2552" spans="1:6" x14ac:dyDescent="0.25">
      <c r="A2552" s="86">
        <v>2551</v>
      </c>
      <c r="B2552" s="87">
        <v>38.999019120063167</v>
      </c>
      <c r="C2552" s="14">
        <v>2</v>
      </c>
      <c r="D2552" s="86">
        <v>0.54947669693157397</v>
      </c>
      <c r="E2552" s="86"/>
      <c r="F2552" s="14"/>
    </row>
    <row r="2553" spans="1:6" x14ac:dyDescent="0.25">
      <c r="A2553" s="86">
        <v>2552</v>
      </c>
      <c r="B2553" s="87">
        <v>43.679290224070428</v>
      </c>
      <c r="C2553" s="14">
        <v>2</v>
      </c>
      <c r="D2553" s="86">
        <v>0.71721953101971658</v>
      </c>
      <c r="E2553" s="86"/>
      <c r="F2553" s="14"/>
    </row>
    <row r="2554" spans="1:6" x14ac:dyDescent="0.25">
      <c r="A2554" s="86">
        <v>2553</v>
      </c>
      <c r="B2554" s="87">
        <v>36.278299825760769</v>
      </c>
      <c r="C2554" s="14">
        <v>2</v>
      </c>
      <c r="D2554" s="86">
        <v>0.91670188176933665</v>
      </c>
      <c r="E2554" s="86"/>
      <c r="F2554" s="14"/>
    </row>
    <row r="2555" spans="1:6" x14ac:dyDescent="0.25">
      <c r="A2555" s="86">
        <v>2554</v>
      </c>
      <c r="B2555" s="87">
        <v>40.634404280688614</v>
      </c>
      <c r="C2555" s="14">
        <v>1</v>
      </c>
      <c r="D2555" s="86">
        <v>0.3314751604594931</v>
      </c>
      <c r="E2555" s="86"/>
      <c r="F2555" s="14"/>
    </row>
    <row r="2556" spans="1:6" x14ac:dyDescent="0.25">
      <c r="A2556" s="86">
        <v>2555</v>
      </c>
      <c r="B2556" s="87">
        <v>35.409152582695242</v>
      </c>
      <c r="C2556" s="14">
        <v>5</v>
      </c>
      <c r="D2556" s="86">
        <v>5.718348182162547E-3</v>
      </c>
      <c r="E2556" s="86"/>
      <c r="F2556" s="14"/>
    </row>
    <row r="2557" spans="1:6" x14ac:dyDescent="0.25">
      <c r="A2557" s="86">
        <v>2556</v>
      </c>
      <c r="B2557" s="87">
        <v>39.088990883436054</v>
      </c>
      <c r="C2557" s="14">
        <v>1</v>
      </c>
      <c r="D2557" s="86">
        <v>0.88613336768497464</v>
      </c>
      <c r="E2557" s="86"/>
      <c r="F2557" s="14"/>
    </row>
    <row r="2558" spans="1:6" x14ac:dyDescent="0.25">
      <c r="A2558" s="86">
        <v>2557</v>
      </c>
      <c r="B2558" s="87">
        <v>32.403113431762904</v>
      </c>
      <c r="C2558" s="14">
        <v>4</v>
      </c>
      <c r="D2558" s="86">
        <v>0.95548028431267418</v>
      </c>
      <c r="E2558" s="86"/>
      <c r="F2558" s="14"/>
    </row>
    <row r="2559" spans="1:6" x14ac:dyDescent="0.25">
      <c r="A2559" s="86">
        <v>2558</v>
      </c>
      <c r="B2559" s="87">
        <v>34.510890140489209</v>
      </c>
      <c r="C2559" s="14">
        <v>4</v>
      </c>
      <c r="D2559" s="86">
        <v>1.3962170276767827E-2</v>
      </c>
      <c r="E2559" s="86"/>
      <c r="F2559" s="14"/>
    </row>
    <row r="2560" spans="1:6" x14ac:dyDescent="0.25">
      <c r="A2560" s="86">
        <v>2559</v>
      </c>
      <c r="B2560" s="87">
        <v>43.962330659604049</v>
      </c>
      <c r="C2560" s="14">
        <v>1</v>
      </c>
      <c r="D2560" s="86">
        <v>0.24204533015628171</v>
      </c>
      <c r="E2560" s="86"/>
      <c r="F2560" s="14"/>
    </row>
    <row r="2561" spans="1:6" x14ac:dyDescent="0.25">
      <c r="A2561" s="86">
        <v>2560</v>
      </c>
      <c r="B2561" s="87">
        <v>50.931430445751175</v>
      </c>
      <c r="C2561" s="14">
        <v>4</v>
      </c>
      <c r="D2561" s="86">
        <v>0.12727317130536309</v>
      </c>
      <c r="E2561" s="86"/>
      <c r="F2561" s="14"/>
    </row>
    <row r="2562" spans="1:6" x14ac:dyDescent="0.25">
      <c r="A2562" s="86">
        <v>2561</v>
      </c>
      <c r="B2562" s="87">
        <v>34.096274243318476</v>
      </c>
      <c r="C2562" s="14">
        <v>2</v>
      </c>
      <c r="D2562" s="86">
        <v>0.65391175006031321</v>
      </c>
      <c r="E2562" s="86"/>
      <c r="F2562" s="14"/>
    </row>
    <row r="2563" spans="1:6" x14ac:dyDescent="0.25">
      <c r="A2563" s="86">
        <v>2562</v>
      </c>
      <c r="B2563" s="87">
        <v>42.039619069662876</v>
      </c>
      <c r="C2563" s="14">
        <v>2</v>
      </c>
      <c r="D2563" s="86">
        <v>3.0074902931231495E-2</v>
      </c>
      <c r="E2563" s="86"/>
      <c r="F2563" s="14"/>
    </row>
    <row r="2564" spans="1:6" x14ac:dyDescent="0.25">
      <c r="A2564" s="86">
        <v>2563</v>
      </c>
      <c r="B2564" s="87">
        <v>55.835698726121336</v>
      </c>
      <c r="C2564" s="14">
        <v>3</v>
      </c>
      <c r="D2564" s="86">
        <v>0.49904598302249237</v>
      </c>
      <c r="E2564" s="86"/>
      <c r="F2564" s="14"/>
    </row>
    <row r="2565" spans="1:6" x14ac:dyDescent="0.25">
      <c r="A2565" s="86">
        <v>2564</v>
      </c>
      <c r="B2565" s="87">
        <v>41.601759898519958</v>
      </c>
      <c r="C2565" s="14">
        <v>3</v>
      </c>
      <c r="D2565" s="86">
        <v>0.61421522017612828</v>
      </c>
      <c r="E2565" s="86"/>
      <c r="F2565" s="14"/>
    </row>
    <row r="2566" spans="1:6" x14ac:dyDescent="0.25">
      <c r="A2566" s="86">
        <v>2565</v>
      </c>
      <c r="B2566" s="87">
        <v>42.819999629835365</v>
      </c>
      <c r="C2566" s="14">
        <v>2</v>
      </c>
      <c r="D2566" s="86">
        <v>0.8055813959350101</v>
      </c>
      <c r="E2566" s="86"/>
      <c r="F2566" s="14"/>
    </row>
    <row r="2567" spans="1:6" x14ac:dyDescent="0.25">
      <c r="A2567" s="86">
        <v>2566</v>
      </c>
      <c r="B2567" s="87">
        <v>34.299773682840168</v>
      </c>
      <c r="C2567" s="14">
        <v>4</v>
      </c>
      <c r="D2567" s="86">
        <v>2.5078577711331596E-2</v>
      </c>
      <c r="E2567" s="86"/>
      <c r="F2567" s="14"/>
    </row>
    <row r="2568" spans="1:6" x14ac:dyDescent="0.25">
      <c r="A2568" s="86">
        <v>2567</v>
      </c>
      <c r="B2568" s="87">
        <v>40.264478679426247</v>
      </c>
      <c r="C2568" s="14">
        <v>2</v>
      </c>
      <c r="D2568" s="86">
        <v>0.65181313574266386</v>
      </c>
      <c r="E2568" s="86"/>
      <c r="F2568" s="14"/>
    </row>
    <row r="2569" spans="1:6" x14ac:dyDescent="0.25">
      <c r="A2569" s="86">
        <v>2568</v>
      </c>
      <c r="B2569" s="87">
        <v>51.362530934391543</v>
      </c>
      <c r="C2569" s="14">
        <v>2</v>
      </c>
      <c r="D2569" s="86">
        <v>0.23580568675711133</v>
      </c>
      <c r="E2569" s="86"/>
      <c r="F2569" s="14"/>
    </row>
    <row r="2570" spans="1:6" x14ac:dyDescent="0.25">
      <c r="A2570" s="86">
        <v>2569</v>
      </c>
      <c r="B2570" s="87">
        <v>46.089064648520434</v>
      </c>
      <c r="C2570" s="14">
        <v>5</v>
      </c>
      <c r="D2570" s="86">
        <v>0.4457932488938503</v>
      </c>
      <c r="E2570" s="86"/>
      <c r="F2570" s="14"/>
    </row>
    <row r="2571" spans="1:6" x14ac:dyDescent="0.25">
      <c r="A2571" s="86">
        <v>2570</v>
      </c>
      <c r="B2571" s="87">
        <v>44.299463292525616</v>
      </c>
      <c r="C2571" s="14">
        <v>2</v>
      </c>
      <c r="D2571" s="86">
        <v>0.8286572555594115</v>
      </c>
      <c r="E2571" s="86"/>
      <c r="F2571" s="14"/>
    </row>
    <row r="2572" spans="1:6" x14ac:dyDescent="0.25">
      <c r="A2572" s="86">
        <v>2571</v>
      </c>
      <c r="B2572" s="87">
        <v>41.708835846628062</v>
      </c>
      <c r="C2572" s="14">
        <v>4</v>
      </c>
      <c r="D2572" s="86">
        <v>0.36755255555162447</v>
      </c>
      <c r="E2572" s="86"/>
      <c r="F2572" s="14"/>
    </row>
    <row r="2573" spans="1:6" x14ac:dyDescent="0.25">
      <c r="A2573" s="86">
        <v>2572</v>
      </c>
      <c r="B2573" s="87">
        <v>38.693292476062197</v>
      </c>
      <c r="C2573" s="14">
        <v>4</v>
      </c>
      <c r="D2573" s="86">
        <v>0.71019972590210667</v>
      </c>
      <c r="E2573" s="86"/>
      <c r="F2573" s="14"/>
    </row>
    <row r="2574" spans="1:6" x14ac:dyDescent="0.25">
      <c r="A2574" s="86">
        <v>2573</v>
      </c>
      <c r="B2574" s="87">
        <v>43.409147560276324</v>
      </c>
      <c r="C2574" s="14">
        <v>4</v>
      </c>
      <c r="D2574" s="86">
        <v>0.18742803110973971</v>
      </c>
      <c r="E2574" s="86"/>
      <c r="F2574" s="14"/>
    </row>
    <row r="2575" spans="1:6" x14ac:dyDescent="0.25">
      <c r="A2575" s="86">
        <v>2574</v>
      </c>
      <c r="B2575" s="87">
        <v>30.369847076479346</v>
      </c>
      <c r="C2575" s="14">
        <v>2</v>
      </c>
      <c r="D2575" s="86">
        <v>4.5710273425046744E-2</v>
      </c>
      <c r="E2575" s="86"/>
      <c r="F2575" s="14"/>
    </row>
    <row r="2576" spans="1:6" x14ac:dyDescent="0.25">
      <c r="A2576" s="86">
        <v>2575</v>
      </c>
      <c r="B2576" s="87">
        <v>44.47157379615237</v>
      </c>
      <c r="C2576" s="14">
        <v>2</v>
      </c>
      <c r="D2576" s="86">
        <v>0.34331775179732671</v>
      </c>
      <c r="E2576" s="86"/>
      <c r="F2576" s="14"/>
    </row>
    <row r="2577" spans="1:6" x14ac:dyDescent="0.25">
      <c r="A2577" s="86">
        <v>2576</v>
      </c>
      <c r="B2577" s="87">
        <v>45.947706434497377</v>
      </c>
      <c r="C2577" s="14">
        <v>4</v>
      </c>
      <c r="D2577" s="86">
        <v>3.2205759595755445E-2</v>
      </c>
      <c r="E2577" s="86"/>
      <c r="F2577" s="14"/>
    </row>
    <row r="2578" spans="1:6" x14ac:dyDescent="0.25">
      <c r="A2578" s="86">
        <v>2577</v>
      </c>
      <c r="B2578" s="87">
        <v>32.620573614956811</v>
      </c>
      <c r="C2578" s="14">
        <v>4</v>
      </c>
      <c r="D2578" s="86">
        <v>0.54637636486218799</v>
      </c>
      <c r="E2578" s="86"/>
      <c r="F2578" s="14"/>
    </row>
    <row r="2579" spans="1:6" x14ac:dyDescent="0.25">
      <c r="A2579" s="86">
        <v>2578</v>
      </c>
      <c r="B2579" s="87">
        <v>43.054126303439261</v>
      </c>
      <c r="C2579" s="14">
        <v>4</v>
      </c>
      <c r="D2579" s="86">
        <v>0.19291537692486638</v>
      </c>
      <c r="E2579" s="86"/>
      <c r="F2579" s="14"/>
    </row>
    <row r="2580" spans="1:6" x14ac:dyDescent="0.25">
      <c r="A2580" s="86">
        <v>2579</v>
      </c>
      <c r="B2580" s="87">
        <v>46.360332812007982</v>
      </c>
      <c r="C2580" s="14">
        <v>4</v>
      </c>
      <c r="D2580" s="86">
        <v>2.1773880631217768E-2</v>
      </c>
      <c r="E2580" s="86"/>
      <c r="F2580" s="14"/>
    </row>
    <row r="2581" spans="1:6" x14ac:dyDescent="0.25">
      <c r="A2581" s="86">
        <v>2580</v>
      </c>
      <c r="B2581" s="87">
        <v>50.327844286919571</v>
      </c>
      <c r="C2581" s="14">
        <v>4</v>
      </c>
      <c r="D2581" s="86">
        <v>8.6355249516064325E-2</v>
      </c>
      <c r="E2581" s="86"/>
      <c r="F2581" s="14"/>
    </row>
    <row r="2582" spans="1:6" x14ac:dyDescent="0.25">
      <c r="A2582" s="86">
        <v>2581</v>
      </c>
      <c r="B2582" s="87">
        <v>36.507231010880787</v>
      </c>
      <c r="C2582" s="14">
        <v>4</v>
      </c>
      <c r="D2582" s="86">
        <v>2.5395785358537148E-2</v>
      </c>
      <c r="E2582" s="86"/>
      <c r="F2582" s="14"/>
    </row>
    <row r="2583" spans="1:6" x14ac:dyDescent="0.25">
      <c r="A2583" s="86">
        <v>2582</v>
      </c>
      <c r="B2583" s="87">
        <v>44.60310946739628</v>
      </c>
      <c r="C2583" s="14">
        <v>2</v>
      </c>
      <c r="D2583" s="86">
        <v>7.0431796203918262E-2</v>
      </c>
      <c r="E2583" s="86"/>
      <c r="F2583" s="14"/>
    </row>
    <row r="2584" spans="1:6" x14ac:dyDescent="0.25">
      <c r="A2584" s="86">
        <v>2583</v>
      </c>
      <c r="B2584" s="87">
        <v>52.890663932310417</v>
      </c>
      <c r="C2584" s="14">
        <v>1</v>
      </c>
      <c r="D2584" s="86">
        <v>0.27920946297777949</v>
      </c>
      <c r="E2584" s="86"/>
      <c r="F2584" s="14"/>
    </row>
    <row r="2585" spans="1:6" x14ac:dyDescent="0.25">
      <c r="A2585" s="86">
        <v>2584</v>
      </c>
      <c r="B2585" s="87">
        <v>43.005161382432561</v>
      </c>
      <c r="C2585" s="14">
        <v>2</v>
      </c>
      <c r="D2585" s="86">
        <v>0.58814463880142775</v>
      </c>
      <c r="E2585" s="86"/>
      <c r="F2585" s="14"/>
    </row>
    <row r="2586" spans="1:6" x14ac:dyDescent="0.25">
      <c r="A2586" s="86">
        <v>2585</v>
      </c>
      <c r="B2586" s="87">
        <v>43.613329120824346</v>
      </c>
      <c r="C2586" s="14">
        <v>1</v>
      </c>
      <c r="D2586" s="86">
        <v>0.16087493259034535</v>
      </c>
      <c r="E2586" s="86"/>
      <c r="F2586" s="14"/>
    </row>
    <row r="2587" spans="1:6" x14ac:dyDescent="0.25">
      <c r="A2587" s="86">
        <v>2586</v>
      </c>
      <c r="B2587" s="87">
        <v>56.994576875120401</v>
      </c>
      <c r="C2587" s="14">
        <v>2</v>
      </c>
      <c r="D2587" s="86">
        <v>0.60704748457202873</v>
      </c>
      <c r="E2587" s="86"/>
      <c r="F2587" s="14"/>
    </row>
    <row r="2588" spans="1:6" x14ac:dyDescent="0.25">
      <c r="A2588" s="86">
        <v>2587</v>
      </c>
      <c r="B2588" s="87">
        <v>55.73510861210525</v>
      </c>
      <c r="C2588" s="14">
        <v>4</v>
      </c>
      <c r="D2588" s="86">
        <v>0.39400753716725956</v>
      </c>
      <c r="E2588" s="86"/>
      <c r="F2588" s="14"/>
    </row>
    <row r="2589" spans="1:6" x14ac:dyDescent="0.25">
      <c r="A2589" s="86">
        <v>2588</v>
      </c>
      <c r="B2589" s="87">
        <v>36.614176219125511</v>
      </c>
      <c r="C2589" s="14">
        <v>2</v>
      </c>
      <c r="D2589" s="86">
        <v>1.6421687185267819E-2</v>
      </c>
      <c r="E2589" s="86"/>
      <c r="F2589" s="14"/>
    </row>
    <row r="2590" spans="1:6" x14ac:dyDescent="0.25">
      <c r="A2590" s="86">
        <v>2589</v>
      </c>
      <c r="B2590" s="87">
        <v>44.396250581819913</v>
      </c>
      <c r="C2590" s="14">
        <v>1</v>
      </c>
      <c r="D2590" s="86">
        <v>0.72898154567863493</v>
      </c>
      <c r="E2590" s="86"/>
      <c r="F2590" s="14"/>
    </row>
    <row r="2591" spans="1:6" x14ac:dyDescent="0.25">
      <c r="A2591" s="86">
        <v>2590</v>
      </c>
      <c r="B2591" s="87">
        <v>46.168150897181476</v>
      </c>
      <c r="C2591" s="14">
        <v>2</v>
      </c>
      <c r="D2591" s="86">
        <v>0.57981006213983433</v>
      </c>
      <c r="E2591" s="86"/>
      <c r="F2591" s="14"/>
    </row>
    <row r="2592" spans="1:6" x14ac:dyDescent="0.25">
      <c r="A2592" s="86">
        <v>2591</v>
      </c>
      <c r="B2592" s="87">
        <v>42.728106558904983</v>
      </c>
      <c r="C2592" s="14">
        <v>5</v>
      </c>
      <c r="D2592" s="86">
        <v>0.43308833653346934</v>
      </c>
      <c r="E2592" s="86"/>
      <c r="F2592" s="14"/>
    </row>
    <row r="2593" spans="1:6" x14ac:dyDescent="0.25">
      <c r="A2593" s="86">
        <v>2592</v>
      </c>
      <c r="B2593" s="87">
        <v>37.402742231613956</v>
      </c>
      <c r="C2593" s="14">
        <v>4</v>
      </c>
      <c r="D2593" s="86">
        <v>0.36042689096437452</v>
      </c>
      <c r="E2593" s="86"/>
      <c r="F2593" s="14"/>
    </row>
    <row r="2594" spans="1:6" x14ac:dyDescent="0.25">
      <c r="A2594" s="86">
        <v>2593</v>
      </c>
      <c r="B2594" s="87">
        <v>40.494865056069102</v>
      </c>
      <c r="C2594" s="14">
        <v>3</v>
      </c>
      <c r="D2594" s="86">
        <v>0.45920867544837307</v>
      </c>
      <c r="E2594" s="86"/>
      <c r="F2594" s="14"/>
    </row>
    <row r="2595" spans="1:6" x14ac:dyDescent="0.25">
      <c r="A2595" s="86">
        <v>2594</v>
      </c>
      <c r="B2595" s="87">
        <v>43.78522361945943</v>
      </c>
      <c r="C2595" s="14">
        <v>2</v>
      </c>
      <c r="D2595" s="86">
        <v>0.64541184988278577</v>
      </c>
      <c r="E2595" s="86"/>
      <c r="F2595" s="14"/>
    </row>
    <row r="2596" spans="1:6" x14ac:dyDescent="0.25">
      <c r="A2596" s="86">
        <v>2595</v>
      </c>
      <c r="B2596" s="87">
        <v>41.315740867838031</v>
      </c>
      <c r="C2596" s="14">
        <v>2</v>
      </c>
      <c r="D2596" s="86">
        <v>6.7649390834628731E-2</v>
      </c>
      <c r="E2596" s="86"/>
      <c r="F2596" s="14"/>
    </row>
    <row r="2597" spans="1:6" x14ac:dyDescent="0.25">
      <c r="A2597" s="86">
        <v>2596</v>
      </c>
      <c r="B2597" s="87">
        <v>53.439589459565468</v>
      </c>
      <c r="C2597" s="14">
        <v>2</v>
      </c>
      <c r="D2597" s="86">
        <v>0.10771114345720834</v>
      </c>
      <c r="E2597" s="86"/>
      <c r="F2597" s="14"/>
    </row>
    <row r="2598" spans="1:6" x14ac:dyDescent="0.25">
      <c r="A2598" s="86">
        <v>2597</v>
      </c>
      <c r="B2598" s="87">
        <v>40.962737552370527</v>
      </c>
      <c r="C2598" s="14">
        <v>4</v>
      </c>
      <c r="D2598" s="86">
        <v>0.25208766634137003</v>
      </c>
      <c r="E2598" s="86"/>
      <c r="F2598" s="14"/>
    </row>
    <row r="2599" spans="1:6" x14ac:dyDescent="0.25">
      <c r="A2599" s="86">
        <v>2598</v>
      </c>
      <c r="B2599" s="87">
        <v>40.108989191474393</v>
      </c>
      <c r="C2599" s="14">
        <v>3</v>
      </c>
      <c r="D2599" s="86">
        <v>0.37173947585503131</v>
      </c>
      <c r="E2599" s="86"/>
      <c r="F2599" s="14"/>
    </row>
    <row r="2600" spans="1:6" x14ac:dyDescent="0.25">
      <c r="A2600" s="86">
        <v>2599</v>
      </c>
      <c r="B2600" s="87">
        <v>33.821697792853229</v>
      </c>
      <c r="C2600" s="14">
        <v>1</v>
      </c>
      <c r="D2600" s="86">
        <v>0.25732379083086587</v>
      </c>
      <c r="E2600" s="86"/>
      <c r="F2600" s="14"/>
    </row>
    <row r="2601" spans="1:6" x14ac:dyDescent="0.25">
      <c r="A2601" s="86">
        <v>2600</v>
      </c>
      <c r="B2601" s="87">
        <v>45.1823495899298</v>
      </c>
      <c r="C2601" s="14">
        <v>4</v>
      </c>
      <c r="D2601" s="86">
        <v>0.76394321504712837</v>
      </c>
      <c r="E2601" s="86"/>
      <c r="F2601" s="14"/>
    </row>
    <row r="2602" spans="1:6" x14ac:dyDescent="0.25">
      <c r="A2602" s="86">
        <v>2601</v>
      </c>
      <c r="B2602" s="87">
        <v>46.889238087140257</v>
      </c>
      <c r="C2602" s="14">
        <v>5</v>
      </c>
      <c r="D2602" s="86">
        <v>0.98558576658566344</v>
      </c>
      <c r="E2602" s="86"/>
      <c r="F2602" s="14"/>
    </row>
    <row r="2603" spans="1:6" x14ac:dyDescent="0.25">
      <c r="A2603" s="86">
        <v>2602</v>
      </c>
      <c r="B2603" s="87">
        <v>47.422599886311218</v>
      </c>
      <c r="C2603" s="14">
        <v>3</v>
      </c>
      <c r="D2603" s="86">
        <v>0.92238128080043291</v>
      </c>
      <c r="E2603" s="86"/>
      <c r="F2603" s="14"/>
    </row>
    <row r="2604" spans="1:6" x14ac:dyDescent="0.25">
      <c r="A2604" s="86">
        <v>2603</v>
      </c>
      <c r="B2604" s="87">
        <v>47.832941158383619</v>
      </c>
      <c r="C2604" s="14">
        <v>2</v>
      </c>
      <c r="D2604" s="86">
        <v>0.93831413135360164</v>
      </c>
      <c r="E2604" s="86"/>
      <c r="F2604" s="14"/>
    </row>
    <row r="2605" spans="1:6" x14ac:dyDescent="0.25">
      <c r="A2605" s="86">
        <v>2604</v>
      </c>
      <c r="B2605" s="87">
        <v>40.073655322310515</v>
      </c>
      <c r="C2605" s="14">
        <v>1</v>
      </c>
      <c r="D2605" s="86">
        <v>0.6315973803573588</v>
      </c>
      <c r="E2605" s="86"/>
      <c r="F2605" s="14"/>
    </row>
    <row r="2606" spans="1:6" x14ac:dyDescent="0.25">
      <c r="A2606" s="86">
        <v>2605</v>
      </c>
      <c r="B2606" s="87">
        <v>41.409771251317579</v>
      </c>
      <c r="C2606" s="14">
        <v>5</v>
      </c>
      <c r="D2606" s="86">
        <v>0.78206374114981914</v>
      </c>
      <c r="E2606" s="86"/>
      <c r="F2606" s="14"/>
    </row>
    <row r="2607" spans="1:6" x14ac:dyDescent="0.25">
      <c r="A2607" s="86">
        <v>2606</v>
      </c>
      <c r="B2607" s="87">
        <v>41.618460494981264</v>
      </c>
      <c r="C2607" s="14">
        <v>5</v>
      </c>
      <c r="D2607" s="86">
        <v>0.1314470864171996</v>
      </c>
      <c r="E2607" s="86"/>
      <c r="F2607" s="14"/>
    </row>
    <row r="2608" spans="1:6" x14ac:dyDescent="0.25">
      <c r="A2608" s="86">
        <v>2607</v>
      </c>
      <c r="B2608" s="87">
        <v>36.883261595328804</v>
      </c>
      <c r="C2608" s="14">
        <v>2</v>
      </c>
      <c r="D2608" s="86">
        <v>0.21811526180459906</v>
      </c>
      <c r="E2608" s="86"/>
      <c r="F2608" s="14"/>
    </row>
    <row r="2609" spans="1:6" x14ac:dyDescent="0.25">
      <c r="A2609" s="86">
        <v>2608</v>
      </c>
      <c r="B2609" s="87">
        <v>36.944243215082679</v>
      </c>
      <c r="C2609" s="14">
        <v>5</v>
      </c>
      <c r="D2609" s="86">
        <v>0.51027514230337201</v>
      </c>
      <c r="E2609" s="86"/>
      <c r="F2609" s="14"/>
    </row>
    <row r="2610" spans="1:6" x14ac:dyDescent="0.25">
      <c r="A2610" s="86">
        <v>2609</v>
      </c>
      <c r="B2610" s="87">
        <v>46.166280748700956</v>
      </c>
      <c r="C2610" s="14">
        <v>3</v>
      </c>
      <c r="D2610" s="86">
        <v>0.88949434588822618</v>
      </c>
      <c r="E2610" s="86"/>
      <c r="F2610" s="14"/>
    </row>
    <row r="2611" spans="1:6" x14ac:dyDescent="0.25">
      <c r="A2611" s="86">
        <v>2610</v>
      </c>
      <c r="B2611" s="87">
        <v>37.4758656056365</v>
      </c>
      <c r="C2611" s="14">
        <v>1</v>
      </c>
      <c r="D2611" s="86">
        <v>0.54082203671421691</v>
      </c>
      <c r="E2611" s="86"/>
      <c r="F2611" s="14"/>
    </row>
    <row r="2612" spans="1:6" x14ac:dyDescent="0.25">
      <c r="A2612" s="86">
        <v>2611</v>
      </c>
      <c r="B2612" s="87">
        <v>37.779034295788733</v>
      </c>
      <c r="C2612" s="14">
        <v>1</v>
      </c>
      <c r="D2612" s="86">
        <v>0.22095448199843803</v>
      </c>
      <c r="E2612" s="86"/>
      <c r="F2612" s="14"/>
    </row>
    <row r="2613" spans="1:6" x14ac:dyDescent="0.25">
      <c r="A2613" s="86">
        <v>2612</v>
      </c>
      <c r="B2613" s="87">
        <v>50.780317901051603</v>
      </c>
      <c r="C2613" s="14">
        <v>3</v>
      </c>
      <c r="D2613" s="86">
        <v>0.81675372015381098</v>
      </c>
      <c r="E2613" s="86"/>
      <c r="F2613" s="14"/>
    </row>
    <row r="2614" spans="1:6" x14ac:dyDescent="0.25">
      <c r="A2614" s="86">
        <v>2613</v>
      </c>
      <c r="B2614" s="87">
        <v>38.835662502940977</v>
      </c>
      <c r="C2614" s="14">
        <v>2</v>
      </c>
      <c r="D2614" s="86">
        <v>0.1908628905785511</v>
      </c>
      <c r="E2614" s="86"/>
      <c r="F2614" s="14"/>
    </row>
    <row r="2615" spans="1:6" x14ac:dyDescent="0.25">
      <c r="A2615" s="86">
        <v>2614</v>
      </c>
      <c r="B2615" s="87">
        <v>44.167762775367009</v>
      </c>
      <c r="C2615" s="14">
        <v>4</v>
      </c>
      <c r="D2615" s="86">
        <v>0.65710780933735979</v>
      </c>
      <c r="E2615" s="86"/>
      <c r="F2615" s="14"/>
    </row>
    <row r="2616" spans="1:6" x14ac:dyDescent="0.25">
      <c r="A2616" s="86">
        <v>2615</v>
      </c>
      <c r="B2616" s="87">
        <v>37.082872945000418</v>
      </c>
      <c r="C2616" s="14">
        <v>5</v>
      </c>
      <c r="D2616" s="86">
        <v>0.60621345671052917</v>
      </c>
      <c r="E2616" s="86"/>
      <c r="F2616" s="14"/>
    </row>
    <row r="2617" spans="1:6" x14ac:dyDescent="0.25">
      <c r="A2617" s="86">
        <v>2616</v>
      </c>
      <c r="B2617" s="87">
        <v>40.016266206628643</v>
      </c>
      <c r="C2617" s="14">
        <v>4</v>
      </c>
      <c r="D2617" s="86">
        <v>0.25073110835311496</v>
      </c>
      <c r="E2617" s="86"/>
      <c r="F2617" s="14"/>
    </row>
    <row r="2618" spans="1:6" x14ac:dyDescent="0.25">
      <c r="A2618" s="86">
        <v>2617</v>
      </c>
      <c r="B2618" s="87">
        <v>44.709787511572358</v>
      </c>
      <c r="C2618" s="14">
        <v>2</v>
      </c>
      <c r="D2618" s="86">
        <v>0.37677445300303625</v>
      </c>
      <c r="E2618" s="86"/>
      <c r="F2618" s="14"/>
    </row>
    <row r="2619" spans="1:6" x14ac:dyDescent="0.25">
      <c r="A2619" s="86">
        <v>2618</v>
      </c>
      <c r="B2619" s="87">
        <v>42.572423803329002</v>
      </c>
      <c r="C2619" s="14">
        <v>4</v>
      </c>
      <c r="D2619" s="86">
        <v>0.8751577716472615</v>
      </c>
      <c r="E2619" s="86"/>
      <c r="F2619" s="14"/>
    </row>
    <row r="2620" spans="1:6" x14ac:dyDescent="0.25">
      <c r="A2620" s="86">
        <v>2619</v>
      </c>
      <c r="B2620" s="87">
        <v>43.743040118322824</v>
      </c>
      <c r="C2620" s="14">
        <v>4</v>
      </c>
      <c r="D2620" s="86">
        <v>0.35856983069406767</v>
      </c>
      <c r="E2620" s="86"/>
      <c r="F2620" s="14"/>
    </row>
    <row r="2621" spans="1:6" x14ac:dyDescent="0.25">
      <c r="A2621" s="86">
        <v>2620</v>
      </c>
      <c r="B2621" s="87">
        <v>35.808238857833203</v>
      </c>
      <c r="C2621" s="14">
        <v>4</v>
      </c>
      <c r="D2621" s="86">
        <v>0.25343643267084115</v>
      </c>
      <c r="E2621" s="86"/>
      <c r="F2621" s="14"/>
    </row>
    <row r="2622" spans="1:6" x14ac:dyDescent="0.25">
      <c r="A2622" s="86">
        <v>2621</v>
      </c>
      <c r="B2622" s="87">
        <v>51.150232133630197</v>
      </c>
      <c r="C2622" s="14">
        <v>2</v>
      </c>
      <c r="D2622" s="86">
        <v>1.3357538121430479E-2</v>
      </c>
      <c r="E2622" s="86"/>
      <c r="F2622" s="14"/>
    </row>
    <row r="2623" spans="1:6" x14ac:dyDescent="0.25">
      <c r="A2623" s="86">
        <v>2622</v>
      </c>
      <c r="B2623" s="87">
        <v>37.588529261818621</v>
      </c>
      <c r="C2623" s="14">
        <v>2</v>
      </c>
      <c r="D2623" s="86">
        <v>0.88438121726833252</v>
      </c>
      <c r="E2623" s="86"/>
      <c r="F2623" s="14"/>
    </row>
    <row r="2624" spans="1:6" x14ac:dyDescent="0.25">
      <c r="A2624" s="86">
        <v>2623</v>
      </c>
      <c r="B2624" s="87">
        <v>41.816116431044065</v>
      </c>
      <c r="C2624" s="14">
        <v>5</v>
      </c>
      <c r="D2624" s="86">
        <v>0.83577616478940464</v>
      </c>
      <c r="E2624" s="86"/>
      <c r="F2624" s="14"/>
    </row>
    <row r="2625" spans="1:6" x14ac:dyDescent="0.25">
      <c r="A2625" s="86">
        <v>2624</v>
      </c>
      <c r="B2625" s="87">
        <v>46.634397671703482</v>
      </c>
      <c r="C2625" s="14">
        <v>4</v>
      </c>
      <c r="D2625" s="86">
        <v>0.67748194594759925</v>
      </c>
      <c r="E2625" s="86"/>
      <c r="F2625" s="14"/>
    </row>
    <row r="2626" spans="1:6" x14ac:dyDescent="0.25">
      <c r="A2626" s="86">
        <v>2625</v>
      </c>
      <c r="B2626" s="87">
        <v>45.083481831505196</v>
      </c>
      <c r="C2626" s="14">
        <v>2</v>
      </c>
      <c r="D2626" s="86">
        <v>0.97755828425214542</v>
      </c>
      <c r="E2626" s="86"/>
      <c r="F2626" s="14"/>
    </row>
    <row r="2627" spans="1:6" x14ac:dyDescent="0.25">
      <c r="A2627" s="86">
        <v>2626</v>
      </c>
      <c r="B2627" s="87">
        <v>38.448092704464216</v>
      </c>
      <c r="C2627" s="14">
        <v>2</v>
      </c>
      <c r="D2627" s="86">
        <v>0.3548230278272716</v>
      </c>
      <c r="E2627" s="86"/>
      <c r="F2627" s="14"/>
    </row>
    <row r="2628" spans="1:6" x14ac:dyDescent="0.25">
      <c r="A2628" s="86">
        <v>2627</v>
      </c>
      <c r="B2628" s="87">
        <v>36.989388258341933</v>
      </c>
      <c r="C2628" s="14">
        <v>1</v>
      </c>
      <c r="D2628" s="86">
        <v>0.28769169721151056</v>
      </c>
      <c r="E2628" s="86"/>
      <c r="F2628" s="14"/>
    </row>
    <row r="2629" spans="1:6" x14ac:dyDescent="0.25">
      <c r="A2629" s="86">
        <v>2628</v>
      </c>
      <c r="B2629" s="87">
        <v>31.36447048233822</v>
      </c>
      <c r="C2629" s="14">
        <v>5</v>
      </c>
      <c r="D2629" s="86">
        <v>0.24152647141677597</v>
      </c>
      <c r="E2629" s="86"/>
      <c r="F2629" s="14"/>
    </row>
    <row r="2630" spans="1:6" x14ac:dyDescent="0.25">
      <c r="A2630" s="86">
        <v>2629</v>
      </c>
      <c r="B2630" s="87">
        <v>39.10558916174341</v>
      </c>
      <c r="C2630" s="14">
        <v>1</v>
      </c>
      <c r="D2630" s="86">
        <v>0.78903443154044772</v>
      </c>
      <c r="E2630" s="86"/>
      <c r="F2630" s="14"/>
    </row>
    <row r="2631" spans="1:6" x14ac:dyDescent="0.25">
      <c r="A2631" s="86">
        <v>2630</v>
      </c>
      <c r="B2631" s="87">
        <v>42.648389348294586</v>
      </c>
      <c r="C2631" s="14">
        <v>4</v>
      </c>
      <c r="D2631" s="86">
        <v>0.86534112539905927</v>
      </c>
      <c r="E2631" s="86"/>
      <c r="F2631" s="14"/>
    </row>
    <row r="2632" spans="1:6" x14ac:dyDescent="0.25">
      <c r="A2632" s="86">
        <v>2631</v>
      </c>
      <c r="B2632" s="87">
        <v>49.287632459134329</v>
      </c>
      <c r="C2632" s="14">
        <v>5</v>
      </c>
      <c r="D2632" s="86">
        <v>0.91593187184145586</v>
      </c>
      <c r="E2632" s="86"/>
      <c r="F2632" s="14"/>
    </row>
    <row r="2633" spans="1:6" x14ac:dyDescent="0.25">
      <c r="A2633" s="86">
        <v>2632</v>
      </c>
      <c r="B2633" s="87">
        <v>36.825463207031135</v>
      </c>
      <c r="C2633" s="14">
        <v>4</v>
      </c>
      <c r="D2633" s="86">
        <v>0.32309626654997892</v>
      </c>
      <c r="E2633" s="86"/>
      <c r="F2633" s="14"/>
    </row>
    <row r="2634" spans="1:6" x14ac:dyDescent="0.25">
      <c r="A2634" s="86">
        <v>2633</v>
      </c>
      <c r="B2634" s="87">
        <v>41.692226199636934</v>
      </c>
      <c r="C2634" s="14">
        <v>4</v>
      </c>
      <c r="D2634" s="86">
        <v>0.19726415218932558</v>
      </c>
      <c r="E2634" s="86"/>
      <c r="F2634" s="14"/>
    </row>
    <row r="2635" spans="1:6" x14ac:dyDescent="0.25">
      <c r="A2635" s="86">
        <v>2634</v>
      </c>
      <c r="B2635" s="87">
        <v>37.036386397056049</v>
      </c>
      <c r="C2635" s="14">
        <v>3</v>
      </c>
      <c r="D2635" s="86">
        <v>0.73153606984148478</v>
      </c>
      <c r="E2635" s="86"/>
      <c r="F2635" s="14"/>
    </row>
    <row r="2636" spans="1:6" x14ac:dyDescent="0.25">
      <c r="A2636" s="86">
        <v>2635</v>
      </c>
      <c r="B2636" s="87">
        <v>44.380351477564545</v>
      </c>
      <c r="C2636" s="14">
        <v>4</v>
      </c>
      <c r="D2636" s="86">
        <v>0.49517213642374902</v>
      </c>
      <c r="E2636" s="86"/>
      <c r="F2636" s="14"/>
    </row>
    <row r="2637" spans="1:6" x14ac:dyDescent="0.25">
      <c r="A2637" s="86">
        <v>2636</v>
      </c>
      <c r="B2637" s="87">
        <v>42.510589532292215</v>
      </c>
      <c r="C2637" s="14">
        <v>2</v>
      </c>
      <c r="D2637" s="86">
        <v>0.4679336721243047</v>
      </c>
      <c r="E2637" s="86"/>
      <c r="F2637" s="14"/>
    </row>
    <row r="2638" spans="1:6" x14ac:dyDescent="0.25">
      <c r="A2638" s="86">
        <v>2637</v>
      </c>
      <c r="B2638" s="87">
        <v>43.868590177560691</v>
      </c>
      <c r="C2638" s="14">
        <v>2</v>
      </c>
      <c r="D2638" s="86">
        <v>0.8571956989166184</v>
      </c>
      <c r="E2638" s="86"/>
      <c r="F2638" s="14"/>
    </row>
    <row r="2639" spans="1:6" x14ac:dyDescent="0.25">
      <c r="A2639" s="86">
        <v>2638</v>
      </c>
      <c r="B2639" s="87">
        <v>47.127116426388966</v>
      </c>
      <c r="C2639" s="14">
        <v>1</v>
      </c>
      <c r="D2639" s="86">
        <v>0.24389118038525892</v>
      </c>
      <c r="E2639" s="86"/>
      <c r="F2639" s="14"/>
    </row>
    <row r="2640" spans="1:6" x14ac:dyDescent="0.25">
      <c r="A2640" s="86">
        <v>2639</v>
      </c>
      <c r="B2640" s="87">
        <v>40.826478193019284</v>
      </c>
      <c r="C2640" s="14">
        <v>4</v>
      </c>
      <c r="D2640" s="86">
        <v>0.67020943159886759</v>
      </c>
      <c r="E2640" s="86"/>
      <c r="F2640" s="14"/>
    </row>
    <row r="2641" spans="1:6" x14ac:dyDescent="0.25">
      <c r="A2641" s="86">
        <v>2640</v>
      </c>
      <c r="B2641" s="87">
        <v>52.776886145118624</v>
      </c>
      <c r="C2641" s="14">
        <v>5</v>
      </c>
      <c r="D2641" s="86">
        <v>0.58156591953299552</v>
      </c>
      <c r="E2641" s="86"/>
      <c r="F2641" s="14"/>
    </row>
    <row r="2642" spans="1:6" x14ac:dyDescent="0.25">
      <c r="A2642" s="86">
        <v>2641</v>
      </c>
      <c r="B2642" s="87">
        <v>36.297137734771241</v>
      </c>
      <c r="C2642" s="14">
        <v>5</v>
      </c>
      <c r="D2642" s="86">
        <v>0.45252606173887688</v>
      </c>
      <c r="E2642" s="86"/>
      <c r="F2642" s="14"/>
    </row>
    <row r="2643" spans="1:6" x14ac:dyDescent="0.25">
      <c r="A2643" s="86">
        <v>2642</v>
      </c>
      <c r="B2643" s="87">
        <v>45.792114628391573</v>
      </c>
      <c r="C2643" s="14">
        <v>2</v>
      </c>
      <c r="D2643" s="86">
        <v>0.88180531048781186</v>
      </c>
      <c r="E2643" s="86"/>
      <c r="F2643" s="14"/>
    </row>
    <row r="2644" spans="1:6" x14ac:dyDescent="0.25">
      <c r="A2644" s="86">
        <v>2643</v>
      </c>
      <c r="B2644" s="87">
        <v>37.735958352976013</v>
      </c>
      <c r="C2644" s="14">
        <v>5</v>
      </c>
      <c r="D2644" s="86">
        <v>0.70660296072889728</v>
      </c>
      <c r="E2644" s="86"/>
      <c r="F2644" s="14"/>
    </row>
    <row r="2645" spans="1:6" x14ac:dyDescent="0.25">
      <c r="A2645" s="86">
        <v>2644</v>
      </c>
      <c r="B2645" s="87">
        <v>47.896799055131851</v>
      </c>
      <c r="C2645" s="14">
        <v>5</v>
      </c>
      <c r="D2645" s="86">
        <v>0.13875601331209386</v>
      </c>
      <c r="E2645" s="86"/>
      <c r="F2645" s="14"/>
    </row>
    <row r="2646" spans="1:6" x14ac:dyDescent="0.25">
      <c r="A2646" s="86">
        <v>2645</v>
      </c>
      <c r="B2646" s="87">
        <v>44.387104475725209</v>
      </c>
      <c r="C2646" s="14">
        <v>2</v>
      </c>
      <c r="D2646" s="86">
        <v>0.81996146042243601</v>
      </c>
      <c r="E2646" s="86"/>
      <c r="F2646" s="14"/>
    </row>
    <row r="2647" spans="1:6" x14ac:dyDescent="0.25">
      <c r="A2647" s="86">
        <v>2646</v>
      </c>
      <c r="B2647" s="87">
        <v>47.024730060336879</v>
      </c>
      <c r="C2647" s="14">
        <v>4</v>
      </c>
      <c r="D2647" s="86">
        <v>0.24898029981628156</v>
      </c>
      <c r="E2647" s="86"/>
      <c r="F2647" s="14"/>
    </row>
    <row r="2648" spans="1:6" x14ac:dyDescent="0.25">
      <c r="A2648" s="86">
        <v>2647</v>
      </c>
      <c r="B2648" s="87">
        <v>38.117400430899579</v>
      </c>
      <c r="C2648" s="14">
        <v>2</v>
      </c>
      <c r="D2648" s="86">
        <v>0.49888939946976985</v>
      </c>
      <c r="E2648" s="86"/>
      <c r="F2648" s="14"/>
    </row>
    <row r="2649" spans="1:6" x14ac:dyDescent="0.25">
      <c r="A2649" s="86">
        <v>2648</v>
      </c>
      <c r="B2649" s="87">
        <v>43.653432152830646</v>
      </c>
      <c r="C2649" s="14">
        <v>5</v>
      </c>
      <c r="D2649" s="86">
        <v>0.71879308621952143</v>
      </c>
      <c r="E2649" s="86"/>
      <c r="F2649" s="14"/>
    </row>
    <row r="2650" spans="1:6" x14ac:dyDescent="0.25">
      <c r="A2650" s="86">
        <v>2649</v>
      </c>
      <c r="B2650" s="87">
        <v>43.947528633332695</v>
      </c>
      <c r="C2650" s="14">
        <v>5</v>
      </c>
      <c r="D2650" s="86">
        <v>0.34662705704086272</v>
      </c>
      <c r="E2650" s="86"/>
      <c r="F2650" s="14"/>
    </row>
    <row r="2651" spans="1:6" x14ac:dyDescent="0.25">
      <c r="A2651" s="86">
        <v>2650</v>
      </c>
      <c r="B2651" s="87">
        <v>40.107181570754619</v>
      </c>
      <c r="C2651" s="14">
        <v>2</v>
      </c>
      <c r="D2651" s="86">
        <v>0.83151182102347043</v>
      </c>
      <c r="E2651" s="86"/>
      <c r="F2651" s="14"/>
    </row>
    <row r="2652" spans="1:6" x14ac:dyDescent="0.25">
      <c r="A2652" s="86">
        <v>2651</v>
      </c>
      <c r="B2652" s="87">
        <v>40.862158807038213</v>
      </c>
      <c r="C2652" s="14">
        <v>3</v>
      </c>
      <c r="D2652" s="86">
        <v>0.77556886144012294</v>
      </c>
      <c r="E2652" s="86"/>
      <c r="F2652" s="14"/>
    </row>
    <row r="2653" spans="1:6" x14ac:dyDescent="0.25">
      <c r="A2653" s="86">
        <v>2652</v>
      </c>
      <c r="B2653" s="87">
        <v>45.076393457173253</v>
      </c>
      <c r="C2653" s="14">
        <v>4</v>
      </c>
      <c r="D2653" s="86">
        <v>0.69406017159232447</v>
      </c>
      <c r="E2653" s="86"/>
      <c r="F2653" s="14"/>
    </row>
    <row r="2654" spans="1:6" x14ac:dyDescent="0.25">
      <c r="A2654" s="86">
        <v>2653</v>
      </c>
      <c r="B2654" s="87">
        <v>45.916817720688414</v>
      </c>
      <c r="C2654" s="14">
        <v>2</v>
      </c>
      <c r="D2654" s="86">
        <v>0.38808866412601861</v>
      </c>
      <c r="E2654" s="86"/>
      <c r="F2654" s="14"/>
    </row>
    <row r="2655" spans="1:6" x14ac:dyDescent="0.25">
      <c r="A2655" s="86">
        <v>2654</v>
      </c>
      <c r="B2655" s="87">
        <v>42.241873638311517</v>
      </c>
      <c r="C2655" s="14">
        <v>2</v>
      </c>
      <c r="D2655" s="86">
        <v>0.17669218157450117</v>
      </c>
      <c r="E2655" s="86"/>
      <c r="F2655" s="14"/>
    </row>
    <row r="2656" spans="1:6" x14ac:dyDescent="0.25">
      <c r="A2656" s="86">
        <v>2655</v>
      </c>
      <c r="B2656" s="87">
        <v>34.791446518618613</v>
      </c>
      <c r="C2656" s="14">
        <v>2</v>
      </c>
      <c r="D2656" s="86">
        <v>0.93999269468796676</v>
      </c>
      <c r="E2656" s="86"/>
      <c r="F2656" s="14"/>
    </row>
    <row r="2657" spans="1:6" x14ac:dyDescent="0.25">
      <c r="A2657" s="86">
        <v>2656</v>
      </c>
      <c r="B2657" s="87">
        <v>33.532478477689438</v>
      </c>
      <c r="C2657" s="14">
        <v>4</v>
      </c>
      <c r="D2657" s="86">
        <v>0.90526608333717273</v>
      </c>
      <c r="E2657" s="86"/>
      <c r="F2657" s="14"/>
    </row>
    <row r="2658" spans="1:6" x14ac:dyDescent="0.25">
      <c r="A2658" s="86">
        <v>2657</v>
      </c>
      <c r="B2658" s="87">
        <v>47.297294253774453</v>
      </c>
      <c r="C2658" s="14">
        <v>2</v>
      </c>
      <c r="D2658" s="86">
        <v>0.17728827388997037</v>
      </c>
      <c r="E2658" s="86"/>
      <c r="F2658" s="14"/>
    </row>
    <row r="2659" spans="1:6" x14ac:dyDescent="0.25">
      <c r="A2659" s="86">
        <v>2658</v>
      </c>
      <c r="B2659" s="87">
        <v>41.847169990767725</v>
      </c>
      <c r="C2659" s="14">
        <v>4</v>
      </c>
      <c r="D2659" s="86">
        <v>0.22658075953240397</v>
      </c>
      <c r="E2659" s="86"/>
      <c r="F2659" s="14"/>
    </row>
    <row r="2660" spans="1:6" x14ac:dyDescent="0.25">
      <c r="A2660" s="86">
        <v>2659</v>
      </c>
      <c r="B2660" s="87">
        <v>36.592496139171999</v>
      </c>
      <c r="C2660" s="14">
        <v>2</v>
      </c>
      <c r="D2660" s="86">
        <v>2.7083013262910072E-2</v>
      </c>
      <c r="E2660" s="86"/>
      <c r="F2660" s="14"/>
    </row>
    <row r="2661" spans="1:6" x14ac:dyDescent="0.25">
      <c r="A2661" s="86">
        <v>2660</v>
      </c>
      <c r="B2661" s="87">
        <v>37.335678366041975</v>
      </c>
      <c r="C2661" s="14">
        <v>2</v>
      </c>
      <c r="D2661" s="86">
        <v>0.19998263372553682</v>
      </c>
      <c r="E2661" s="86"/>
      <c r="F2661" s="14"/>
    </row>
    <row r="2662" spans="1:6" x14ac:dyDescent="0.25">
      <c r="A2662" s="86">
        <v>2661</v>
      </c>
      <c r="B2662" s="87">
        <v>41.779105681023793</v>
      </c>
      <c r="C2662" s="14">
        <v>4</v>
      </c>
      <c r="D2662" s="86">
        <v>0.65755568108265394</v>
      </c>
      <c r="E2662" s="86"/>
      <c r="F2662" s="14"/>
    </row>
    <row r="2663" spans="1:6" x14ac:dyDescent="0.25">
      <c r="A2663" s="86">
        <v>2662</v>
      </c>
      <c r="B2663" s="87">
        <v>55.630152923520654</v>
      </c>
      <c r="C2663" s="14">
        <v>2</v>
      </c>
      <c r="D2663" s="86">
        <v>0.44920073301381336</v>
      </c>
      <c r="E2663" s="86"/>
      <c r="F2663" s="14"/>
    </row>
    <row r="2664" spans="1:6" x14ac:dyDescent="0.25">
      <c r="A2664" s="86">
        <v>2663</v>
      </c>
      <c r="B2664" s="87">
        <v>53.640633263392374</v>
      </c>
      <c r="C2664" s="14">
        <v>2</v>
      </c>
      <c r="D2664" s="86">
        <v>7.3133063154104949E-2</v>
      </c>
      <c r="E2664" s="86"/>
      <c r="F2664" s="14"/>
    </row>
    <row r="2665" spans="1:6" x14ac:dyDescent="0.25">
      <c r="A2665" s="86">
        <v>2664</v>
      </c>
      <c r="B2665" s="87">
        <v>38.977907474298263</v>
      </c>
      <c r="C2665" s="14">
        <v>4</v>
      </c>
      <c r="D2665" s="86">
        <v>0.8412375504367765</v>
      </c>
      <c r="E2665" s="86"/>
      <c r="F2665" s="14"/>
    </row>
    <row r="2666" spans="1:6" x14ac:dyDescent="0.25">
      <c r="A2666" s="86">
        <v>2665</v>
      </c>
      <c r="B2666" s="87">
        <v>31.556373864412308</v>
      </c>
      <c r="C2666" s="14">
        <v>2</v>
      </c>
      <c r="D2666" s="86">
        <v>0.55853536877168242</v>
      </c>
      <c r="E2666" s="86"/>
      <c r="F2666" s="14"/>
    </row>
    <row r="2667" spans="1:6" x14ac:dyDescent="0.25">
      <c r="A2667" s="86">
        <v>2666</v>
      </c>
      <c r="B2667" s="87">
        <v>42.562442098977044</v>
      </c>
      <c r="C2667" s="14">
        <v>2</v>
      </c>
      <c r="D2667" s="86">
        <v>0.7661618325202888</v>
      </c>
      <c r="E2667" s="86"/>
      <c r="F2667" s="14"/>
    </row>
    <row r="2668" spans="1:6" x14ac:dyDescent="0.25">
      <c r="A2668" s="86">
        <v>2667</v>
      </c>
      <c r="B2668" s="87">
        <v>37.358859112253413</v>
      </c>
      <c r="C2668" s="14">
        <v>4</v>
      </c>
      <c r="D2668" s="86">
        <v>0.29621199245383201</v>
      </c>
      <c r="E2668" s="86"/>
      <c r="F2668" s="14"/>
    </row>
    <row r="2669" spans="1:6" x14ac:dyDescent="0.25">
      <c r="A2669" s="86">
        <v>2668</v>
      </c>
      <c r="B2669" s="87">
        <v>46.800300873990636</v>
      </c>
      <c r="C2669" s="14">
        <v>3</v>
      </c>
      <c r="D2669" s="86">
        <v>0.84571367318804813</v>
      </c>
      <c r="E2669" s="86"/>
      <c r="F2669" s="14"/>
    </row>
    <row r="2670" spans="1:6" x14ac:dyDescent="0.25">
      <c r="A2670" s="86">
        <v>2669</v>
      </c>
      <c r="B2670" s="87">
        <v>39.700307747232728</v>
      </c>
      <c r="C2670" s="14">
        <v>2</v>
      </c>
      <c r="D2670" s="86">
        <v>0.24995142232288714</v>
      </c>
      <c r="E2670" s="86"/>
      <c r="F2670" s="14"/>
    </row>
    <row r="2671" spans="1:6" x14ac:dyDescent="0.25">
      <c r="A2671" s="86">
        <v>2670</v>
      </c>
      <c r="B2671" s="87">
        <v>34.576441971119493</v>
      </c>
      <c r="C2671" s="14">
        <v>4</v>
      </c>
      <c r="D2671" s="86">
        <v>0.97928736105890735</v>
      </c>
      <c r="E2671" s="86"/>
      <c r="F2671" s="14"/>
    </row>
    <row r="2672" spans="1:6" x14ac:dyDescent="0.25">
      <c r="A2672" s="86">
        <v>2671</v>
      </c>
      <c r="B2672" s="87">
        <v>34.648292052559555</v>
      </c>
      <c r="C2672" s="14">
        <v>1</v>
      </c>
      <c r="D2672" s="86">
        <v>0.56015910637469923</v>
      </c>
      <c r="E2672" s="86"/>
      <c r="F2672" s="14"/>
    </row>
    <row r="2673" spans="1:6" x14ac:dyDescent="0.25">
      <c r="A2673" s="86">
        <v>2672</v>
      </c>
      <c r="B2673" s="87">
        <v>39.691741444010404</v>
      </c>
      <c r="C2673" s="14">
        <v>4</v>
      </c>
      <c r="D2673" s="86">
        <v>0.56517113072895753</v>
      </c>
      <c r="E2673" s="86"/>
      <c r="F2673" s="14"/>
    </row>
    <row r="2674" spans="1:6" x14ac:dyDescent="0.25">
      <c r="A2674" s="86">
        <v>2673</v>
      </c>
      <c r="B2674" s="87">
        <v>42.866685129745747</v>
      </c>
      <c r="C2674" s="14">
        <v>4</v>
      </c>
      <c r="D2674" s="86">
        <v>0.91146611311879144</v>
      </c>
      <c r="E2674" s="86"/>
      <c r="F2674" s="14"/>
    </row>
    <row r="2675" spans="1:6" x14ac:dyDescent="0.25">
      <c r="A2675" s="86">
        <v>2674</v>
      </c>
      <c r="B2675" s="87">
        <v>39.696976722887484</v>
      </c>
      <c r="C2675" s="14">
        <v>2</v>
      </c>
      <c r="D2675" s="86">
        <v>0.90048484392288242</v>
      </c>
      <c r="E2675" s="86"/>
      <c r="F2675" s="14"/>
    </row>
    <row r="2676" spans="1:6" x14ac:dyDescent="0.25">
      <c r="A2676" s="86">
        <v>2675</v>
      </c>
      <c r="B2676" s="87">
        <v>50.644575816811994</v>
      </c>
      <c r="C2676" s="14">
        <v>2</v>
      </c>
      <c r="D2676" s="86">
        <v>0.98863154393675623</v>
      </c>
      <c r="E2676" s="86"/>
      <c r="F2676" s="14"/>
    </row>
    <row r="2677" spans="1:6" x14ac:dyDescent="0.25">
      <c r="A2677" s="86">
        <v>2676</v>
      </c>
      <c r="B2677" s="87">
        <v>40.176541910448577</v>
      </c>
      <c r="C2677" s="14">
        <v>5</v>
      </c>
      <c r="D2677" s="86">
        <v>0.54970690427307922</v>
      </c>
      <c r="E2677" s="86"/>
      <c r="F2677" s="14"/>
    </row>
    <row r="2678" spans="1:6" x14ac:dyDescent="0.25">
      <c r="A2678" s="86">
        <v>2677</v>
      </c>
      <c r="B2678" s="87">
        <v>43.753095719119301</v>
      </c>
      <c r="C2678" s="14">
        <v>2</v>
      </c>
      <c r="D2678" s="86">
        <v>0.78199734489007544</v>
      </c>
      <c r="E2678" s="86"/>
      <c r="F2678" s="14"/>
    </row>
    <row r="2679" spans="1:6" x14ac:dyDescent="0.25">
      <c r="A2679" s="86">
        <v>2678</v>
      </c>
      <c r="B2679" s="87">
        <v>46.219275868104887</v>
      </c>
      <c r="C2679" s="14">
        <v>5</v>
      </c>
      <c r="D2679" s="86">
        <v>0.17059797303258784</v>
      </c>
      <c r="E2679" s="86"/>
      <c r="F2679" s="14"/>
    </row>
    <row r="2680" spans="1:6" x14ac:dyDescent="0.25">
      <c r="A2680" s="86">
        <v>2679</v>
      </c>
      <c r="B2680" s="87">
        <v>47.138962594879558</v>
      </c>
      <c r="C2680" s="14">
        <v>4</v>
      </c>
      <c r="D2680" s="86">
        <v>0.74698747386693254</v>
      </c>
      <c r="E2680" s="86"/>
      <c r="F2680" s="14"/>
    </row>
    <row r="2681" spans="1:6" x14ac:dyDescent="0.25">
      <c r="A2681" s="86">
        <v>2680</v>
      </c>
      <c r="B2681" s="87">
        <v>43.434101821156219</v>
      </c>
      <c r="C2681" s="14">
        <v>1</v>
      </c>
      <c r="D2681" s="86">
        <v>0.94241638752642032</v>
      </c>
      <c r="E2681" s="86"/>
      <c r="F2681" s="14"/>
    </row>
    <row r="2682" spans="1:6" x14ac:dyDescent="0.25">
      <c r="A2682" s="86">
        <v>2681</v>
      </c>
      <c r="B2682" s="87">
        <v>31.323907018639147</v>
      </c>
      <c r="C2682" s="14">
        <v>5</v>
      </c>
      <c r="D2682" s="86">
        <v>0.47714188459464635</v>
      </c>
      <c r="E2682" s="86"/>
      <c r="F2682" s="14"/>
    </row>
    <row r="2683" spans="1:6" x14ac:dyDescent="0.25">
      <c r="A2683" s="86">
        <v>2682</v>
      </c>
      <c r="B2683" s="87">
        <v>46.91413550460129</v>
      </c>
      <c r="C2683" s="14">
        <v>4</v>
      </c>
      <c r="D2683" s="86">
        <v>0.13537854128278026</v>
      </c>
      <c r="E2683" s="86"/>
      <c r="F2683" s="14"/>
    </row>
    <row r="2684" spans="1:6" x14ac:dyDescent="0.25">
      <c r="A2684" s="86">
        <v>2683</v>
      </c>
      <c r="B2684" s="87">
        <v>43.672338273943751</v>
      </c>
      <c r="C2684" s="14">
        <v>5</v>
      </c>
      <c r="D2684" s="86">
        <v>0.12721052413709433</v>
      </c>
      <c r="E2684" s="86"/>
      <c r="F2684" s="14"/>
    </row>
    <row r="2685" spans="1:6" x14ac:dyDescent="0.25">
      <c r="A2685" s="86">
        <v>2684</v>
      </c>
      <c r="B2685" s="87">
        <v>41.866013584120083</v>
      </c>
      <c r="C2685" s="14">
        <v>2</v>
      </c>
      <c r="D2685" s="86">
        <v>0.56457160935326767</v>
      </c>
      <c r="E2685" s="86"/>
      <c r="F2685" s="14"/>
    </row>
    <row r="2686" spans="1:6" x14ac:dyDescent="0.25">
      <c r="A2686" s="86">
        <v>2685</v>
      </c>
      <c r="B2686" s="87">
        <v>43.240106601268053</v>
      </c>
      <c r="C2686" s="14">
        <v>2</v>
      </c>
      <c r="D2686" s="86">
        <v>0.83060533637742939</v>
      </c>
      <c r="E2686" s="86"/>
      <c r="F2686" s="14"/>
    </row>
    <row r="2687" spans="1:6" x14ac:dyDescent="0.25">
      <c r="A2687" s="86">
        <v>2686</v>
      </c>
      <c r="B2687" s="87">
        <v>36.743449522298761</v>
      </c>
      <c r="C2687" s="14">
        <v>4</v>
      </c>
      <c r="D2687" s="86">
        <v>0.23351548576982839</v>
      </c>
      <c r="E2687" s="86"/>
      <c r="F2687" s="14"/>
    </row>
    <row r="2688" spans="1:6" x14ac:dyDescent="0.25">
      <c r="A2688" s="86">
        <v>2687</v>
      </c>
      <c r="B2688" s="87">
        <v>39.721675188382505</v>
      </c>
      <c r="C2688" s="14">
        <v>2</v>
      </c>
      <c r="D2688" s="86">
        <v>0.60183303850295788</v>
      </c>
      <c r="E2688" s="86"/>
      <c r="F2688" s="14"/>
    </row>
    <row r="2689" spans="1:6" x14ac:dyDescent="0.25">
      <c r="A2689" s="86">
        <v>2688</v>
      </c>
      <c r="B2689" s="87">
        <v>44.687095618763124</v>
      </c>
      <c r="C2689" s="14">
        <v>4</v>
      </c>
      <c r="D2689" s="86">
        <v>0.84871623830960297</v>
      </c>
      <c r="E2689" s="86"/>
      <c r="F2689" s="14"/>
    </row>
    <row r="2690" spans="1:6" x14ac:dyDescent="0.25">
      <c r="A2690" s="86">
        <v>2689</v>
      </c>
      <c r="B2690" s="87">
        <v>48.221625087870052</v>
      </c>
      <c r="C2690" s="14">
        <v>2</v>
      </c>
      <c r="D2690" s="86">
        <v>0.21001443475786674</v>
      </c>
      <c r="E2690" s="86"/>
      <c r="F2690" s="14"/>
    </row>
    <row r="2691" spans="1:6" x14ac:dyDescent="0.25">
      <c r="A2691" s="86">
        <v>2690</v>
      </c>
      <c r="B2691" s="87">
        <v>37.908569078688743</v>
      </c>
      <c r="C2691" s="14">
        <v>2</v>
      </c>
      <c r="D2691" s="86">
        <v>0.87129708090222568</v>
      </c>
      <c r="E2691" s="86"/>
      <c r="F2691" s="14"/>
    </row>
    <row r="2692" spans="1:6" x14ac:dyDescent="0.25">
      <c r="A2692" s="86">
        <v>2691</v>
      </c>
      <c r="B2692" s="87">
        <v>48.09528490511002</v>
      </c>
      <c r="C2692" s="14">
        <v>2</v>
      </c>
      <c r="D2692" s="86">
        <v>0.14458528352055722</v>
      </c>
      <c r="E2692" s="86"/>
      <c r="F2692" s="14"/>
    </row>
    <row r="2693" spans="1:6" x14ac:dyDescent="0.25">
      <c r="A2693" s="86">
        <v>2692</v>
      </c>
      <c r="B2693" s="87">
        <v>32.961679602856748</v>
      </c>
      <c r="C2693" s="14">
        <v>4</v>
      </c>
      <c r="D2693" s="86">
        <v>0.27261291564669077</v>
      </c>
      <c r="E2693" s="86"/>
      <c r="F2693" s="14"/>
    </row>
    <row r="2694" spans="1:6" x14ac:dyDescent="0.25">
      <c r="A2694" s="86">
        <v>2693</v>
      </c>
      <c r="B2694" s="87">
        <v>36.41457623813767</v>
      </c>
      <c r="C2694" s="14">
        <v>5</v>
      </c>
      <c r="D2694" s="86">
        <v>0.45288423637912867</v>
      </c>
      <c r="E2694" s="86"/>
      <c r="F2694" s="14"/>
    </row>
    <row r="2695" spans="1:6" x14ac:dyDescent="0.25">
      <c r="A2695" s="86">
        <v>2694</v>
      </c>
      <c r="B2695" s="87">
        <v>43.145939793583238</v>
      </c>
      <c r="C2695" s="14">
        <v>2</v>
      </c>
      <c r="D2695" s="86">
        <v>3.8643101664455393E-2</v>
      </c>
      <c r="E2695" s="86"/>
      <c r="F2695" s="14"/>
    </row>
    <row r="2696" spans="1:6" x14ac:dyDescent="0.25">
      <c r="A2696" s="86">
        <v>2695</v>
      </c>
      <c r="B2696" s="87">
        <v>43.705546199242235</v>
      </c>
      <c r="C2696" s="14">
        <v>2</v>
      </c>
      <c r="D2696" s="86">
        <v>0.17918702984610568</v>
      </c>
      <c r="E2696" s="86"/>
      <c r="F2696" s="14"/>
    </row>
    <row r="2697" spans="1:6" x14ac:dyDescent="0.25">
      <c r="A2697" s="86">
        <v>2696</v>
      </c>
      <c r="B2697" s="87">
        <v>42.309903842004132</v>
      </c>
      <c r="C2697" s="14">
        <v>4</v>
      </c>
      <c r="D2697" s="86">
        <v>0.36447903238848434</v>
      </c>
      <c r="E2697" s="86"/>
      <c r="F2697" s="14"/>
    </row>
    <row r="2698" spans="1:6" x14ac:dyDescent="0.25">
      <c r="A2698" s="86">
        <v>2697</v>
      </c>
      <c r="B2698" s="87">
        <v>42.553614316027961</v>
      </c>
      <c r="C2698" s="14">
        <v>2</v>
      </c>
      <c r="D2698" s="86">
        <v>0.22344508522373363</v>
      </c>
      <c r="E2698" s="86"/>
      <c r="F2698" s="14"/>
    </row>
    <row r="2699" spans="1:6" x14ac:dyDescent="0.25">
      <c r="A2699" s="86">
        <v>2698</v>
      </c>
      <c r="B2699" s="87">
        <v>44.10417772702931</v>
      </c>
      <c r="C2699" s="14">
        <v>5</v>
      </c>
      <c r="D2699" s="86">
        <v>0.88145900744799321</v>
      </c>
      <c r="E2699" s="86"/>
      <c r="F2699" s="14"/>
    </row>
    <row r="2700" spans="1:6" x14ac:dyDescent="0.25">
      <c r="A2700" s="86">
        <v>2699</v>
      </c>
      <c r="B2700" s="87">
        <v>42.453285681738635</v>
      </c>
      <c r="C2700" s="14">
        <v>1</v>
      </c>
      <c r="D2700" s="86">
        <v>0.70856193791485156</v>
      </c>
      <c r="E2700" s="86"/>
      <c r="F2700" s="14"/>
    </row>
    <row r="2701" spans="1:6" x14ac:dyDescent="0.25">
      <c r="A2701" s="86">
        <v>2700</v>
      </c>
      <c r="B2701" s="87">
        <v>40.275136820462649</v>
      </c>
      <c r="C2701" s="14">
        <v>4</v>
      </c>
      <c r="D2701" s="86">
        <v>0.14958051855447696</v>
      </c>
      <c r="E2701" s="86"/>
      <c r="F2701" s="14"/>
    </row>
    <row r="2702" spans="1:6" x14ac:dyDescent="0.25">
      <c r="A2702" s="86">
        <v>2701</v>
      </c>
      <c r="B2702" s="87">
        <v>42.74265847413335</v>
      </c>
      <c r="C2702" s="14">
        <v>2</v>
      </c>
      <c r="D2702" s="86">
        <v>0.47296318593211073</v>
      </c>
      <c r="E2702" s="86"/>
      <c r="F2702" s="14"/>
    </row>
    <row r="2703" spans="1:6" x14ac:dyDescent="0.25">
      <c r="A2703" s="86">
        <v>2702</v>
      </c>
      <c r="B2703" s="87">
        <v>39.652599065782852</v>
      </c>
      <c r="C2703" s="14">
        <v>2</v>
      </c>
      <c r="D2703" s="86">
        <v>0.88605516258667183</v>
      </c>
      <c r="E2703" s="86"/>
      <c r="F2703" s="14"/>
    </row>
    <row r="2704" spans="1:6" x14ac:dyDescent="0.25">
      <c r="A2704" s="86">
        <v>2703</v>
      </c>
      <c r="B2704" s="87">
        <v>38.448092704464216</v>
      </c>
      <c r="C2704" s="14">
        <v>2</v>
      </c>
      <c r="D2704" s="86">
        <v>0.63515940683669458</v>
      </c>
      <c r="E2704" s="86"/>
      <c r="F2704" s="14"/>
    </row>
    <row r="2705" spans="1:6" x14ac:dyDescent="0.25">
      <c r="A2705" s="86">
        <v>2704</v>
      </c>
      <c r="B2705" s="87">
        <v>42.104215930856299</v>
      </c>
      <c r="C2705" s="14">
        <v>4</v>
      </c>
      <c r="D2705" s="86">
        <v>0.64375498829277789</v>
      </c>
      <c r="E2705" s="86"/>
      <c r="F2705" s="14"/>
    </row>
    <row r="2706" spans="1:6" x14ac:dyDescent="0.25">
      <c r="A2706" s="86">
        <v>2705</v>
      </c>
      <c r="B2706" s="87">
        <v>46.392523240108858</v>
      </c>
      <c r="C2706" s="14">
        <v>4</v>
      </c>
      <c r="D2706" s="86">
        <v>0.80561499801834247</v>
      </c>
      <c r="E2706" s="86"/>
      <c r="F2706" s="14"/>
    </row>
    <row r="2707" spans="1:6" x14ac:dyDescent="0.25">
      <c r="A2707" s="86">
        <v>2706</v>
      </c>
      <c r="B2707" s="87">
        <v>43.790646481618751</v>
      </c>
      <c r="C2707" s="14">
        <v>2</v>
      </c>
      <c r="D2707" s="86">
        <v>0.69944048519323898</v>
      </c>
      <c r="E2707" s="86"/>
      <c r="F2707" s="14"/>
    </row>
    <row r="2708" spans="1:6" x14ac:dyDescent="0.25">
      <c r="A2708" s="86">
        <v>2707</v>
      </c>
      <c r="B2708" s="87">
        <v>41.340410911623621</v>
      </c>
      <c r="C2708" s="14">
        <v>4</v>
      </c>
      <c r="D2708" s="86">
        <v>0.78009126530554063</v>
      </c>
      <c r="E2708" s="86"/>
      <c r="F2708" s="14"/>
    </row>
    <row r="2709" spans="1:6" x14ac:dyDescent="0.25">
      <c r="A2709" s="86">
        <v>2708</v>
      </c>
      <c r="B2709" s="87">
        <v>54.681913747452199</v>
      </c>
      <c r="C2709" s="14">
        <v>3</v>
      </c>
      <c r="D2709" s="86">
        <v>0.76996561348295345</v>
      </c>
      <c r="E2709" s="86"/>
      <c r="F2709" s="14"/>
    </row>
    <row r="2710" spans="1:6" x14ac:dyDescent="0.25">
      <c r="A2710" s="86">
        <v>2709</v>
      </c>
      <c r="B2710" s="87">
        <v>38.844314071291592</v>
      </c>
      <c r="C2710" s="14">
        <v>2</v>
      </c>
      <c r="D2710" s="86">
        <v>0.42494039892460345</v>
      </c>
      <c r="E2710" s="86"/>
      <c r="F2710" s="14"/>
    </row>
    <row r="2711" spans="1:6" x14ac:dyDescent="0.25">
      <c r="A2711" s="86">
        <v>2710</v>
      </c>
      <c r="B2711" s="87">
        <v>39.596875462273601</v>
      </c>
      <c r="C2711" s="14">
        <v>2</v>
      </c>
      <c r="D2711" s="86">
        <v>0.37644995040488494</v>
      </c>
      <c r="E2711" s="86"/>
      <c r="F2711" s="14"/>
    </row>
    <row r="2712" spans="1:6" x14ac:dyDescent="0.25">
      <c r="A2712" s="86">
        <v>2711</v>
      </c>
      <c r="B2712" s="87">
        <v>48.215690634940984</v>
      </c>
      <c r="C2712" s="14">
        <v>2</v>
      </c>
      <c r="D2712" s="86">
        <v>0.19611118190910437</v>
      </c>
      <c r="E2712" s="86"/>
      <c r="F2712" s="14"/>
    </row>
    <row r="2713" spans="1:6" x14ac:dyDescent="0.25">
      <c r="A2713" s="86">
        <v>2712</v>
      </c>
      <c r="B2713" s="87">
        <v>51.688084562891163</v>
      </c>
      <c r="C2713" s="14">
        <v>2</v>
      </c>
      <c r="D2713" s="86">
        <v>0.28101588101930985</v>
      </c>
      <c r="E2713" s="86"/>
      <c r="F2713" s="14"/>
    </row>
    <row r="2714" spans="1:6" x14ac:dyDescent="0.25">
      <c r="A2714" s="86">
        <v>2713</v>
      </c>
      <c r="B2714" s="87">
        <v>53.369603842264041</v>
      </c>
      <c r="C2714" s="14">
        <v>1</v>
      </c>
      <c r="D2714" s="86">
        <v>0.94094190370416753</v>
      </c>
      <c r="E2714" s="86"/>
      <c r="F2714" s="14"/>
    </row>
    <row r="2715" spans="1:6" x14ac:dyDescent="0.25">
      <c r="A2715" s="86">
        <v>2714</v>
      </c>
      <c r="B2715" s="87">
        <v>36.334517967014108</v>
      </c>
      <c r="C2715" s="14">
        <v>4</v>
      </c>
      <c r="D2715" s="86">
        <v>0.33058257682196834</v>
      </c>
      <c r="E2715" s="86"/>
      <c r="F2715" s="14"/>
    </row>
    <row r="2716" spans="1:6" x14ac:dyDescent="0.25">
      <c r="A2716" s="86">
        <v>2715</v>
      </c>
      <c r="B2716" s="87">
        <v>36.73087575804675</v>
      </c>
      <c r="C2716" s="14">
        <v>5</v>
      </c>
      <c r="D2716" s="86">
        <v>0.66519112476903419</v>
      </c>
      <c r="E2716" s="86"/>
      <c r="F2716" s="14"/>
    </row>
    <row r="2717" spans="1:6" x14ac:dyDescent="0.25">
      <c r="A2717" s="86">
        <v>2716</v>
      </c>
      <c r="B2717" s="87">
        <v>49.590880730072968</v>
      </c>
      <c r="C2717" s="14">
        <v>2</v>
      </c>
      <c r="D2717" s="86">
        <v>0.21476971423816071</v>
      </c>
      <c r="E2717" s="86"/>
      <c r="F2717" s="14"/>
    </row>
    <row r="2718" spans="1:6" x14ac:dyDescent="0.25">
      <c r="A2718" s="86">
        <v>2717</v>
      </c>
      <c r="B2718" s="87">
        <v>48.090146260045003</v>
      </c>
      <c r="C2718" s="14">
        <v>2</v>
      </c>
      <c r="D2718" s="86">
        <v>0.51751077689365899</v>
      </c>
      <c r="E2718" s="86"/>
      <c r="F2718" s="14"/>
    </row>
    <row r="2719" spans="1:6" x14ac:dyDescent="0.25">
      <c r="A2719" s="86">
        <v>2718</v>
      </c>
      <c r="B2719" s="87">
        <v>49.024026788509218</v>
      </c>
      <c r="C2719" s="14">
        <v>2</v>
      </c>
      <c r="D2719" s="86">
        <v>0.63896245198448998</v>
      </c>
      <c r="E2719" s="86"/>
      <c r="F2719" s="14"/>
    </row>
    <row r="2720" spans="1:6" x14ac:dyDescent="0.25">
      <c r="A2720" s="86">
        <v>2719</v>
      </c>
      <c r="B2720" s="87">
        <v>33.256537785171531</v>
      </c>
      <c r="C2720" s="14">
        <v>1</v>
      </c>
      <c r="D2720" s="86">
        <v>7.2093232401373997E-2</v>
      </c>
      <c r="E2720" s="86"/>
      <c r="F2720" s="14"/>
    </row>
    <row r="2721" spans="1:6" x14ac:dyDescent="0.25">
      <c r="A2721" s="86">
        <v>2720</v>
      </c>
      <c r="B2721" s="87">
        <v>47.549019649857655</v>
      </c>
      <c r="C2721" s="14">
        <v>5</v>
      </c>
      <c r="D2721" s="86">
        <v>0.42032680113089493</v>
      </c>
      <c r="E2721" s="86"/>
      <c r="F2721" s="14"/>
    </row>
    <row r="2722" spans="1:6" x14ac:dyDescent="0.25">
      <c r="A2722" s="86">
        <v>2721</v>
      </c>
      <c r="B2722" s="87">
        <v>40.689440078829648</v>
      </c>
      <c r="C2722" s="14">
        <v>2</v>
      </c>
      <c r="D2722" s="86">
        <v>0.7479218152808601</v>
      </c>
      <c r="E2722" s="86"/>
      <c r="F2722" s="14"/>
    </row>
    <row r="2723" spans="1:6" x14ac:dyDescent="0.25">
      <c r="A2723" s="86">
        <v>2722</v>
      </c>
      <c r="B2723" s="87">
        <v>36.823814747884171</v>
      </c>
      <c r="C2723" s="14">
        <v>2</v>
      </c>
      <c r="D2723" s="86">
        <v>0.16046609693458747</v>
      </c>
      <c r="E2723" s="86"/>
      <c r="F2723" s="14"/>
    </row>
    <row r="2724" spans="1:6" x14ac:dyDescent="0.25">
      <c r="A2724" s="86">
        <v>2723</v>
      </c>
      <c r="B2724" s="87">
        <v>43.379986886400729</v>
      </c>
      <c r="C2724" s="14">
        <v>2</v>
      </c>
      <c r="D2724" s="86">
        <v>0.29507796825579558</v>
      </c>
      <c r="E2724" s="86"/>
      <c r="F2724" s="14"/>
    </row>
    <row r="2725" spans="1:6" x14ac:dyDescent="0.25">
      <c r="A2725" s="86">
        <v>2724</v>
      </c>
      <c r="B2725" s="87">
        <v>41.826342562097125</v>
      </c>
      <c r="C2725" s="14">
        <v>2</v>
      </c>
      <c r="D2725" s="86">
        <v>0.58765470776256468</v>
      </c>
      <c r="E2725" s="86"/>
      <c r="F2725" s="14"/>
    </row>
    <row r="2726" spans="1:6" x14ac:dyDescent="0.25">
      <c r="A2726" s="86">
        <v>2725</v>
      </c>
      <c r="B2726" s="87">
        <v>41.61568085179897</v>
      </c>
      <c r="C2726" s="14">
        <v>5</v>
      </c>
      <c r="D2726" s="86">
        <v>0.20990311932531802</v>
      </c>
      <c r="E2726" s="86"/>
      <c r="F2726" s="14"/>
    </row>
    <row r="2727" spans="1:6" x14ac:dyDescent="0.25">
      <c r="A2727" s="86">
        <v>2726</v>
      </c>
      <c r="B2727" s="87">
        <v>52.322275218437426</v>
      </c>
      <c r="C2727" s="14">
        <v>4</v>
      </c>
      <c r="D2727" s="86">
        <v>0.18036295583576556</v>
      </c>
      <c r="E2727" s="86"/>
      <c r="F2727" s="14"/>
    </row>
    <row r="2728" spans="1:6" x14ac:dyDescent="0.25">
      <c r="A2728" s="86">
        <v>2727</v>
      </c>
      <c r="B2728" s="87">
        <v>33.618334777536802</v>
      </c>
      <c r="C2728" s="14">
        <v>3</v>
      </c>
      <c r="D2728" s="86">
        <v>0.90276563338574234</v>
      </c>
      <c r="E2728" s="86"/>
      <c r="F2728" s="14"/>
    </row>
    <row r="2729" spans="1:6" x14ac:dyDescent="0.25">
      <c r="A2729" s="86">
        <v>2728</v>
      </c>
      <c r="B2729" s="87">
        <v>47.449816515261773</v>
      </c>
      <c r="C2729" s="14">
        <v>4</v>
      </c>
      <c r="D2729" s="86">
        <v>0.60819619126059032</v>
      </c>
      <c r="E2729" s="86"/>
      <c r="F2729" s="14"/>
    </row>
    <row r="2730" spans="1:6" x14ac:dyDescent="0.25">
      <c r="A2730" s="86">
        <v>2729</v>
      </c>
      <c r="B2730" s="87">
        <v>29.369584803469479</v>
      </c>
      <c r="C2730" s="14">
        <v>2</v>
      </c>
      <c r="D2730" s="86">
        <v>0.24647827565872127</v>
      </c>
      <c r="E2730" s="86"/>
      <c r="F2730" s="14"/>
    </row>
    <row r="2731" spans="1:6" x14ac:dyDescent="0.25">
      <c r="A2731" s="86">
        <v>2730</v>
      </c>
      <c r="B2731" s="87">
        <v>55.658165360335261</v>
      </c>
      <c r="C2731" s="14">
        <v>4</v>
      </c>
      <c r="D2731" s="86">
        <v>0.27410535933395219</v>
      </c>
      <c r="E2731" s="86"/>
      <c r="F2731" s="14"/>
    </row>
    <row r="2732" spans="1:6" x14ac:dyDescent="0.25">
      <c r="A2732" s="86">
        <v>2731</v>
      </c>
      <c r="B2732" s="87">
        <v>40.469245727188536</v>
      </c>
      <c r="C2732" s="14">
        <v>5</v>
      </c>
      <c r="D2732" s="86">
        <v>0.24126677766314975</v>
      </c>
      <c r="E2732" s="86"/>
      <c r="F2732" s="14"/>
    </row>
    <row r="2733" spans="1:6" x14ac:dyDescent="0.25">
      <c r="A2733" s="86">
        <v>2732</v>
      </c>
      <c r="B2733" s="87">
        <v>36.852429724938702</v>
      </c>
      <c r="C2733" s="14">
        <v>4</v>
      </c>
      <c r="D2733" s="86">
        <v>0.53004772053383797</v>
      </c>
      <c r="E2733" s="86"/>
      <c r="F2733" s="14"/>
    </row>
    <row r="2734" spans="1:6" x14ac:dyDescent="0.25">
      <c r="A2734" s="86">
        <v>2733</v>
      </c>
      <c r="B2734" s="87">
        <v>38.733617197402054</v>
      </c>
      <c r="C2734" s="14">
        <v>2</v>
      </c>
      <c r="D2734" s="86">
        <v>0.9118434525785426</v>
      </c>
      <c r="E2734" s="86"/>
      <c r="F2734" s="14"/>
    </row>
    <row r="2735" spans="1:6" x14ac:dyDescent="0.25">
      <c r="A2735" s="86">
        <v>2734</v>
      </c>
      <c r="B2735" s="87">
        <v>47.244407136866357</v>
      </c>
      <c r="C2735" s="14">
        <v>1</v>
      </c>
      <c r="D2735" s="86">
        <v>0.53477628808977906</v>
      </c>
      <c r="E2735" s="86"/>
      <c r="F2735" s="14"/>
    </row>
    <row r="2736" spans="1:6" x14ac:dyDescent="0.25">
      <c r="A2736" s="86">
        <v>2735</v>
      </c>
      <c r="B2736" s="87">
        <v>47.460628133529099</v>
      </c>
      <c r="C2736" s="14">
        <v>4</v>
      </c>
      <c r="D2736" s="86">
        <v>0.45200991262556889</v>
      </c>
      <c r="E2736" s="86"/>
      <c r="F2736" s="14"/>
    </row>
    <row r="2737" spans="1:6" x14ac:dyDescent="0.25">
      <c r="A2737" s="86">
        <v>2736</v>
      </c>
      <c r="B2737" s="87">
        <v>43.102323838291341</v>
      </c>
      <c r="C2737" s="14">
        <v>2</v>
      </c>
      <c r="D2737" s="86">
        <v>0.55599700817807174</v>
      </c>
      <c r="E2737" s="86"/>
      <c r="F2737" s="14"/>
    </row>
    <row r="2738" spans="1:6" x14ac:dyDescent="0.25">
      <c r="A2738" s="86">
        <v>2737</v>
      </c>
      <c r="B2738" s="87">
        <v>36.554934007988777</v>
      </c>
      <c r="C2738" s="14">
        <v>5</v>
      </c>
      <c r="D2738" s="86">
        <v>0.41146457986871865</v>
      </c>
      <c r="E2738" s="86"/>
      <c r="F2738" s="14"/>
    </row>
    <row r="2739" spans="1:6" x14ac:dyDescent="0.25">
      <c r="A2739" s="86">
        <v>2738</v>
      </c>
      <c r="B2739" s="87">
        <v>39.107658262189943</v>
      </c>
      <c r="C2739" s="14">
        <v>5</v>
      </c>
      <c r="D2739" s="86">
        <v>6.0778728237133817E-2</v>
      </c>
      <c r="E2739" s="86"/>
      <c r="F2739" s="14"/>
    </row>
    <row r="2740" spans="1:6" x14ac:dyDescent="0.25">
      <c r="A2740" s="86">
        <v>2739</v>
      </c>
      <c r="B2740" s="87">
        <v>51.307279131258838</v>
      </c>
      <c r="C2740" s="14">
        <v>4</v>
      </c>
      <c r="D2740" s="86">
        <v>0.71763185777670302</v>
      </c>
      <c r="E2740" s="86"/>
      <c r="F2740" s="14"/>
    </row>
    <row r="2741" spans="1:6" x14ac:dyDescent="0.25">
      <c r="A2741" s="86">
        <v>2740</v>
      </c>
      <c r="B2741" s="87">
        <v>45.341670324312872</v>
      </c>
      <c r="C2741" s="14">
        <v>2</v>
      </c>
      <c r="D2741" s="86">
        <v>0.37030546505696438</v>
      </c>
      <c r="E2741" s="86"/>
      <c r="F2741" s="14"/>
    </row>
    <row r="2742" spans="1:6" x14ac:dyDescent="0.25">
      <c r="A2742" s="86">
        <v>2741</v>
      </c>
      <c r="B2742" s="87">
        <v>44.181916786663351</v>
      </c>
      <c r="C2742" s="14">
        <v>2</v>
      </c>
      <c r="D2742" s="86">
        <v>0.65306158681428594</v>
      </c>
      <c r="E2742" s="86"/>
      <c r="F2742" s="14"/>
    </row>
    <row r="2743" spans="1:6" x14ac:dyDescent="0.25">
      <c r="A2743" s="86">
        <v>2742</v>
      </c>
      <c r="B2743" s="87">
        <v>41.713587956444826</v>
      </c>
      <c r="C2743" s="14">
        <v>5</v>
      </c>
      <c r="D2743" s="86">
        <v>0.39174973805392932</v>
      </c>
      <c r="E2743" s="86"/>
      <c r="F2743" s="14"/>
    </row>
    <row r="2744" spans="1:6" x14ac:dyDescent="0.25">
      <c r="A2744" s="86">
        <v>2743</v>
      </c>
      <c r="B2744" s="87">
        <v>40.733192458326812</v>
      </c>
      <c r="C2744" s="14">
        <v>4</v>
      </c>
      <c r="D2744" s="86">
        <v>0.15244692165297125</v>
      </c>
      <c r="E2744" s="86"/>
      <c r="F2744" s="14"/>
    </row>
    <row r="2745" spans="1:6" x14ac:dyDescent="0.25">
      <c r="A2745" s="86">
        <v>2744</v>
      </c>
      <c r="B2745" s="87">
        <v>36.342885318270419</v>
      </c>
      <c r="C2745" s="14">
        <v>1</v>
      </c>
      <c r="D2745" s="86">
        <v>0.6938791535032599</v>
      </c>
      <c r="E2745" s="86"/>
      <c r="F2745" s="14"/>
    </row>
    <row r="2746" spans="1:6" x14ac:dyDescent="0.25">
      <c r="A2746" s="86">
        <v>2745</v>
      </c>
      <c r="B2746" s="87">
        <v>50.694188752793707</v>
      </c>
      <c r="C2746" s="14">
        <v>1</v>
      </c>
      <c r="D2746" s="86">
        <v>0.68387988077211692</v>
      </c>
      <c r="E2746" s="86"/>
      <c r="F2746" s="14"/>
    </row>
    <row r="2747" spans="1:6" x14ac:dyDescent="0.25">
      <c r="A2747" s="86">
        <v>2746</v>
      </c>
      <c r="B2747" s="87">
        <v>36.799951880646404</v>
      </c>
      <c r="C2747" s="14">
        <v>2</v>
      </c>
      <c r="D2747" s="86">
        <v>0.75766578089831949</v>
      </c>
      <c r="E2747" s="86"/>
      <c r="F2747" s="14"/>
    </row>
    <row r="2748" spans="1:6" x14ac:dyDescent="0.25">
      <c r="A2748" s="86">
        <v>2747</v>
      </c>
      <c r="B2748" s="87">
        <v>43.427957047577365</v>
      </c>
      <c r="C2748" s="14">
        <v>4</v>
      </c>
      <c r="D2748" s="86">
        <v>0.98636473374619638</v>
      </c>
      <c r="E2748" s="86"/>
      <c r="F2748" s="14"/>
    </row>
    <row r="2749" spans="1:6" x14ac:dyDescent="0.25">
      <c r="A2749" s="86">
        <v>2748</v>
      </c>
      <c r="B2749" s="87">
        <v>46.587240371416556</v>
      </c>
      <c r="C2749" s="14">
        <v>5</v>
      </c>
      <c r="D2749" s="86">
        <v>0.55149672609097455</v>
      </c>
      <c r="E2749" s="86"/>
      <c r="F2749" s="14"/>
    </row>
    <row r="2750" spans="1:6" x14ac:dyDescent="0.25">
      <c r="A2750" s="86">
        <v>2749</v>
      </c>
      <c r="B2750" s="87">
        <v>36.763481143105309</v>
      </c>
      <c r="C2750" s="14">
        <v>2</v>
      </c>
      <c r="D2750" s="86">
        <v>0.3886259362800305</v>
      </c>
      <c r="E2750" s="86"/>
      <c r="F2750" s="14"/>
    </row>
    <row r="2751" spans="1:6" x14ac:dyDescent="0.25">
      <c r="A2751" s="86">
        <v>2750</v>
      </c>
      <c r="B2751" s="87">
        <v>47.418075150169898</v>
      </c>
      <c r="C2751" s="14">
        <v>2</v>
      </c>
      <c r="D2751" s="86">
        <v>0.48098728508232091</v>
      </c>
      <c r="E2751" s="86"/>
      <c r="F2751" s="14"/>
    </row>
    <row r="2752" spans="1:6" x14ac:dyDescent="0.25">
      <c r="A2752" s="86">
        <v>2751</v>
      </c>
      <c r="B2752" s="87">
        <v>43.222490825763089</v>
      </c>
      <c r="C2752" s="14">
        <v>4</v>
      </c>
      <c r="D2752" s="86">
        <v>2.7609417933189162E-2</v>
      </c>
      <c r="E2752" s="86"/>
      <c r="F2752" s="14"/>
    </row>
    <row r="2753" spans="1:6" x14ac:dyDescent="0.25">
      <c r="A2753" s="86">
        <v>2752</v>
      </c>
      <c r="B2753" s="87">
        <v>41.249603549993481</v>
      </c>
      <c r="C2753" s="14">
        <v>4</v>
      </c>
      <c r="D2753" s="86">
        <v>0.45963161654588425</v>
      </c>
      <c r="E2753" s="86"/>
      <c r="F2753" s="14"/>
    </row>
    <row r="2754" spans="1:6" x14ac:dyDescent="0.25">
      <c r="A2754" s="86">
        <v>2753</v>
      </c>
      <c r="B2754" s="87">
        <v>37.631616573315114</v>
      </c>
      <c r="C2754" s="14">
        <v>4</v>
      </c>
      <c r="D2754" s="86">
        <v>0.52954622469066814</v>
      </c>
      <c r="E2754" s="86"/>
      <c r="F2754" s="14"/>
    </row>
    <row r="2755" spans="1:6" x14ac:dyDescent="0.25">
      <c r="A2755" s="86">
        <v>2754</v>
      </c>
      <c r="B2755" s="87">
        <v>46.264108272560406</v>
      </c>
      <c r="C2755" s="14">
        <v>2</v>
      </c>
      <c r="D2755" s="86">
        <v>0.78381899322037407</v>
      </c>
      <c r="E2755" s="86"/>
      <c r="F2755" s="14"/>
    </row>
    <row r="2756" spans="1:6" x14ac:dyDescent="0.25">
      <c r="A2756" s="86">
        <v>2755</v>
      </c>
      <c r="B2756" s="87">
        <v>54.195697879884392</v>
      </c>
      <c r="C2756" s="14">
        <v>4</v>
      </c>
      <c r="D2756" s="86">
        <v>2.1312904927759391E-3</v>
      </c>
      <c r="E2756" s="86"/>
      <c r="F2756" s="14"/>
    </row>
    <row r="2757" spans="1:6" x14ac:dyDescent="0.25">
      <c r="A2757" s="86">
        <v>2756</v>
      </c>
      <c r="B2757" s="87">
        <v>33.633887136937119</v>
      </c>
      <c r="C2757" s="14">
        <v>4</v>
      </c>
      <c r="D2757" s="86">
        <v>0.73574640052492923</v>
      </c>
      <c r="E2757" s="86"/>
      <c r="F2757" s="14"/>
    </row>
    <row r="2758" spans="1:6" x14ac:dyDescent="0.25">
      <c r="A2758" s="86">
        <v>2757</v>
      </c>
      <c r="B2758" s="87">
        <v>40.416500718827592</v>
      </c>
      <c r="C2758" s="14">
        <v>5</v>
      </c>
      <c r="D2758" s="86">
        <v>0.34169633563343549</v>
      </c>
      <c r="E2758" s="86"/>
      <c r="F2758" s="14"/>
    </row>
    <row r="2759" spans="1:6" x14ac:dyDescent="0.25">
      <c r="A2759" s="86">
        <v>2758</v>
      </c>
      <c r="B2759" s="87">
        <v>44.158724671768141</v>
      </c>
      <c r="C2759" s="14">
        <v>2</v>
      </c>
      <c r="D2759" s="86">
        <v>0.10818010651346477</v>
      </c>
      <c r="E2759" s="86"/>
      <c r="F2759" s="14"/>
    </row>
    <row r="2760" spans="1:6" x14ac:dyDescent="0.25">
      <c r="A2760" s="86">
        <v>2759</v>
      </c>
      <c r="B2760" s="87">
        <v>53.117037163581699</v>
      </c>
      <c r="C2760" s="14">
        <v>5</v>
      </c>
      <c r="D2760" s="86">
        <v>0.56194285176972048</v>
      </c>
      <c r="E2760" s="86"/>
      <c r="F2760" s="14"/>
    </row>
    <row r="2761" spans="1:6" x14ac:dyDescent="0.25">
      <c r="A2761" s="86">
        <v>2760</v>
      </c>
      <c r="B2761" s="87">
        <v>48.129481905896682</v>
      </c>
      <c r="C2761" s="14">
        <v>4</v>
      </c>
      <c r="D2761" s="86">
        <v>0.52373893362471036</v>
      </c>
      <c r="E2761" s="86"/>
      <c r="F2761" s="14"/>
    </row>
    <row r="2762" spans="1:6" x14ac:dyDescent="0.25">
      <c r="A2762" s="86">
        <v>2761</v>
      </c>
      <c r="B2762" s="87">
        <v>40.086808889434906</v>
      </c>
      <c r="C2762" s="14">
        <v>2</v>
      </c>
      <c r="D2762" s="86">
        <v>0.31195713892885213</v>
      </c>
      <c r="E2762" s="86"/>
      <c r="F2762" s="14"/>
    </row>
    <row r="2763" spans="1:6" x14ac:dyDescent="0.25">
      <c r="A2763" s="86">
        <v>2762</v>
      </c>
      <c r="B2763" s="87">
        <v>53.08174876915291</v>
      </c>
      <c r="C2763" s="14">
        <v>4</v>
      </c>
      <c r="D2763" s="86">
        <v>0.83031739758238055</v>
      </c>
      <c r="E2763" s="86"/>
      <c r="F2763" s="14"/>
    </row>
    <row r="2764" spans="1:6" x14ac:dyDescent="0.25">
      <c r="A2764" s="86">
        <v>2763</v>
      </c>
      <c r="B2764" s="87">
        <v>34.898471307649743</v>
      </c>
      <c r="C2764" s="14">
        <v>5</v>
      </c>
      <c r="D2764" s="86">
        <v>0.8090031613230404</v>
      </c>
      <c r="E2764" s="86"/>
      <c r="F2764" s="14"/>
    </row>
    <row r="2765" spans="1:6" x14ac:dyDescent="0.25">
      <c r="A2765" s="86">
        <v>2764</v>
      </c>
      <c r="B2765" s="87">
        <v>41.15617002241197</v>
      </c>
      <c r="C2765" s="14">
        <v>2</v>
      </c>
      <c r="D2765" s="86">
        <v>0.35679102161359921</v>
      </c>
      <c r="E2765" s="86"/>
      <c r="F2765" s="14"/>
    </row>
    <row r="2766" spans="1:6" x14ac:dyDescent="0.25">
      <c r="A2766" s="86">
        <v>2765</v>
      </c>
      <c r="B2766" s="87">
        <v>39.877534158556955</v>
      </c>
      <c r="C2766" s="14">
        <v>1</v>
      </c>
      <c r="D2766" s="86">
        <v>0.46589081673152632</v>
      </c>
      <c r="E2766" s="86"/>
      <c r="F2766" s="14"/>
    </row>
    <row r="2767" spans="1:6" x14ac:dyDescent="0.25">
      <c r="A2767" s="86">
        <v>2766</v>
      </c>
      <c r="B2767" s="87">
        <v>41.31978811926092</v>
      </c>
      <c r="C2767" s="14">
        <v>2</v>
      </c>
      <c r="D2767" s="86">
        <v>0.19123994680450007</v>
      </c>
      <c r="E2767" s="86"/>
      <c r="F2767" s="14"/>
    </row>
    <row r="2768" spans="1:6" x14ac:dyDescent="0.25">
      <c r="A2768" s="86">
        <v>2767</v>
      </c>
      <c r="B2768" s="87">
        <v>38.453299561631866</v>
      </c>
      <c r="C2768" s="14">
        <v>1</v>
      </c>
      <c r="D2768" s="86">
        <v>0.89823319683415015</v>
      </c>
      <c r="E2768" s="86"/>
      <c r="F2768" s="14"/>
    </row>
    <row r="2769" spans="1:6" x14ac:dyDescent="0.25">
      <c r="A2769" s="86">
        <v>2768</v>
      </c>
      <c r="B2769" s="87">
        <v>33.746437106281519</v>
      </c>
      <c r="C2769" s="14">
        <v>3</v>
      </c>
      <c r="D2769" s="86">
        <v>0.1479141203981641</v>
      </c>
      <c r="E2769" s="86"/>
      <c r="F2769" s="14"/>
    </row>
    <row r="2770" spans="1:6" x14ac:dyDescent="0.25">
      <c r="A2770" s="86">
        <v>2769</v>
      </c>
      <c r="B2770" s="87">
        <v>38.044163370039314</v>
      </c>
      <c r="C2770" s="14">
        <v>4</v>
      </c>
      <c r="D2770" s="86">
        <v>0.87240569067867324</v>
      </c>
      <c r="E2770" s="86"/>
      <c r="F2770" s="14"/>
    </row>
    <row r="2771" spans="1:6" x14ac:dyDescent="0.25">
      <c r="A2771" s="86">
        <v>2770</v>
      </c>
      <c r="B2771" s="87">
        <v>44.047419573296793</v>
      </c>
      <c r="C2771" s="14">
        <v>5</v>
      </c>
      <c r="D2771" s="86">
        <v>0.73720966598914517</v>
      </c>
      <c r="E2771" s="86"/>
      <c r="F2771" s="14"/>
    </row>
    <row r="2772" spans="1:6" x14ac:dyDescent="0.25">
      <c r="A2772" s="86">
        <v>2771</v>
      </c>
      <c r="B2772" s="87">
        <v>48.061974661657587</v>
      </c>
      <c r="C2772" s="14">
        <v>2</v>
      </c>
      <c r="D2772" s="86">
        <v>0.62793656467483139</v>
      </c>
      <c r="E2772" s="86"/>
      <c r="F2772" s="14"/>
    </row>
    <row r="2773" spans="1:6" x14ac:dyDescent="0.25">
      <c r="A2773" s="86">
        <v>2772</v>
      </c>
      <c r="B2773" s="87">
        <v>37.099789546453394</v>
      </c>
      <c r="C2773" s="14">
        <v>4</v>
      </c>
      <c r="D2773" s="86">
        <v>0.16828220136777494</v>
      </c>
      <c r="E2773" s="86"/>
      <c r="F2773" s="14"/>
    </row>
    <row r="2774" spans="1:6" x14ac:dyDescent="0.25">
      <c r="A2774" s="86">
        <v>2773</v>
      </c>
      <c r="B2774" s="87">
        <v>45.515116648282856</v>
      </c>
      <c r="C2774" s="14">
        <v>1</v>
      </c>
      <c r="D2774" s="86">
        <v>0.64840343132097933</v>
      </c>
      <c r="E2774" s="86"/>
      <c r="F2774" s="14"/>
    </row>
    <row r="2775" spans="1:6" x14ac:dyDescent="0.25">
      <c r="A2775" s="86">
        <v>2774</v>
      </c>
      <c r="B2775" s="87">
        <v>43.728346094547305</v>
      </c>
      <c r="C2775" s="14">
        <v>2</v>
      </c>
      <c r="D2775" s="86">
        <v>0.62468189920843054</v>
      </c>
      <c r="E2775" s="86"/>
      <c r="F2775" s="14"/>
    </row>
    <row r="2776" spans="1:6" x14ac:dyDescent="0.25">
      <c r="A2776" s="86">
        <v>2775</v>
      </c>
      <c r="B2776" s="87">
        <v>41.308044268924277</v>
      </c>
      <c r="C2776" s="14">
        <v>5</v>
      </c>
      <c r="D2776" s="86">
        <v>0.5954743124692683</v>
      </c>
      <c r="E2776" s="86"/>
      <c r="F2776" s="14"/>
    </row>
    <row r="2777" spans="1:6" x14ac:dyDescent="0.25">
      <c r="A2777" s="86">
        <v>2776</v>
      </c>
      <c r="B2777" s="87">
        <v>46.075649601669284</v>
      </c>
      <c r="C2777" s="14">
        <v>3</v>
      </c>
      <c r="D2777" s="86">
        <v>0.93704319436965</v>
      </c>
      <c r="E2777" s="86"/>
      <c r="F2777" s="14"/>
    </row>
    <row r="2778" spans="1:6" x14ac:dyDescent="0.25">
      <c r="A2778" s="86">
        <v>2777</v>
      </c>
      <c r="B2778" s="87">
        <v>46.168617013216135</v>
      </c>
      <c r="C2778" s="14">
        <v>2</v>
      </c>
      <c r="D2778" s="86">
        <v>0.87425388469641696</v>
      </c>
      <c r="E2778" s="86"/>
      <c r="F2778" s="14"/>
    </row>
    <row r="2779" spans="1:6" x14ac:dyDescent="0.25">
      <c r="A2779" s="86">
        <v>2778</v>
      </c>
      <c r="B2779" s="87">
        <v>43.184212467502221</v>
      </c>
      <c r="C2779" s="14">
        <v>2</v>
      </c>
      <c r="D2779" s="86">
        <v>0.88208133246343257</v>
      </c>
      <c r="E2779" s="86"/>
      <c r="F2779" s="14"/>
    </row>
    <row r="2780" spans="1:6" x14ac:dyDescent="0.25">
      <c r="A2780" s="86">
        <v>2779</v>
      </c>
      <c r="B2780" s="87">
        <v>34.375261743087322</v>
      </c>
      <c r="C2780" s="14">
        <v>5</v>
      </c>
      <c r="D2780" s="86">
        <v>0.37708623922645446</v>
      </c>
      <c r="E2780" s="86"/>
      <c r="F2780" s="14"/>
    </row>
    <row r="2781" spans="1:6" x14ac:dyDescent="0.25">
      <c r="A2781" s="86">
        <v>2780</v>
      </c>
      <c r="B2781" s="87">
        <v>44.626887069505756</v>
      </c>
      <c r="C2781" s="14">
        <v>3</v>
      </c>
      <c r="D2781" s="86">
        <v>0.88002795307016235</v>
      </c>
      <c r="E2781" s="86"/>
      <c r="F2781" s="14"/>
    </row>
    <row r="2782" spans="1:6" x14ac:dyDescent="0.25">
      <c r="A2782" s="86">
        <v>2781</v>
      </c>
      <c r="B2782" s="87">
        <v>44.440849928258103</v>
      </c>
      <c r="C2782" s="14">
        <v>5</v>
      </c>
      <c r="D2782" s="86">
        <v>0.84363941280651622</v>
      </c>
      <c r="E2782" s="86"/>
      <c r="F2782" s="14"/>
    </row>
    <row r="2783" spans="1:6" x14ac:dyDescent="0.25">
      <c r="A2783" s="86">
        <v>2782</v>
      </c>
      <c r="B2783" s="87">
        <v>38.688301623886218</v>
      </c>
      <c r="C2783" s="14">
        <v>4</v>
      </c>
      <c r="D2783" s="86">
        <v>0.72190638629349024</v>
      </c>
      <c r="E2783" s="86"/>
      <c r="F2783" s="14"/>
    </row>
    <row r="2784" spans="1:6" x14ac:dyDescent="0.25">
      <c r="A2784" s="86">
        <v>2783</v>
      </c>
      <c r="B2784" s="87">
        <v>34.620370565215126</v>
      </c>
      <c r="C2784" s="14">
        <v>4</v>
      </c>
      <c r="D2784" s="86">
        <v>0.81249134635677867</v>
      </c>
      <c r="E2784" s="86"/>
      <c r="F2784" s="14"/>
    </row>
    <row r="2785" spans="1:6" x14ac:dyDescent="0.25">
      <c r="A2785" s="86">
        <v>2784</v>
      </c>
      <c r="B2785" s="87">
        <v>43.905117758520646</v>
      </c>
      <c r="C2785" s="14">
        <v>4</v>
      </c>
      <c r="D2785" s="86">
        <v>0.67507961196497424</v>
      </c>
      <c r="E2785" s="86"/>
      <c r="F2785" s="14"/>
    </row>
    <row r="2786" spans="1:6" x14ac:dyDescent="0.25">
      <c r="A2786" s="86">
        <v>2785</v>
      </c>
      <c r="B2786" s="87">
        <v>44.826646212066407</v>
      </c>
      <c r="C2786" s="14">
        <v>2</v>
      </c>
      <c r="D2786" s="86">
        <v>0.97404445313956667</v>
      </c>
      <c r="E2786" s="86"/>
      <c r="F2786" s="14"/>
    </row>
    <row r="2787" spans="1:6" x14ac:dyDescent="0.25">
      <c r="A2787" s="86">
        <v>2786</v>
      </c>
      <c r="B2787" s="87">
        <v>40.542022356356028</v>
      </c>
      <c r="C2787" s="14">
        <v>2</v>
      </c>
      <c r="D2787" s="86">
        <v>0.46545357040756252</v>
      </c>
      <c r="E2787" s="86"/>
      <c r="F2787" s="14"/>
    </row>
    <row r="2788" spans="1:6" x14ac:dyDescent="0.25">
      <c r="A2788" s="86">
        <v>2787</v>
      </c>
      <c r="B2788" s="87">
        <v>45.733742121563409</v>
      </c>
      <c r="C2788" s="14">
        <v>5</v>
      </c>
      <c r="D2788" s="86">
        <v>0.76137623905864638</v>
      </c>
      <c r="E2788" s="86"/>
      <c r="F2788" s="14"/>
    </row>
    <row r="2789" spans="1:6" x14ac:dyDescent="0.25">
      <c r="A2789" s="86">
        <v>2788</v>
      </c>
      <c r="B2789" s="87">
        <v>45.211413629993331</v>
      </c>
      <c r="C2789" s="14">
        <v>4</v>
      </c>
      <c r="D2789" s="86">
        <v>0.26563232848854135</v>
      </c>
      <c r="E2789" s="86"/>
      <c r="F2789" s="14"/>
    </row>
    <row r="2790" spans="1:6" x14ac:dyDescent="0.25">
      <c r="A2790" s="86">
        <v>2789</v>
      </c>
      <c r="B2790" s="87">
        <v>46.270741899541463</v>
      </c>
      <c r="C2790" s="14">
        <v>4</v>
      </c>
      <c r="D2790" s="86">
        <v>0.98688833736853709</v>
      </c>
      <c r="E2790" s="86"/>
      <c r="F2790" s="14"/>
    </row>
    <row r="2791" spans="1:6" x14ac:dyDescent="0.25">
      <c r="A2791" s="86">
        <v>2790</v>
      </c>
      <c r="B2791" s="87">
        <v>49.055756784917321</v>
      </c>
      <c r="C2791" s="14">
        <v>1</v>
      </c>
      <c r="D2791" s="86">
        <v>0.54202328359776075</v>
      </c>
      <c r="E2791" s="86"/>
      <c r="F2791" s="14"/>
    </row>
    <row r="2792" spans="1:6" x14ac:dyDescent="0.25">
      <c r="A2792" s="86">
        <v>2791</v>
      </c>
      <c r="B2792" s="87">
        <v>37.351628629374318</v>
      </c>
      <c r="C2792" s="14">
        <v>4</v>
      </c>
      <c r="D2792" s="86">
        <v>2.7446972440365869E-3</v>
      </c>
      <c r="E2792" s="86"/>
      <c r="F2792" s="14"/>
    </row>
    <row r="2793" spans="1:6" x14ac:dyDescent="0.25">
      <c r="A2793" s="86">
        <v>2792</v>
      </c>
      <c r="B2793" s="87">
        <v>44.416941586285247</v>
      </c>
      <c r="C2793" s="14">
        <v>5</v>
      </c>
      <c r="D2793" s="86">
        <v>0.78368435454771146</v>
      </c>
      <c r="E2793" s="86"/>
      <c r="F2793" s="14"/>
    </row>
    <row r="2794" spans="1:6" x14ac:dyDescent="0.25">
      <c r="A2794" s="86">
        <v>2793</v>
      </c>
      <c r="B2794" s="87">
        <v>41.12461055626045</v>
      </c>
      <c r="C2794" s="14">
        <v>2</v>
      </c>
      <c r="D2794" s="86">
        <v>0.80014659763775597</v>
      </c>
      <c r="E2794" s="86"/>
      <c r="F2794" s="14"/>
    </row>
    <row r="2795" spans="1:6" x14ac:dyDescent="0.25">
      <c r="A2795" s="86">
        <v>2794</v>
      </c>
      <c r="B2795" s="87">
        <v>44.426099061063724</v>
      </c>
      <c r="C2795" s="14">
        <v>5</v>
      </c>
      <c r="D2795" s="86">
        <v>0.43038247391490969</v>
      </c>
      <c r="E2795" s="86"/>
      <c r="F2795" s="14"/>
    </row>
    <row r="2796" spans="1:6" x14ac:dyDescent="0.25">
      <c r="A2796" s="86">
        <v>2795</v>
      </c>
      <c r="B2796" s="87">
        <v>45.98419422506413</v>
      </c>
      <c r="C2796" s="14">
        <v>4</v>
      </c>
      <c r="D2796" s="86">
        <v>0.49640377032893479</v>
      </c>
      <c r="E2796" s="86"/>
      <c r="F2796" s="14"/>
    </row>
    <row r="2797" spans="1:6" x14ac:dyDescent="0.25">
      <c r="A2797" s="86">
        <v>2796</v>
      </c>
      <c r="B2797" s="87">
        <v>38.691075582726626</v>
      </c>
      <c r="C2797" s="14">
        <v>5</v>
      </c>
      <c r="D2797" s="86">
        <v>0.45528642885127601</v>
      </c>
      <c r="E2797" s="86"/>
      <c r="F2797" s="14"/>
    </row>
    <row r="2798" spans="1:6" x14ac:dyDescent="0.25">
      <c r="A2798" s="86">
        <v>2797</v>
      </c>
      <c r="B2798" s="87">
        <v>42.41594523988897</v>
      </c>
      <c r="C2798" s="14">
        <v>5</v>
      </c>
      <c r="D2798" s="86">
        <v>0.60363622961643715</v>
      </c>
      <c r="E2798" s="86"/>
      <c r="F2798" s="14"/>
    </row>
    <row r="2799" spans="1:6" x14ac:dyDescent="0.25">
      <c r="A2799" s="86">
        <v>2798</v>
      </c>
      <c r="B2799" s="87">
        <v>49.500772542494815</v>
      </c>
      <c r="C2799" s="14">
        <v>4</v>
      </c>
      <c r="D2799" s="86">
        <v>0.27229037104271259</v>
      </c>
      <c r="E2799" s="86"/>
      <c r="F2799" s="14"/>
    </row>
    <row r="2800" spans="1:6" x14ac:dyDescent="0.25">
      <c r="A2800" s="86">
        <v>2799</v>
      </c>
      <c r="B2800" s="87">
        <v>45.302044777025003</v>
      </c>
      <c r="C2800" s="14">
        <v>4</v>
      </c>
      <c r="D2800" s="86">
        <v>0.65366086493131093</v>
      </c>
      <c r="E2800" s="86"/>
      <c r="F2800" s="14"/>
    </row>
    <row r="2801" spans="1:6" x14ac:dyDescent="0.25">
      <c r="A2801" s="86">
        <v>2800</v>
      </c>
      <c r="B2801" s="87">
        <v>35.705579643370584</v>
      </c>
      <c r="C2801" s="14">
        <v>4</v>
      </c>
      <c r="D2801" s="86">
        <v>0.23121146050535279</v>
      </c>
      <c r="E2801" s="86"/>
      <c r="F2801" s="14"/>
    </row>
    <row r="2802" spans="1:6" x14ac:dyDescent="0.25">
      <c r="A2802" s="86">
        <v>2801</v>
      </c>
      <c r="B2802" s="87">
        <v>52.63591446634382</v>
      </c>
      <c r="C2802" s="14">
        <v>2</v>
      </c>
      <c r="D2802" s="86">
        <v>4.626268380351295E-3</v>
      </c>
      <c r="E2802" s="86"/>
      <c r="F2802" s="14"/>
    </row>
    <row r="2803" spans="1:6" x14ac:dyDescent="0.25">
      <c r="A2803" s="86">
        <v>2802</v>
      </c>
      <c r="B2803" s="87">
        <v>47.227979388815584</v>
      </c>
      <c r="C2803" s="14">
        <v>2</v>
      </c>
      <c r="D2803" s="86">
        <v>0.57557570165500893</v>
      </c>
      <c r="E2803" s="86"/>
      <c r="F2803" s="14"/>
    </row>
    <row r="2804" spans="1:6" x14ac:dyDescent="0.25">
      <c r="A2804" s="86">
        <v>2803</v>
      </c>
      <c r="B2804" s="87">
        <v>48.5502709983557</v>
      </c>
      <c r="C2804" s="14">
        <v>4</v>
      </c>
      <c r="D2804" s="86">
        <v>0.11880409531596969</v>
      </c>
      <c r="E2804" s="86"/>
      <c r="F2804" s="14"/>
    </row>
    <row r="2805" spans="1:6" x14ac:dyDescent="0.25">
      <c r="A2805" s="86">
        <v>2804</v>
      </c>
      <c r="B2805" s="87">
        <v>36.615040239092195</v>
      </c>
      <c r="C2805" s="14">
        <v>2</v>
      </c>
      <c r="D2805" s="86">
        <v>0.94062141029289925</v>
      </c>
      <c r="E2805" s="86"/>
      <c r="F2805" s="14"/>
    </row>
    <row r="2806" spans="1:6" x14ac:dyDescent="0.25">
      <c r="A2806" s="86">
        <v>2805</v>
      </c>
      <c r="B2806" s="87">
        <v>41.30966430636181</v>
      </c>
      <c r="C2806" s="14">
        <v>3</v>
      </c>
      <c r="D2806" s="86">
        <v>0.55764407849374686</v>
      </c>
      <c r="E2806" s="86"/>
      <c r="F2806" s="14"/>
    </row>
    <row r="2807" spans="1:6" x14ac:dyDescent="0.25">
      <c r="A2807" s="86">
        <v>2806</v>
      </c>
      <c r="B2807" s="87">
        <v>41.393263922480401</v>
      </c>
      <c r="C2807" s="14">
        <v>4</v>
      </c>
      <c r="D2807" s="86">
        <v>0.61578802872764038</v>
      </c>
      <c r="E2807" s="86"/>
      <c r="F2807" s="14"/>
    </row>
    <row r="2808" spans="1:6" x14ac:dyDescent="0.25">
      <c r="A2808" s="86">
        <v>2807</v>
      </c>
      <c r="B2808" s="87">
        <v>40.168015397619456</v>
      </c>
      <c r="C2808" s="14">
        <v>2</v>
      </c>
      <c r="D2808" s="86">
        <v>0.99049128404034092</v>
      </c>
      <c r="E2808" s="86"/>
      <c r="F2808" s="14"/>
    </row>
    <row r="2809" spans="1:6" x14ac:dyDescent="0.25">
      <c r="A2809" s="86">
        <v>2808</v>
      </c>
      <c r="B2809" s="87">
        <v>38.895962001668522</v>
      </c>
      <c r="C2809" s="14">
        <v>4</v>
      </c>
      <c r="D2809" s="86">
        <v>0.99414233184583134</v>
      </c>
      <c r="E2809" s="86"/>
      <c r="F2809" s="14"/>
    </row>
    <row r="2810" spans="1:6" x14ac:dyDescent="0.25">
      <c r="A2810" s="86">
        <v>2809</v>
      </c>
      <c r="B2810" s="87">
        <v>44.782962044671876</v>
      </c>
      <c r="C2810" s="14">
        <v>4</v>
      </c>
      <c r="D2810" s="86">
        <v>0.31348863841218844</v>
      </c>
      <c r="E2810" s="86"/>
      <c r="F2810" s="14"/>
    </row>
    <row r="2811" spans="1:6" x14ac:dyDescent="0.25">
      <c r="A2811" s="86">
        <v>2810</v>
      </c>
      <c r="B2811" s="87">
        <v>46.81052132070181</v>
      </c>
      <c r="C2811" s="14">
        <v>5</v>
      </c>
      <c r="D2811" s="86">
        <v>0.58545616780850718</v>
      </c>
      <c r="E2811" s="86"/>
      <c r="F2811" s="14"/>
    </row>
    <row r="2812" spans="1:6" x14ac:dyDescent="0.25">
      <c r="A2812" s="86">
        <v>2811</v>
      </c>
      <c r="B2812" s="87">
        <v>42.839900510778534</v>
      </c>
      <c r="C2812" s="14">
        <v>5</v>
      </c>
      <c r="D2812" s="86">
        <v>0.96590064988821001</v>
      </c>
      <c r="E2812" s="86"/>
      <c r="F2812" s="14"/>
    </row>
    <row r="2813" spans="1:6" x14ac:dyDescent="0.25">
      <c r="A2813" s="86">
        <v>2812</v>
      </c>
      <c r="B2813" s="87">
        <v>38.338748703943565</v>
      </c>
      <c r="C2813" s="14">
        <v>3</v>
      </c>
      <c r="D2813" s="86">
        <v>1.3914622284605049E-2</v>
      </c>
      <c r="E2813" s="86"/>
      <c r="F2813" s="14"/>
    </row>
    <row r="2814" spans="1:6" x14ac:dyDescent="0.25">
      <c r="A2814" s="86">
        <v>2813</v>
      </c>
      <c r="B2814" s="87">
        <v>44.090859313990222</v>
      </c>
      <c r="C2814" s="14">
        <v>4</v>
      </c>
      <c r="D2814" s="86">
        <v>8.436442790909271E-3</v>
      </c>
      <c r="E2814" s="86"/>
      <c r="F2814" s="14"/>
    </row>
    <row r="2815" spans="1:6" x14ac:dyDescent="0.25">
      <c r="A2815" s="86">
        <v>2814</v>
      </c>
      <c r="B2815" s="87">
        <v>44.620031753191142</v>
      </c>
      <c r="C2815" s="14">
        <v>2</v>
      </c>
      <c r="D2815" s="86">
        <v>0.50203828648981397</v>
      </c>
      <c r="E2815" s="86"/>
      <c r="F2815" s="14"/>
    </row>
    <row r="2816" spans="1:6" x14ac:dyDescent="0.25">
      <c r="A2816" s="86">
        <v>2815</v>
      </c>
      <c r="B2816" s="87">
        <v>36.109247498068726</v>
      </c>
      <c r="C2816" s="14">
        <v>4</v>
      </c>
      <c r="D2816" s="86">
        <v>0.24487380073927478</v>
      </c>
      <c r="E2816" s="86"/>
      <c r="F2816" s="14"/>
    </row>
    <row r="2817" spans="1:6" x14ac:dyDescent="0.25">
      <c r="A2817" s="86">
        <v>2816</v>
      </c>
      <c r="B2817" s="87">
        <v>40.111700622554054</v>
      </c>
      <c r="C2817" s="14">
        <v>2</v>
      </c>
      <c r="D2817" s="86">
        <v>0.48414705415633641</v>
      </c>
      <c r="E2817" s="86"/>
      <c r="F2817" s="14"/>
    </row>
    <row r="2818" spans="1:6" x14ac:dyDescent="0.25">
      <c r="A2818" s="86">
        <v>2817</v>
      </c>
      <c r="B2818" s="87">
        <v>43.802651811682153</v>
      </c>
      <c r="C2818" s="14">
        <v>5</v>
      </c>
      <c r="D2818" s="86">
        <v>4.1828014737854691E-2</v>
      </c>
      <c r="E2818" s="86"/>
      <c r="F2818" s="14"/>
    </row>
    <row r="2819" spans="1:6" x14ac:dyDescent="0.25">
      <c r="A2819" s="86">
        <v>2818</v>
      </c>
      <c r="B2819" s="87">
        <v>48.141794190421933</v>
      </c>
      <c r="C2819" s="14">
        <v>4</v>
      </c>
      <c r="D2819" s="86">
        <v>0.11393136738433318</v>
      </c>
      <c r="E2819" s="86"/>
      <c r="F2819" s="14"/>
    </row>
    <row r="2820" spans="1:6" x14ac:dyDescent="0.25">
      <c r="A2820" s="86">
        <v>2819</v>
      </c>
      <c r="B2820" s="87">
        <v>47.930893737764563</v>
      </c>
      <c r="C2820" s="14">
        <v>4</v>
      </c>
      <c r="D2820" s="86">
        <v>0.47073842276535505</v>
      </c>
      <c r="E2820" s="86"/>
      <c r="F2820" s="14"/>
    </row>
    <row r="2821" spans="1:6" x14ac:dyDescent="0.25">
      <c r="A2821" s="86">
        <v>2820</v>
      </c>
      <c r="B2821" s="87">
        <v>37.553354554227553</v>
      </c>
      <c r="C2821" s="14">
        <v>2</v>
      </c>
      <c r="D2821" s="86">
        <v>0.6415763143615395</v>
      </c>
      <c r="E2821" s="86"/>
      <c r="F2821" s="14"/>
    </row>
    <row r="2822" spans="1:6" x14ac:dyDescent="0.25">
      <c r="A2822" s="86">
        <v>2821</v>
      </c>
      <c r="B2822" s="87">
        <v>43.424887502958882</v>
      </c>
      <c r="C2822" s="14">
        <v>5</v>
      </c>
      <c r="D2822" s="86">
        <v>0.29104917729578306</v>
      </c>
      <c r="E2822" s="86"/>
      <c r="F2822" s="14"/>
    </row>
    <row r="2823" spans="1:6" x14ac:dyDescent="0.25">
      <c r="A2823" s="86">
        <v>2822</v>
      </c>
      <c r="B2823" s="87">
        <v>44.839327978814254</v>
      </c>
      <c r="C2823" s="14">
        <v>2</v>
      </c>
      <c r="D2823" s="86">
        <v>0.61743523674580625</v>
      </c>
      <c r="E2823" s="86"/>
      <c r="F2823" s="14"/>
    </row>
    <row r="2824" spans="1:6" x14ac:dyDescent="0.25">
      <c r="A2824" s="86">
        <v>2823</v>
      </c>
      <c r="B2824" s="87">
        <v>41.312097204689053</v>
      </c>
      <c r="C2824" s="14">
        <v>5</v>
      </c>
      <c r="D2824" s="86">
        <v>0.80001579980566662</v>
      </c>
      <c r="E2824" s="86"/>
      <c r="F2824" s="14"/>
    </row>
    <row r="2825" spans="1:6" x14ac:dyDescent="0.25">
      <c r="A2825" s="86">
        <v>2824</v>
      </c>
      <c r="B2825" s="87">
        <v>45.628189577080775</v>
      </c>
      <c r="C2825" s="14">
        <v>2</v>
      </c>
      <c r="D2825" s="86">
        <v>4.7851183154989374E-2</v>
      </c>
      <c r="E2825" s="86"/>
      <c r="F2825" s="14"/>
    </row>
    <row r="2826" spans="1:6" x14ac:dyDescent="0.25">
      <c r="A2826" s="86">
        <v>2825</v>
      </c>
      <c r="B2826" s="87">
        <v>45.472665983077604</v>
      </c>
      <c r="C2826" s="14">
        <v>4</v>
      </c>
      <c r="D2826" s="86">
        <v>0.24000338683847522</v>
      </c>
      <c r="E2826" s="86"/>
      <c r="F2826" s="14"/>
    </row>
    <row r="2827" spans="1:6" x14ac:dyDescent="0.25">
      <c r="A2827" s="86">
        <v>2826</v>
      </c>
      <c r="B2827" s="87">
        <v>46.396371539565735</v>
      </c>
      <c r="C2827" s="14">
        <v>1</v>
      </c>
      <c r="D2827" s="86">
        <v>0.23364874888570075</v>
      </c>
      <c r="E2827" s="86"/>
      <c r="F2827" s="14"/>
    </row>
    <row r="2828" spans="1:6" x14ac:dyDescent="0.25">
      <c r="A2828" s="86">
        <v>2827</v>
      </c>
      <c r="B2828" s="87">
        <v>31.043055054731667</v>
      </c>
      <c r="C2828" s="14">
        <v>2</v>
      </c>
      <c r="D2828" s="86">
        <v>0.87272842830743536</v>
      </c>
      <c r="E2828" s="86"/>
      <c r="F2828" s="14"/>
    </row>
    <row r="2829" spans="1:6" x14ac:dyDescent="0.25">
      <c r="A2829" s="86">
        <v>2828</v>
      </c>
      <c r="B2829" s="87">
        <v>47.517289653449552</v>
      </c>
      <c r="C2829" s="14">
        <v>2</v>
      </c>
      <c r="D2829" s="86">
        <v>0.87322887591411746</v>
      </c>
      <c r="E2829" s="86"/>
      <c r="F2829" s="14"/>
    </row>
    <row r="2830" spans="1:6" x14ac:dyDescent="0.25">
      <c r="A2830" s="86">
        <v>2829</v>
      </c>
      <c r="B2830" s="87">
        <v>42.129852312762523</v>
      </c>
      <c r="C2830" s="14">
        <v>2</v>
      </c>
      <c r="D2830" s="86">
        <v>6.7045368535907257E-2</v>
      </c>
      <c r="E2830" s="86"/>
      <c r="F2830" s="14"/>
    </row>
    <row r="2831" spans="1:6" x14ac:dyDescent="0.25">
      <c r="A2831" s="86">
        <v>2830</v>
      </c>
      <c r="B2831" s="87">
        <v>44.792750481399707</v>
      </c>
      <c r="C2831" s="14">
        <v>2</v>
      </c>
      <c r="D2831" s="86">
        <v>0.70916994472727823</v>
      </c>
      <c r="E2831" s="86"/>
      <c r="F2831" s="14"/>
    </row>
    <row r="2832" spans="1:6" x14ac:dyDescent="0.25">
      <c r="A2832" s="86">
        <v>2831</v>
      </c>
      <c r="B2832" s="87">
        <v>48.188746854400961</v>
      </c>
      <c r="C2832" s="14">
        <v>1</v>
      </c>
      <c r="D2832" s="86">
        <v>0.12705344395890461</v>
      </c>
      <c r="E2832" s="86"/>
      <c r="F2832" s="14"/>
    </row>
    <row r="2833" spans="1:6" x14ac:dyDescent="0.25">
      <c r="A2833" s="86">
        <v>2832</v>
      </c>
      <c r="B2833" s="87">
        <v>39.331644069869071</v>
      </c>
      <c r="C2833" s="14">
        <v>2</v>
      </c>
      <c r="D2833" s="86">
        <v>2.6059483045859033E-2</v>
      </c>
      <c r="E2833" s="86"/>
      <c r="F2833" s="14"/>
    </row>
    <row r="2834" spans="1:6" x14ac:dyDescent="0.25">
      <c r="A2834" s="86">
        <v>2833</v>
      </c>
      <c r="B2834" s="87">
        <v>52.970335668185726</v>
      </c>
      <c r="C2834" s="14">
        <v>4</v>
      </c>
      <c r="D2834" s="86">
        <v>9.0340617851690674E-2</v>
      </c>
      <c r="E2834" s="86"/>
      <c r="F2834" s="14"/>
    </row>
    <row r="2835" spans="1:6" x14ac:dyDescent="0.25">
      <c r="A2835" s="86">
        <v>2834</v>
      </c>
      <c r="B2835" s="87">
        <v>47.165417522017378</v>
      </c>
      <c r="C2835" s="14">
        <v>2</v>
      </c>
      <c r="D2835" s="86">
        <v>0.92225313925739505</v>
      </c>
      <c r="E2835" s="86"/>
      <c r="F2835" s="14"/>
    </row>
    <row r="2836" spans="1:6" x14ac:dyDescent="0.25">
      <c r="A2836" s="86">
        <v>2835</v>
      </c>
      <c r="B2836" s="87">
        <v>42.912978410065989</v>
      </c>
      <c r="C2836" s="14">
        <v>5</v>
      </c>
      <c r="D2836" s="86">
        <v>0.74723230846954802</v>
      </c>
      <c r="E2836" s="86"/>
      <c r="F2836" s="14"/>
    </row>
    <row r="2837" spans="1:6" x14ac:dyDescent="0.25">
      <c r="A2837" s="86">
        <v>2836</v>
      </c>
      <c r="B2837" s="87">
        <v>42.385511273430893</v>
      </c>
      <c r="C2837" s="14">
        <v>2</v>
      </c>
      <c r="D2837" s="86">
        <v>4.741429205159875E-2</v>
      </c>
      <c r="E2837" s="86"/>
      <c r="F2837" s="14"/>
    </row>
    <row r="2838" spans="1:6" x14ac:dyDescent="0.25">
      <c r="A2838" s="86">
        <v>2837</v>
      </c>
      <c r="B2838" s="87">
        <v>41.635934161939076</v>
      </c>
      <c r="C2838" s="14">
        <v>2</v>
      </c>
      <c r="D2838" s="86">
        <v>0.89751253111962159</v>
      </c>
      <c r="E2838" s="86"/>
      <c r="F2838" s="14"/>
    </row>
    <row r="2839" spans="1:6" x14ac:dyDescent="0.25">
      <c r="A2839" s="86">
        <v>2838</v>
      </c>
      <c r="B2839" s="87">
        <v>46.788568392337766</v>
      </c>
      <c r="C2839" s="14">
        <v>4</v>
      </c>
      <c r="D2839" s="86">
        <v>0.91220764288851797</v>
      </c>
      <c r="E2839" s="86"/>
      <c r="F2839" s="14"/>
    </row>
    <row r="2840" spans="1:6" x14ac:dyDescent="0.25">
      <c r="A2840" s="86">
        <v>2839</v>
      </c>
      <c r="B2840" s="87">
        <v>43.532475041836733</v>
      </c>
      <c r="C2840" s="14">
        <v>5</v>
      </c>
      <c r="D2840" s="86">
        <v>1.1434344007243857E-2</v>
      </c>
      <c r="E2840" s="86"/>
      <c r="F2840" s="14"/>
    </row>
    <row r="2841" spans="1:6" x14ac:dyDescent="0.25">
      <c r="A2841" s="86">
        <v>2840</v>
      </c>
      <c r="B2841" s="87">
        <v>41.439915316339466</v>
      </c>
      <c r="C2841" s="14">
        <v>4</v>
      </c>
      <c r="D2841" s="86">
        <v>0.59550171474317826</v>
      </c>
      <c r="E2841" s="86"/>
      <c r="F2841" s="14"/>
    </row>
    <row r="2842" spans="1:6" x14ac:dyDescent="0.25">
      <c r="A2842" s="86">
        <v>2841</v>
      </c>
      <c r="B2842" s="87">
        <v>40.571757148762117</v>
      </c>
      <c r="C2842" s="14">
        <v>4</v>
      </c>
      <c r="D2842" s="86">
        <v>0.20032730414135758</v>
      </c>
      <c r="E2842" s="86"/>
      <c r="F2842" s="14"/>
    </row>
    <row r="2843" spans="1:6" x14ac:dyDescent="0.25">
      <c r="A2843" s="86">
        <v>2842</v>
      </c>
      <c r="B2843" s="87">
        <v>37.591280483291484</v>
      </c>
      <c r="C2843" s="14">
        <v>2</v>
      </c>
      <c r="D2843" s="86">
        <v>0.65545491141256285</v>
      </c>
      <c r="E2843" s="86"/>
      <c r="F2843" s="14"/>
    </row>
    <row r="2844" spans="1:6" x14ac:dyDescent="0.25">
      <c r="A2844" s="86">
        <v>2843</v>
      </c>
      <c r="B2844" s="87">
        <v>41.509241549982107</v>
      </c>
      <c r="C2844" s="14">
        <v>5</v>
      </c>
      <c r="D2844" s="86">
        <v>0.2804441601464458</v>
      </c>
      <c r="E2844" s="86"/>
      <c r="F2844" s="14"/>
    </row>
    <row r="2845" spans="1:6" x14ac:dyDescent="0.25">
      <c r="A2845" s="86">
        <v>2844</v>
      </c>
      <c r="B2845" s="87">
        <v>37.020004123740364</v>
      </c>
      <c r="C2845" s="14">
        <v>1</v>
      </c>
      <c r="D2845" s="86">
        <v>0.17835628575555629</v>
      </c>
      <c r="E2845" s="86"/>
      <c r="F2845" s="14"/>
    </row>
    <row r="2846" spans="1:6" x14ac:dyDescent="0.25">
      <c r="A2846" s="86">
        <v>2845</v>
      </c>
      <c r="B2846" s="87">
        <v>37.824338500620797</v>
      </c>
      <c r="C2846" s="14">
        <v>2</v>
      </c>
      <c r="D2846" s="86">
        <v>0.14256410365687688</v>
      </c>
      <c r="E2846" s="86"/>
      <c r="F2846" s="14"/>
    </row>
    <row r="2847" spans="1:6" x14ac:dyDescent="0.25">
      <c r="A2847" s="86">
        <v>2846</v>
      </c>
      <c r="B2847" s="87">
        <v>53.738403943832964</v>
      </c>
      <c r="C2847" s="14">
        <v>4</v>
      </c>
      <c r="D2847" s="86">
        <v>0.36126029802142756</v>
      </c>
      <c r="E2847" s="86"/>
      <c r="F2847" s="14"/>
    </row>
    <row r="2848" spans="1:6" x14ac:dyDescent="0.25">
      <c r="A2848" s="86">
        <v>2847</v>
      </c>
      <c r="B2848" s="87">
        <v>39.729729900835082</v>
      </c>
      <c r="C2848" s="14">
        <v>2</v>
      </c>
      <c r="D2848" s="86">
        <v>0.55369323057702124</v>
      </c>
      <c r="E2848" s="86"/>
      <c r="F2848" s="14"/>
    </row>
    <row r="2849" spans="1:6" x14ac:dyDescent="0.25">
      <c r="A2849" s="86">
        <v>2848</v>
      </c>
      <c r="B2849" s="87">
        <v>48.432127636595396</v>
      </c>
      <c r="C2849" s="14">
        <v>4</v>
      </c>
      <c r="D2849" s="86">
        <v>0.83049509870383076</v>
      </c>
      <c r="E2849" s="86"/>
      <c r="F2849" s="14"/>
    </row>
    <row r="2850" spans="1:6" x14ac:dyDescent="0.25">
      <c r="A2850" s="86">
        <v>2849</v>
      </c>
      <c r="B2850" s="87">
        <v>34.767799656372517</v>
      </c>
      <c r="C2850" s="14">
        <v>5</v>
      </c>
      <c r="D2850" s="86">
        <v>0.57195459613740551</v>
      </c>
      <c r="E2850" s="86"/>
      <c r="F2850" s="14"/>
    </row>
    <row r="2851" spans="1:6" x14ac:dyDescent="0.25">
      <c r="A2851" s="86">
        <v>2850</v>
      </c>
      <c r="B2851" s="87">
        <v>38.200516877957853</v>
      </c>
      <c r="C2851" s="14">
        <v>2</v>
      </c>
      <c r="D2851" s="86">
        <v>0.47897542609918708</v>
      </c>
      <c r="E2851" s="86"/>
      <c r="F2851" s="14"/>
    </row>
    <row r="2852" spans="1:6" x14ac:dyDescent="0.25">
      <c r="A2852" s="86">
        <v>2851</v>
      </c>
      <c r="B2852" s="87">
        <v>38.444613887229934</v>
      </c>
      <c r="C2852" s="14">
        <v>2</v>
      </c>
      <c r="D2852" s="86">
        <v>0.50904536971008441</v>
      </c>
      <c r="E2852" s="86"/>
      <c r="F2852" s="14"/>
    </row>
    <row r="2853" spans="1:6" x14ac:dyDescent="0.25">
      <c r="A2853" s="86">
        <v>2852</v>
      </c>
      <c r="B2853" s="87">
        <v>39.982376160303829</v>
      </c>
      <c r="C2853" s="14">
        <v>2</v>
      </c>
      <c r="D2853" s="86">
        <v>3.9573966375847203E-2</v>
      </c>
      <c r="E2853" s="86"/>
      <c r="F2853" s="14"/>
    </row>
    <row r="2854" spans="1:6" x14ac:dyDescent="0.25">
      <c r="A2854" s="86">
        <v>2853</v>
      </c>
      <c r="B2854" s="87">
        <v>41.741242279720609</v>
      </c>
      <c r="C2854" s="14">
        <v>2</v>
      </c>
      <c r="D2854" s="86">
        <v>0.68202822203650437</v>
      </c>
      <c r="E2854" s="86"/>
      <c r="F2854" s="14"/>
    </row>
    <row r="2855" spans="1:6" x14ac:dyDescent="0.25">
      <c r="A2855" s="86">
        <v>2854</v>
      </c>
      <c r="B2855" s="87">
        <v>50.400262802548241</v>
      </c>
      <c r="C2855" s="14">
        <v>5</v>
      </c>
      <c r="D2855" s="86">
        <v>0.97886963802268856</v>
      </c>
      <c r="E2855" s="86"/>
      <c r="F2855" s="14"/>
    </row>
    <row r="2856" spans="1:6" x14ac:dyDescent="0.25">
      <c r="A2856" s="86">
        <v>2855</v>
      </c>
      <c r="B2856" s="87">
        <v>46.145271421090001</v>
      </c>
      <c r="C2856" s="14">
        <v>4</v>
      </c>
      <c r="D2856" s="86">
        <v>0.49892493422919004</v>
      </c>
      <c r="E2856" s="86"/>
      <c r="F2856" s="14"/>
    </row>
    <row r="2857" spans="1:6" x14ac:dyDescent="0.25">
      <c r="A2857" s="86">
        <v>2856</v>
      </c>
      <c r="B2857" s="87">
        <v>39.472865859686863</v>
      </c>
      <c r="C2857" s="14">
        <v>2</v>
      </c>
      <c r="D2857" s="86">
        <v>0.40019765984171074</v>
      </c>
      <c r="E2857" s="86"/>
      <c r="F2857" s="14"/>
    </row>
    <row r="2858" spans="1:6" x14ac:dyDescent="0.25">
      <c r="A2858" s="86">
        <v>2857</v>
      </c>
      <c r="B2858" s="87">
        <v>37.997688190778717</v>
      </c>
      <c r="C2858" s="14">
        <v>1</v>
      </c>
      <c r="D2858" s="86">
        <v>0.99574392902684195</v>
      </c>
      <c r="E2858" s="86"/>
      <c r="F2858" s="14"/>
    </row>
    <row r="2859" spans="1:6" x14ac:dyDescent="0.25">
      <c r="A2859" s="86">
        <v>2858</v>
      </c>
      <c r="B2859" s="87">
        <v>33.727292242809199</v>
      </c>
      <c r="C2859" s="14">
        <v>2</v>
      </c>
      <c r="D2859" s="86">
        <v>0.74356767252574785</v>
      </c>
      <c r="E2859" s="86"/>
      <c r="F2859" s="14"/>
    </row>
    <row r="2860" spans="1:6" x14ac:dyDescent="0.25">
      <c r="A2860" s="86">
        <v>2859</v>
      </c>
      <c r="B2860" s="87">
        <v>39.562075921247015</v>
      </c>
      <c r="C2860" s="14">
        <v>4</v>
      </c>
      <c r="D2860" s="86">
        <v>0.4504656479493645</v>
      </c>
      <c r="E2860" s="86"/>
      <c r="F2860" s="14"/>
    </row>
    <row r="2861" spans="1:6" x14ac:dyDescent="0.25">
      <c r="A2861" s="86">
        <v>2860</v>
      </c>
      <c r="B2861" s="87">
        <v>42.337694589485181</v>
      </c>
      <c r="C2861" s="14">
        <v>2</v>
      </c>
      <c r="D2861" s="86">
        <v>0.1934873215423778</v>
      </c>
      <c r="E2861" s="86"/>
      <c r="F2861" s="14"/>
    </row>
    <row r="2862" spans="1:6" x14ac:dyDescent="0.25">
      <c r="A2862" s="86">
        <v>2861</v>
      </c>
      <c r="B2862" s="87">
        <v>46.806940185313579</v>
      </c>
      <c r="C2862" s="14">
        <v>2</v>
      </c>
      <c r="D2862" s="86">
        <v>0.6336236107046247</v>
      </c>
      <c r="E2862" s="86"/>
      <c r="F2862" s="14"/>
    </row>
    <row r="2863" spans="1:6" x14ac:dyDescent="0.25">
      <c r="A2863" s="86">
        <v>2862</v>
      </c>
      <c r="B2863" s="87">
        <v>36.410938259330578</v>
      </c>
      <c r="C2863" s="14">
        <v>2</v>
      </c>
      <c r="D2863" s="86">
        <v>6.6891882646230805E-2</v>
      </c>
      <c r="E2863" s="86"/>
      <c r="F2863" s="14"/>
    </row>
    <row r="2864" spans="1:6" x14ac:dyDescent="0.25">
      <c r="A2864" s="86">
        <v>2863</v>
      </c>
      <c r="B2864" s="87">
        <v>41.80627683523926</v>
      </c>
      <c r="C2864" s="14">
        <v>2</v>
      </c>
      <c r="D2864" s="86">
        <v>0.57733254449932581</v>
      </c>
      <c r="E2864" s="86"/>
      <c r="F2864" s="14"/>
    </row>
    <row r="2865" spans="1:6" x14ac:dyDescent="0.25">
      <c r="A2865" s="86">
        <v>2864</v>
      </c>
      <c r="B2865" s="87">
        <v>44.844239250203827</v>
      </c>
      <c r="C2865" s="14">
        <v>5</v>
      </c>
      <c r="D2865" s="86">
        <v>0.2684091716756617</v>
      </c>
      <c r="E2865" s="86"/>
      <c r="F2865" s="14"/>
    </row>
    <row r="2866" spans="1:6" x14ac:dyDescent="0.25">
      <c r="A2866" s="86">
        <v>2865</v>
      </c>
      <c r="B2866" s="87">
        <v>32.773914421675727</v>
      </c>
      <c r="C2866" s="14">
        <v>1</v>
      </c>
      <c r="D2866" s="86">
        <v>0.83532724961487037</v>
      </c>
      <c r="E2866" s="86"/>
      <c r="F2866" s="14"/>
    </row>
    <row r="2867" spans="1:6" x14ac:dyDescent="0.25">
      <c r="A2867" s="86">
        <v>2866</v>
      </c>
      <c r="B2867" s="87">
        <v>40.06684548073099</v>
      </c>
      <c r="C2867" s="14">
        <v>3</v>
      </c>
      <c r="D2867" s="86">
        <v>0.96584968940034754</v>
      </c>
      <c r="E2867" s="86"/>
      <c r="F2867" s="14"/>
    </row>
    <row r="2868" spans="1:6" x14ac:dyDescent="0.25">
      <c r="A2868" s="86">
        <v>2867</v>
      </c>
      <c r="B2868" s="87">
        <v>48.294100446917582</v>
      </c>
      <c r="C2868" s="14">
        <v>2</v>
      </c>
      <c r="D2868" s="86">
        <v>0.46413264884796313</v>
      </c>
      <c r="E2868" s="86"/>
      <c r="F2868" s="14"/>
    </row>
    <row r="2869" spans="1:6" x14ac:dyDescent="0.25">
      <c r="A2869" s="86">
        <v>2868</v>
      </c>
      <c r="B2869" s="87">
        <v>33.324613463599235</v>
      </c>
      <c r="C2869" s="14">
        <v>2</v>
      </c>
      <c r="D2869" s="86">
        <v>0.93764145662826237</v>
      </c>
      <c r="E2869" s="86"/>
      <c r="F2869" s="14"/>
    </row>
    <row r="2870" spans="1:6" x14ac:dyDescent="0.25">
      <c r="A2870" s="86">
        <v>2869</v>
      </c>
      <c r="B2870" s="87">
        <v>42.333448386096279</v>
      </c>
      <c r="C2870" s="14">
        <v>2</v>
      </c>
      <c r="D2870" s="86">
        <v>0.82761407276452481</v>
      </c>
      <c r="E2870" s="86"/>
      <c r="F2870" s="14"/>
    </row>
    <row r="2871" spans="1:6" x14ac:dyDescent="0.25">
      <c r="A2871" s="86">
        <v>2870</v>
      </c>
      <c r="B2871" s="87">
        <v>52.655605026637204</v>
      </c>
      <c r="C2871" s="14">
        <v>2</v>
      </c>
      <c r="D2871" s="86">
        <v>0.86542877976491617</v>
      </c>
      <c r="E2871" s="86"/>
      <c r="F2871" s="14"/>
    </row>
    <row r="2872" spans="1:6" x14ac:dyDescent="0.25">
      <c r="A2872" s="86">
        <v>2871</v>
      </c>
      <c r="B2872" s="87">
        <v>46.490924882498803</v>
      </c>
      <c r="C2872" s="14">
        <v>2</v>
      </c>
      <c r="D2872" s="86">
        <v>0.28818588323725891</v>
      </c>
      <c r="E2872" s="86"/>
      <c r="F2872" s="14"/>
    </row>
    <row r="2873" spans="1:6" x14ac:dyDescent="0.25">
      <c r="A2873" s="86">
        <v>2872</v>
      </c>
      <c r="B2873" s="87">
        <v>44.758530743245501</v>
      </c>
      <c r="C2873" s="14">
        <v>2</v>
      </c>
      <c r="D2873" s="86">
        <v>0.67108869873050181</v>
      </c>
      <c r="E2873" s="86"/>
      <c r="F2873" s="14"/>
    </row>
    <row r="2874" spans="1:6" x14ac:dyDescent="0.25">
      <c r="A2874" s="86">
        <v>2873</v>
      </c>
      <c r="B2874" s="87">
        <v>47.855564839090221</v>
      </c>
      <c r="C2874" s="14">
        <v>5</v>
      </c>
      <c r="D2874" s="86">
        <v>0.25177270004117724</v>
      </c>
      <c r="E2874" s="86"/>
      <c r="F2874" s="14"/>
    </row>
    <row r="2875" spans="1:6" x14ac:dyDescent="0.25">
      <c r="A2875" s="86">
        <v>2874</v>
      </c>
      <c r="B2875" s="87">
        <v>44.652313130762195</v>
      </c>
      <c r="C2875" s="14">
        <v>2</v>
      </c>
      <c r="D2875" s="86">
        <v>0.85932362326062395</v>
      </c>
      <c r="E2875" s="86"/>
      <c r="F2875" s="14"/>
    </row>
    <row r="2876" spans="1:6" x14ac:dyDescent="0.25">
      <c r="A2876" s="86">
        <v>2875</v>
      </c>
      <c r="B2876" s="87">
        <v>49.384959760907805</v>
      </c>
      <c r="C2876" s="14">
        <v>2</v>
      </c>
      <c r="D2876" s="86">
        <v>0.93546984185387938</v>
      </c>
      <c r="E2876" s="86"/>
      <c r="F2876" s="14"/>
    </row>
    <row r="2877" spans="1:6" x14ac:dyDescent="0.25">
      <c r="A2877" s="86">
        <v>2876</v>
      </c>
      <c r="B2877" s="87">
        <v>38.570044575288193</v>
      </c>
      <c r="C2877" s="14">
        <v>4</v>
      </c>
      <c r="D2877" s="86">
        <v>0.44197939576570278</v>
      </c>
      <c r="E2877" s="86"/>
      <c r="F2877" s="14"/>
    </row>
    <row r="2878" spans="1:6" x14ac:dyDescent="0.25">
      <c r="A2878" s="86">
        <v>2877</v>
      </c>
      <c r="B2878" s="87">
        <v>40.893132785975467</v>
      </c>
      <c r="C2878" s="14">
        <v>3</v>
      </c>
      <c r="D2878" s="86">
        <v>0.64374328930765579</v>
      </c>
      <c r="E2878" s="86"/>
      <c r="F2878" s="14"/>
    </row>
    <row r="2879" spans="1:6" x14ac:dyDescent="0.25">
      <c r="A2879" s="86">
        <v>2878</v>
      </c>
      <c r="B2879" s="87">
        <v>42.00413740760996</v>
      </c>
      <c r="C2879" s="14">
        <v>1</v>
      </c>
      <c r="D2879" s="86">
        <v>0.62938776274459163</v>
      </c>
      <c r="E2879" s="86"/>
      <c r="F2879" s="14"/>
    </row>
    <row r="2880" spans="1:6" x14ac:dyDescent="0.25">
      <c r="A2880" s="86">
        <v>2879</v>
      </c>
      <c r="B2880" s="87">
        <v>41.042278548382455</v>
      </c>
      <c r="C2880" s="14">
        <v>2</v>
      </c>
      <c r="D2880" s="86">
        <v>0.88637723935133594</v>
      </c>
      <c r="E2880" s="86"/>
      <c r="F2880" s="14"/>
    </row>
    <row r="2881" spans="1:6" x14ac:dyDescent="0.25">
      <c r="A2881" s="86">
        <v>2880</v>
      </c>
      <c r="B2881" s="87">
        <v>38.971563748753397</v>
      </c>
      <c r="C2881" s="14">
        <v>2</v>
      </c>
      <c r="D2881" s="86">
        <v>0.2855353910535694</v>
      </c>
      <c r="E2881" s="86"/>
      <c r="F2881" s="14"/>
    </row>
    <row r="2882" spans="1:6" x14ac:dyDescent="0.25">
      <c r="A2882" s="86">
        <v>2881</v>
      </c>
      <c r="B2882" s="87">
        <v>44.951531203303603</v>
      </c>
      <c r="C2882" s="14">
        <v>4</v>
      </c>
      <c r="D2882" s="86">
        <v>0.48534681282683978</v>
      </c>
      <c r="E2882" s="86"/>
      <c r="F2882" s="14"/>
    </row>
    <row r="2883" spans="1:6" x14ac:dyDescent="0.25">
      <c r="A2883" s="86">
        <v>2882</v>
      </c>
      <c r="B2883" s="87">
        <v>48.626702659355942</v>
      </c>
      <c r="C2883" s="14">
        <v>1</v>
      </c>
      <c r="D2883" s="86">
        <v>0.29164780183807082</v>
      </c>
      <c r="E2883" s="86"/>
      <c r="F2883" s="14"/>
    </row>
    <row r="2884" spans="1:6" x14ac:dyDescent="0.25">
      <c r="A2884" s="86">
        <v>2883</v>
      </c>
      <c r="B2884" s="87">
        <v>38.728103385772556</v>
      </c>
      <c r="C2884" s="14">
        <v>1</v>
      </c>
      <c r="D2884" s="86">
        <v>0.97688197615007177</v>
      </c>
      <c r="E2884" s="86"/>
      <c r="F2884" s="14"/>
    </row>
    <row r="2885" spans="1:6" x14ac:dyDescent="0.25">
      <c r="A2885" s="86">
        <v>2884</v>
      </c>
      <c r="B2885" s="87">
        <v>51.145912033796776</v>
      </c>
      <c r="C2885" s="14">
        <v>2</v>
      </c>
      <c r="D2885" s="86">
        <v>0.97334393682861298</v>
      </c>
      <c r="E2885" s="86"/>
      <c r="F2885" s="14"/>
    </row>
    <row r="2886" spans="1:6" x14ac:dyDescent="0.25">
      <c r="A2886" s="86">
        <v>2885</v>
      </c>
      <c r="B2886" s="87">
        <v>52.964787750504911</v>
      </c>
      <c r="C2886" s="14">
        <v>4</v>
      </c>
      <c r="D2886" s="86">
        <v>0.3957261506817451</v>
      </c>
      <c r="E2886" s="86"/>
      <c r="F2886" s="14"/>
    </row>
    <row r="2887" spans="1:6" x14ac:dyDescent="0.25">
      <c r="A2887" s="86">
        <v>2886</v>
      </c>
      <c r="B2887" s="87">
        <v>36.562823874526657</v>
      </c>
      <c r="C2887" s="14">
        <v>2</v>
      </c>
      <c r="D2887" s="86">
        <v>0.67026445654691735</v>
      </c>
      <c r="E2887" s="86"/>
      <c r="F2887" s="14"/>
    </row>
    <row r="2888" spans="1:6" x14ac:dyDescent="0.25">
      <c r="A2888" s="86">
        <v>2887</v>
      </c>
      <c r="B2888" s="87">
        <v>42.109263626451138</v>
      </c>
      <c r="C2888" s="14">
        <v>2</v>
      </c>
      <c r="D2888" s="86">
        <v>0.4309759968759016</v>
      </c>
      <c r="E2888" s="86"/>
      <c r="F2888" s="14"/>
    </row>
    <row r="2889" spans="1:6" x14ac:dyDescent="0.25">
      <c r="A2889" s="86">
        <v>2888</v>
      </c>
      <c r="B2889" s="87">
        <v>49.09577455179533</v>
      </c>
      <c r="C2889" s="14">
        <v>2</v>
      </c>
      <c r="D2889" s="86">
        <v>0.96337707648966608</v>
      </c>
      <c r="E2889" s="86"/>
      <c r="F2889" s="14"/>
    </row>
    <row r="2890" spans="1:6" x14ac:dyDescent="0.25">
      <c r="A2890" s="86">
        <v>2889</v>
      </c>
      <c r="B2890" s="87">
        <v>34.155391398933716</v>
      </c>
      <c r="C2890" s="14">
        <v>3</v>
      </c>
      <c r="D2890" s="86">
        <v>0.35017228895594599</v>
      </c>
      <c r="E2890" s="86"/>
      <c r="F2890" s="14"/>
    </row>
    <row r="2891" spans="1:6" x14ac:dyDescent="0.25">
      <c r="A2891" s="86">
        <v>2890</v>
      </c>
      <c r="B2891" s="87">
        <v>48.644028533424716</v>
      </c>
      <c r="C2891" s="14">
        <v>2</v>
      </c>
      <c r="D2891" s="86">
        <v>0.75418699018256219</v>
      </c>
      <c r="E2891" s="86"/>
      <c r="F2891" s="14"/>
    </row>
    <row r="2892" spans="1:6" x14ac:dyDescent="0.25">
      <c r="A2892" s="86">
        <v>2891</v>
      </c>
      <c r="B2892" s="87">
        <v>42.185331489570672</v>
      </c>
      <c r="C2892" s="14">
        <v>2</v>
      </c>
      <c r="D2892" s="86">
        <v>0.60264186693563426</v>
      </c>
      <c r="E2892" s="86"/>
      <c r="F2892" s="14"/>
    </row>
    <row r="2893" spans="1:6" x14ac:dyDescent="0.25">
      <c r="A2893" s="86">
        <v>2892</v>
      </c>
      <c r="B2893" s="87">
        <v>40.950260421930579</v>
      </c>
      <c r="C2893" s="14">
        <v>4</v>
      </c>
      <c r="D2893" s="86">
        <v>0.27092101921334311</v>
      </c>
      <c r="E2893" s="86"/>
      <c r="F2893" s="14"/>
    </row>
    <row r="2894" spans="1:6" x14ac:dyDescent="0.25">
      <c r="A2894" s="86">
        <v>2893</v>
      </c>
      <c r="B2894" s="87">
        <v>52.863742889137939</v>
      </c>
      <c r="C2894" s="14">
        <v>2</v>
      </c>
      <c r="D2894" s="86">
        <v>8.1256041093125564E-2</v>
      </c>
      <c r="E2894" s="86"/>
      <c r="F2894" s="14"/>
    </row>
    <row r="2895" spans="1:6" x14ac:dyDescent="0.25">
      <c r="A2895" s="86">
        <v>2894</v>
      </c>
      <c r="B2895" s="87">
        <v>35.250354807765689</v>
      </c>
      <c r="C2895" s="14">
        <v>2</v>
      </c>
      <c r="D2895" s="86">
        <v>1.4083405240833402E-3</v>
      </c>
      <c r="E2895" s="86"/>
      <c r="F2895" s="14"/>
    </row>
    <row r="2896" spans="1:6" x14ac:dyDescent="0.25">
      <c r="A2896" s="86">
        <v>2895</v>
      </c>
      <c r="B2896" s="87">
        <v>38.880943970405497</v>
      </c>
      <c r="C2896" s="14">
        <v>2</v>
      </c>
      <c r="D2896" s="86">
        <v>0.33963288057075902</v>
      </c>
      <c r="E2896" s="86"/>
      <c r="F2896" s="14"/>
    </row>
    <row r="2897" spans="1:6" x14ac:dyDescent="0.25">
      <c r="A2897" s="86">
        <v>2896</v>
      </c>
      <c r="B2897" s="87">
        <v>52.763971320353448</v>
      </c>
      <c r="C2897" s="14">
        <v>2</v>
      </c>
      <c r="D2897" s="86">
        <v>0.56985350611876173</v>
      </c>
      <c r="E2897" s="86"/>
      <c r="F2897" s="14"/>
    </row>
    <row r="2898" spans="1:6" x14ac:dyDescent="0.25">
      <c r="A2898" s="86">
        <v>2897</v>
      </c>
      <c r="B2898" s="87">
        <v>41.177031557133887</v>
      </c>
      <c r="C2898" s="14">
        <v>2</v>
      </c>
      <c r="D2898" s="86">
        <v>0.40846087910904094</v>
      </c>
      <c r="E2898" s="86"/>
      <c r="F2898" s="14"/>
    </row>
    <row r="2899" spans="1:6" x14ac:dyDescent="0.25">
      <c r="A2899" s="86">
        <v>2898</v>
      </c>
      <c r="B2899" s="87">
        <v>46.095544798270566</v>
      </c>
      <c r="C2899" s="14">
        <v>2</v>
      </c>
      <c r="D2899" s="86">
        <v>0.60231859447454072</v>
      </c>
      <c r="E2899" s="86"/>
      <c r="F2899" s="14"/>
    </row>
    <row r="2900" spans="1:6" x14ac:dyDescent="0.25">
      <c r="A2900" s="86">
        <v>2899</v>
      </c>
      <c r="B2900" s="87">
        <v>46.217860466975253</v>
      </c>
      <c r="C2900" s="14">
        <v>3</v>
      </c>
      <c r="D2900" s="86">
        <v>0.57652459245496546</v>
      </c>
      <c r="E2900" s="86"/>
      <c r="F2900" s="14"/>
    </row>
    <row r="2901" spans="1:6" x14ac:dyDescent="0.25">
      <c r="A2901" s="86">
        <v>2900</v>
      </c>
      <c r="B2901" s="87">
        <v>45.840522483893437</v>
      </c>
      <c r="C2901" s="14">
        <v>4</v>
      </c>
      <c r="D2901" s="86">
        <v>0.91702204176966351</v>
      </c>
      <c r="E2901" s="86"/>
      <c r="F2901" s="14"/>
    </row>
    <row r="2902" spans="1:6" x14ac:dyDescent="0.25">
      <c r="A2902" s="86">
        <v>2901</v>
      </c>
      <c r="B2902" s="87">
        <v>37.055815477622673</v>
      </c>
      <c r="C2902" s="14">
        <v>2</v>
      </c>
      <c r="D2902" s="86">
        <v>0.7920841960894246</v>
      </c>
      <c r="E2902" s="86"/>
      <c r="F2902" s="14"/>
    </row>
    <row r="2903" spans="1:6" x14ac:dyDescent="0.25">
      <c r="A2903" s="86">
        <v>2902</v>
      </c>
      <c r="B2903" s="87">
        <v>42.473675416084006</v>
      </c>
      <c r="C2903" s="14">
        <v>5</v>
      </c>
      <c r="D2903" s="86">
        <v>0.13333137639770953</v>
      </c>
      <c r="E2903" s="86"/>
      <c r="F2903" s="14"/>
    </row>
    <row r="2904" spans="1:6" x14ac:dyDescent="0.25">
      <c r="A2904" s="86">
        <v>2903</v>
      </c>
      <c r="B2904" s="87">
        <v>45.712886271183379</v>
      </c>
      <c r="C2904" s="14">
        <v>5</v>
      </c>
      <c r="D2904" s="86">
        <v>0.63796550596139201</v>
      </c>
      <c r="E2904" s="86"/>
      <c r="F2904" s="14"/>
    </row>
    <row r="2905" spans="1:6" x14ac:dyDescent="0.25">
      <c r="A2905" s="86">
        <v>2904</v>
      </c>
      <c r="B2905" s="87">
        <v>49.669199592579389</v>
      </c>
      <c r="C2905" s="14">
        <v>4</v>
      </c>
      <c r="D2905" s="86">
        <v>0.12147554512246672</v>
      </c>
      <c r="E2905" s="86"/>
      <c r="F2905" s="14"/>
    </row>
    <row r="2906" spans="1:6" x14ac:dyDescent="0.25">
      <c r="A2906" s="86">
        <v>2905</v>
      </c>
      <c r="B2906" s="87">
        <v>45.36516939366993</v>
      </c>
      <c r="C2906" s="14">
        <v>4</v>
      </c>
      <c r="D2906" s="86">
        <v>0.14292593620618133</v>
      </c>
      <c r="E2906" s="86"/>
      <c r="F2906" s="14"/>
    </row>
    <row r="2907" spans="1:6" x14ac:dyDescent="0.25">
      <c r="A2907" s="86">
        <v>2906</v>
      </c>
      <c r="B2907" s="87">
        <v>34.968752510729246</v>
      </c>
      <c r="C2907" s="14">
        <v>2</v>
      </c>
      <c r="D2907" s="86">
        <v>0.85000652391090992</v>
      </c>
      <c r="E2907" s="86"/>
      <c r="F2907" s="14"/>
    </row>
    <row r="2908" spans="1:6" x14ac:dyDescent="0.25">
      <c r="A2908" s="86">
        <v>2907</v>
      </c>
      <c r="B2908" s="87">
        <v>48.464676178235095</v>
      </c>
      <c r="C2908" s="14">
        <v>2</v>
      </c>
      <c r="D2908" s="86">
        <v>0.23748884662070879</v>
      </c>
      <c r="E2908" s="86"/>
      <c r="F2908" s="14"/>
    </row>
    <row r="2909" spans="1:6" x14ac:dyDescent="0.25">
      <c r="A2909" s="86">
        <v>2908</v>
      </c>
      <c r="B2909" s="87">
        <v>38.072835190512706</v>
      </c>
      <c r="C2909" s="14">
        <v>5</v>
      </c>
      <c r="D2909" s="86">
        <v>0.91226437893578483</v>
      </c>
      <c r="E2909" s="86"/>
      <c r="F2909" s="14"/>
    </row>
    <row r="2910" spans="1:6" x14ac:dyDescent="0.25">
      <c r="A2910" s="86">
        <v>2909</v>
      </c>
      <c r="B2910" s="87">
        <v>36.086430549737997</v>
      </c>
      <c r="C2910" s="14">
        <v>2</v>
      </c>
      <c r="D2910" s="86">
        <v>3.0609407039919989E-2</v>
      </c>
      <c r="E2910" s="86"/>
      <c r="F2910" s="14"/>
    </row>
    <row r="2911" spans="1:6" x14ac:dyDescent="0.25">
      <c r="A2911" s="86">
        <v>2910</v>
      </c>
      <c r="B2911" s="87">
        <v>41.401318634932977</v>
      </c>
      <c r="C2911" s="14">
        <v>2</v>
      </c>
      <c r="D2911" s="86">
        <v>0.49480343262855109</v>
      </c>
      <c r="E2911" s="86"/>
      <c r="F2911" s="14"/>
    </row>
    <row r="2912" spans="1:6" x14ac:dyDescent="0.25">
      <c r="A2912" s="86">
        <v>2911</v>
      </c>
      <c r="B2912" s="87">
        <v>40.338375123945298</v>
      </c>
      <c r="C2912" s="14">
        <v>1</v>
      </c>
      <c r="D2912" s="86">
        <v>0.29908060415252946</v>
      </c>
      <c r="E2912" s="86"/>
      <c r="F2912" s="14"/>
    </row>
    <row r="2913" spans="1:6" x14ac:dyDescent="0.25">
      <c r="A2913" s="86">
        <v>2912</v>
      </c>
      <c r="B2913" s="87">
        <v>46.520756308716955</v>
      </c>
      <c r="C2913" s="14">
        <v>4</v>
      </c>
      <c r="D2913" s="86">
        <v>0.82866796704648138</v>
      </c>
      <c r="E2913" s="86"/>
      <c r="F2913" s="14"/>
    </row>
    <row r="2914" spans="1:6" x14ac:dyDescent="0.25">
      <c r="A2914" s="86">
        <v>2913</v>
      </c>
      <c r="B2914" s="87">
        <v>40.759442749156733</v>
      </c>
      <c r="C2914" s="14">
        <v>2</v>
      </c>
      <c r="D2914" s="86">
        <v>0.74501755705007189</v>
      </c>
      <c r="E2914" s="86"/>
      <c r="F2914" s="14"/>
    </row>
    <row r="2915" spans="1:6" x14ac:dyDescent="0.25">
      <c r="A2915" s="86">
        <v>2914</v>
      </c>
      <c r="B2915" s="87">
        <v>40.799545781163033</v>
      </c>
      <c r="C2915" s="14">
        <v>5</v>
      </c>
      <c r="D2915" s="86">
        <v>0.2981734535702224</v>
      </c>
      <c r="E2915" s="86"/>
      <c r="F2915" s="14"/>
    </row>
    <row r="2916" spans="1:6" x14ac:dyDescent="0.25">
      <c r="A2916" s="86">
        <v>2915</v>
      </c>
      <c r="B2916" s="87">
        <v>59.24284777790308</v>
      </c>
      <c r="C2916" s="14">
        <v>4</v>
      </c>
      <c r="D2916" s="86">
        <v>0.74247557756137061</v>
      </c>
      <c r="E2916" s="86"/>
      <c r="F2916" s="14"/>
    </row>
    <row r="2917" spans="1:6" x14ac:dyDescent="0.25">
      <c r="A2917" s="86">
        <v>2916</v>
      </c>
      <c r="B2917" s="87">
        <v>35.521065905748401</v>
      </c>
      <c r="C2917" s="14">
        <v>4</v>
      </c>
      <c r="D2917" s="86">
        <v>0.31845056082459033</v>
      </c>
      <c r="E2917" s="86"/>
      <c r="F2917" s="14"/>
    </row>
    <row r="2918" spans="1:6" x14ac:dyDescent="0.25">
      <c r="A2918" s="86">
        <v>2917</v>
      </c>
      <c r="B2918" s="87">
        <v>47.241121587256202</v>
      </c>
      <c r="C2918" s="14">
        <v>4</v>
      </c>
      <c r="D2918" s="86">
        <v>6.121606871970886E-2</v>
      </c>
      <c r="E2918" s="86"/>
      <c r="F2918" s="14"/>
    </row>
    <row r="2919" spans="1:6" x14ac:dyDescent="0.25">
      <c r="A2919" s="86">
        <v>2918</v>
      </c>
      <c r="B2919" s="87">
        <v>46.876823484461056</v>
      </c>
      <c r="C2919" s="14">
        <v>3</v>
      </c>
      <c r="D2919" s="86">
        <v>0.81160158807999228</v>
      </c>
      <c r="E2919" s="86"/>
      <c r="F2919" s="14"/>
    </row>
    <row r="2920" spans="1:6" x14ac:dyDescent="0.25">
      <c r="A2920" s="86">
        <v>2919</v>
      </c>
      <c r="B2920" s="87">
        <v>47.271339548722608</v>
      </c>
      <c r="C2920" s="14">
        <v>5</v>
      </c>
      <c r="D2920" s="86">
        <v>0.28703993777913706</v>
      </c>
      <c r="E2920" s="86"/>
      <c r="F2920" s="14"/>
    </row>
    <row r="2921" spans="1:6" x14ac:dyDescent="0.25">
      <c r="A2921" s="86">
        <v>2920</v>
      </c>
      <c r="B2921" s="87">
        <v>47.853109203395434</v>
      </c>
      <c r="C2921" s="14">
        <v>4</v>
      </c>
      <c r="D2921" s="86">
        <v>0.60983453437002655</v>
      </c>
      <c r="E2921" s="86"/>
      <c r="F2921" s="14"/>
    </row>
    <row r="2922" spans="1:6" x14ac:dyDescent="0.25">
      <c r="A2922" s="86">
        <v>2921</v>
      </c>
      <c r="B2922" s="87">
        <v>31.882700563408434</v>
      </c>
      <c r="C2922" s="14">
        <v>4</v>
      </c>
      <c r="D2922" s="86">
        <v>0.44486970464745457</v>
      </c>
      <c r="E2922" s="86"/>
      <c r="F2922" s="14"/>
    </row>
    <row r="2923" spans="1:6" x14ac:dyDescent="0.25">
      <c r="A2923" s="86">
        <v>2922</v>
      </c>
      <c r="B2923" s="87">
        <v>42.572810338577256</v>
      </c>
      <c r="C2923" s="14">
        <v>2</v>
      </c>
      <c r="D2923" s="86">
        <v>0.72348907720833922</v>
      </c>
      <c r="E2923" s="86"/>
      <c r="F2923" s="14"/>
    </row>
    <row r="2924" spans="1:6" x14ac:dyDescent="0.25">
      <c r="A2924" s="86">
        <v>2923</v>
      </c>
      <c r="B2924" s="87">
        <v>39.326130258239573</v>
      </c>
      <c r="C2924" s="14">
        <v>5</v>
      </c>
      <c r="D2924" s="86">
        <v>0.59067872182120507</v>
      </c>
      <c r="E2924" s="86"/>
      <c r="F2924" s="14"/>
    </row>
    <row r="2925" spans="1:6" x14ac:dyDescent="0.25">
      <c r="A2925" s="86">
        <v>2924</v>
      </c>
      <c r="B2925" s="87">
        <v>46.930779257643735</v>
      </c>
      <c r="C2925" s="14">
        <v>4</v>
      </c>
      <c r="D2925" s="86">
        <v>0.37079203778160663</v>
      </c>
      <c r="E2925" s="86"/>
      <c r="F2925" s="14"/>
    </row>
    <row r="2926" spans="1:6" x14ac:dyDescent="0.25">
      <c r="A2926" s="86">
        <v>2925</v>
      </c>
      <c r="B2926" s="87">
        <v>41.972515413697693</v>
      </c>
      <c r="C2926" s="14">
        <v>1</v>
      </c>
      <c r="D2926" s="86">
        <v>0.66245092835266173</v>
      </c>
      <c r="E2926" s="86"/>
      <c r="F2926" s="14"/>
    </row>
    <row r="2927" spans="1:6" x14ac:dyDescent="0.25">
      <c r="A2927" s="86">
        <v>2926</v>
      </c>
      <c r="B2927" s="87">
        <v>44.49915990732552</v>
      </c>
      <c r="C2927" s="14">
        <v>2</v>
      </c>
      <c r="D2927" s="86">
        <v>0.98784960982452052</v>
      </c>
      <c r="E2927" s="86"/>
      <c r="F2927" s="14"/>
    </row>
    <row r="2928" spans="1:6" x14ac:dyDescent="0.25">
      <c r="A2928" s="86">
        <v>2927</v>
      </c>
      <c r="B2928" s="87">
        <v>39.878466390626272</v>
      </c>
      <c r="C2928" s="14">
        <v>4</v>
      </c>
      <c r="D2928" s="86">
        <v>0.35406196473539375</v>
      </c>
      <c r="E2928" s="86"/>
      <c r="F2928" s="14"/>
    </row>
    <row r="2929" spans="1:6" x14ac:dyDescent="0.25">
      <c r="A2929" s="86">
        <v>2928</v>
      </c>
      <c r="B2929" s="87">
        <v>41.99204112807638</v>
      </c>
      <c r="C2929" s="14">
        <v>4</v>
      </c>
      <c r="D2929" s="86">
        <v>0.70030015874072327</v>
      </c>
      <c r="E2929" s="86"/>
      <c r="F2929" s="14"/>
    </row>
    <row r="2930" spans="1:6" x14ac:dyDescent="0.25">
      <c r="A2930" s="86">
        <v>2929</v>
      </c>
      <c r="B2930" s="87">
        <v>44.915668690344319</v>
      </c>
      <c r="C2930" s="14">
        <v>5</v>
      </c>
      <c r="D2930" s="86">
        <v>7.4151494831517839E-2</v>
      </c>
      <c r="E2930" s="86"/>
      <c r="F2930" s="14"/>
    </row>
    <row r="2931" spans="1:6" x14ac:dyDescent="0.25">
      <c r="A2931" s="86">
        <v>2930</v>
      </c>
      <c r="B2931" s="87">
        <v>42.072326772875385</v>
      </c>
      <c r="C2931" s="14">
        <v>2</v>
      </c>
      <c r="D2931" s="86">
        <v>0.66917763240848893</v>
      </c>
      <c r="E2931" s="86"/>
      <c r="F2931" s="14"/>
    </row>
    <row r="2932" spans="1:6" x14ac:dyDescent="0.25">
      <c r="A2932" s="86">
        <v>2931</v>
      </c>
      <c r="B2932" s="87">
        <v>44.156365669885417</v>
      </c>
      <c r="C2932" s="14">
        <v>1</v>
      </c>
      <c r="D2932" s="86">
        <v>0.94541509573882032</v>
      </c>
      <c r="E2932" s="86"/>
      <c r="F2932" s="14"/>
    </row>
    <row r="2933" spans="1:6" x14ac:dyDescent="0.25">
      <c r="A2933" s="86">
        <v>2932</v>
      </c>
      <c r="B2933" s="87">
        <v>42.191533106568386</v>
      </c>
      <c r="C2933" s="14">
        <v>4</v>
      </c>
      <c r="D2933" s="86">
        <v>0.5659638218234011</v>
      </c>
      <c r="E2933" s="86"/>
      <c r="F2933" s="14"/>
    </row>
    <row r="2934" spans="1:6" x14ac:dyDescent="0.25">
      <c r="A2934" s="86">
        <v>2933</v>
      </c>
      <c r="B2934" s="87">
        <v>49.290997589530889</v>
      </c>
      <c r="C2934" s="14">
        <v>2</v>
      </c>
      <c r="D2934" s="86">
        <v>0.7260365288563625</v>
      </c>
      <c r="E2934" s="86"/>
      <c r="F2934" s="14"/>
    </row>
    <row r="2935" spans="1:6" x14ac:dyDescent="0.25">
      <c r="A2935" s="86">
        <v>2934</v>
      </c>
      <c r="B2935" s="87">
        <v>29.222246661782265</v>
      </c>
      <c r="C2935" s="14">
        <v>4</v>
      </c>
      <c r="D2935" s="86">
        <v>0.47903230398128316</v>
      </c>
      <c r="E2935" s="86"/>
      <c r="F2935" s="14"/>
    </row>
    <row r="2936" spans="1:6" x14ac:dyDescent="0.25">
      <c r="A2936" s="86">
        <v>2935</v>
      </c>
      <c r="B2936" s="87">
        <v>40.673262441821862</v>
      </c>
      <c r="C2936" s="14">
        <v>5</v>
      </c>
      <c r="D2936" s="86">
        <v>0.1907843469305901</v>
      </c>
      <c r="E2936" s="86"/>
      <c r="F2936" s="14"/>
    </row>
    <row r="2937" spans="1:6" x14ac:dyDescent="0.25">
      <c r="A2937" s="86">
        <v>2936</v>
      </c>
      <c r="B2937" s="87">
        <v>44.872933808044763</v>
      </c>
      <c r="C2937" s="14">
        <v>5</v>
      </c>
      <c r="D2937" s="86">
        <v>0.69233374349010823</v>
      </c>
      <c r="E2937" s="86"/>
      <c r="F2937" s="14"/>
    </row>
    <row r="2938" spans="1:6" x14ac:dyDescent="0.25">
      <c r="A2938" s="86">
        <v>2937</v>
      </c>
      <c r="B2938" s="87">
        <v>46.272162985012983</v>
      </c>
      <c r="C2938" s="14">
        <v>1</v>
      </c>
      <c r="D2938" s="86">
        <v>0.50773674006404601</v>
      </c>
      <c r="E2938" s="86"/>
      <c r="F2938" s="14"/>
    </row>
    <row r="2939" spans="1:6" x14ac:dyDescent="0.25">
      <c r="A2939" s="86">
        <v>2938</v>
      </c>
      <c r="B2939" s="87">
        <v>29.152761266566813</v>
      </c>
      <c r="C2939" s="14">
        <v>5</v>
      </c>
      <c r="D2939" s="86">
        <v>4.9574313932757241E-2</v>
      </c>
      <c r="E2939" s="86"/>
      <c r="F2939" s="14"/>
    </row>
    <row r="2940" spans="1:6" x14ac:dyDescent="0.25">
      <c r="A2940" s="86">
        <v>2939</v>
      </c>
      <c r="B2940" s="87">
        <v>46.472405296633951</v>
      </c>
      <c r="C2940" s="14">
        <v>5</v>
      </c>
      <c r="D2940" s="86">
        <v>0.21499443731478929</v>
      </c>
      <c r="E2940" s="86"/>
      <c r="F2940" s="14"/>
    </row>
    <row r="2941" spans="1:6" x14ac:dyDescent="0.25">
      <c r="A2941" s="86">
        <v>2940</v>
      </c>
      <c r="B2941" s="87">
        <v>47.994740265829023</v>
      </c>
      <c r="C2941" s="14">
        <v>2</v>
      </c>
      <c r="D2941" s="86">
        <v>0.48555054276680321</v>
      </c>
      <c r="E2941" s="86"/>
      <c r="F2941" s="14"/>
    </row>
    <row r="2942" spans="1:6" x14ac:dyDescent="0.25">
      <c r="A2942" s="86">
        <v>2941</v>
      </c>
      <c r="B2942" s="87">
        <v>39.375561295280932</v>
      </c>
      <c r="C2942" s="14">
        <v>2</v>
      </c>
      <c r="D2942" s="86">
        <v>0.21350139074457741</v>
      </c>
      <c r="E2942" s="86"/>
      <c r="F2942" s="14"/>
    </row>
    <row r="2943" spans="1:6" x14ac:dyDescent="0.25">
      <c r="A2943" s="86">
        <v>2942</v>
      </c>
      <c r="B2943" s="87">
        <v>43.789481191532104</v>
      </c>
      <c r="C2943" s="14">
        <v>2</v>
      </c>
      <c r="D2943" s="86">
        <v>4.3343290369894816E-2</v>
      </c>
      <c r="E2943" s="86"/>
      <c r="F2943" s="14"/>
    </row>
    <row r="2944" spans="1:6" x14ac:dyDescent="0.25">
      <c r="A2944" s="86">
        <v>2943</v>
      </c>
      <c r="B2944" s="87">
        <v>38.811811004386982</v>
      </c>
      <c r="C2944" s="14">
        <v>4</v>
      </c>
      <c r="D2944" s="86">
        <v>0.94003966221964841</v>
      </c>
      <c r="E2944" s="86"/>
      <c r="F2944" s="14"/>
    </row>
    <row r="2945" spans="1:6" x14ac:dyDescent="0.25">
      <c r="A2945" s="86">
        <v>2944</v>
      </c>
      <c r="B2945" s="87">
        <v>42.633439529134193</v>
      </c>
      <c r="C2945" s="14">
        <v>5</v>
      </c>
      <c r="D2945" s="86">
        <v>0.87950625604173616</v>
      </c>
      <c r="E2945" s="86"/>
      <c r="F2945" s="14"/>
    </row>
    <row r="2946" spans="1:6" x14ac:dyDescent="0.25">
      <c r="A2946" s="86">
        <v>2945</v>
      </c>
      <c r="B2946" s="87">
        <v>42.231812353173154</v>
      </c>
      <c r="C2946" s="14">
        <v>5</v>
      </c>
      <c r="D2946" s="86">
        <v>0.40231783491008322</v>
      </c>
      <c r="E2946" s="86"/>
      <c r="F2946" s="14"/>
    </row>
    <row r="2947" spans="1:6" x14ac:dyDescent="0.25">
      <c r="A2947" s="86">
        <v>2946</v>
      </c>
      <c r="B2947" s="87">
        <v>45.744411631283583</v>
      </c>
      <c r="C2947" s="14">
        <v>4</v>
      </c>
      <c r="D2947" s="86">
        <v>0.20449923966074579</v>
      </c>
      <c r="E2947" s="86"/>
      <c r="F2947" s="14"/>
    </row>
    <row r="2948" spans="1:6" x14ac:dyDescent="0.25">
      <c r="A2948" s="86">
        <v>2947</v>
      </c>
      <c r="B2948" s="87">
        <v>41.230072151272907</v>
      </c>
      <c r="C2948" s="14">
        <v>5</v>
      </c>
      <c r="D2948" s="86">
        <v>0.65438760474674629</v>
      </c>
      <c r="E2948" s="86"/>
      <c r="F2948" s="14"/>
    </row>
    <row r="2949" spans="1:6" x14ac:dyDescent="0.25">
      <c r="A2949" s="86">
        <v>2948</v>
      </c>
      <c r="B2949" s="87">
        <v>43.818153012005496</v>
      </c>
      <c r="C2949" s="14">
        <v>4</v>
      </c>
      <c r="D2949" s="86">
        <v>0.95980717542809602</v>
      </c>
      <c r="E2949" s="86"/>
      <c r="F2949" s="14"/>
    </row>
    <row r="2950" spans="1:6" x14ac:dyDescent="0.25">
      <c r="A2950" s="86">
        <v>2949</v>
      </c>
      <c r="B2950" s="87">
        <v>40.67709368825308</v>
      </c>
      <c r="C2950" s="14">
        <v>2</v>
      </c>
      <c r="D2950" s="86">
        <v>0.67137051895485933</v>
      </c>
      <c r="E2950" s="86"/>
      <c r="F2950" s="14"/>
    </row>
    <row r="2951" spans="1:6" x14ac:dyDescent="0.25">
      <c r="A2951" s="86">
        <v>2950</v>
      </c>
      <c r="B2951" s="87">
        <v>49.124832907516975</v>
      </c>
      <c r="C2951" s="14">
        <v>1</v>
      </c>
      <c r="D2951" s="86">
        <v>0.29721537079504057</v>
      </c>
      <c r="E2951" s="86"/>
      <c r="F2951" s="14"/>
    </row>
    <row r="2952" spans="1:6" x14ac:dyDescent="0.25">
      <c r="A2952" s="86">
        <v>2951</v>
      </c>
      <c r="B2952" s="87">
        <v>41.313717242126586</v>
      </c>
      <c r="C2952" s="14">
        <v>2</v>
      </c>
      <c r="D2952" s="86">
        <v>0.3439601858748883</v>
      </c>
      <c r="E2952" s="86"/>
      <c r="F2952" s="14"/>
    </row>
    <row r="2953" spans="1:6" x14ac:dyDescent="0.25">
      <c r="A2953" s="86">
        <v>2952</v>
      </c>
      <c r="B2953" s="87">
        <v>47.151900157012278</v>
      </c>
      <c r="C2953" s="14">
        <v>4</v>
      </c>
      <c r="D2953" s="86">
        <v>0.96873427842095416</v>
      </c>
      <c r="E2953" s="86"/>
      <c r="F2953" s="14"/>
    </row>
    <row r="2954" spans="1:6" x14ac:dyDescent="0.25">
      <c r="A2954" s="86">
        <v>2953</v>
      </c>
      <c r="B2954" s="87">
        <v>38.279949871473946</v>
      </c>
      <c r="C2954" s="14">
        <v>2</v>
      </c>
      <c r="D2954" s="86">
        <v>0.22294002635821975</v>
      </c>
      <c r="E2954" s="86"/>
      <c r="F2954" s="14"/>
    </row>
    <row r="2955" spans="1:6" x14ac:dyDescent="0.25">
      <c r="A2955" s="86">
        <v>2954</v>
      </c>
      <c r="B2955" s="87">
        <v>47.171920409135055</v>
      </c>
      <c r="C2955" s="14">
        <v>1</v>
      </c>
      <c r="D2955" s="86">
        <v>0.11471975213741037</v>
      </c>
      <c r="E2955" s="86"/>
      <c r="F2955" s="14"/>
    </row>
    <row r="2956" spans="1:6" x14ac:dyDescent="0.25">
      <c r="A2956" s="86">
        <v>2955</v>
      </c>
      <c r="B2956" s="87">
        <v>50.970720616867766</v>
      </c>
      <c r="C2956" s="14">
        <v>4</v>
      </c>
      <c r="D2956" s="86">
        <v>0.86424348366561132</v>
      </c>
      <c r="E2956" s="86"/>
      <c r="F2956" s="14"/>
    </row>
    <row r="2957" spans="1:6" x14ac:dyDescent="0.25">
      <c r="A2957" s="86">
        <v>2956</v>
      </c>
      <c r="B2957" s="87">
        <v>36.430947142769583</v>
      </c>
      <c r="C2957" s="14">
        <v>4</v>
      </c>
      <c r="D2957" s="86">
        <v>0.75900970432159853</v>
      </c>
      <c r="E2957" s="86"/>
      <c r="F2957" s="14"/>
    </row>
    <row r="2958" spans="1:6" x14ac:dyDescent="0.25">
      <c r="A2958" s="86">
        <v>2957</v>
      </c>
      <c r="B2958" s="87">
        <v>41.76609990678844</v>
      </c>
      <c r="C2958" s="14">
        <v>2</v>
      </c>
      <c r="D2958" s="86">
        <v>0.30781108871331297</v>
      </c>
      <c r="E2958" s="86"/>
      <c r="F2958" s="14"/>
    </row>
    <row r="2959" spans="1:6" x14ac:dyDescent="0.25">
      <c r="A2959" s="86">
        <v>2958</v>
      </c>
      <c r="B2959" s="87">
        <v>37.228278410446364</v>
      </c>
      <c r="C2959" s="14">
        <v>2</v>
      </c>
      <c r="D2959" s="86">
        <v>0.83906443006314635</v>
      </c>
      <c r="E2959" s="86"/>
      <c r="F2959" s="14"/>
    </row>
    <row r="2960" spans="1:6" x14ac:dyDescent="0.25">
      <c r="A2960" s="86">
        <v>2959</v>
      </c>
      <c r="B2960" s="87">
        <v>46.585751073842403</v>
      </c>
      <c r="C2960" s="14">
        <v>5</v>
      </c>
      <c r="D2960" s="86">
        <v>0.87813043863648399</v>
      </c>
      <c r="E2960" s="86"/>
      <c r="F2960" s="14"/>
    </row>
    <row r="2961" spans="1:6" x14ac:dyDescent="0.25">
      <c r="A2961" s="86">
        <v>2960</v>
      </c>
      <c r="B2961" s="87">
        <v>45.742626747931354</v>
      </c>
      <c r="C2961" s="14">
        <v>4</v>
      </c>
      <c r="D2961" s="86">
        <v>0.12917471773212819</v>
      </c>
      <c r="E2961" s="86"/>
      <c r="F2961" s="14"/>
    </row>
    <row r="2962" spans="1:6" x14ac:dyDescent="0.25">
      <c r="A2962" s="86">
        <v>2961</v>
      </c>
      <c r="B2962" s="87">
        <v>51.840970622259192</v>
      </c>
      <c r="C2962" s="14">
        <v>4</v>
      </c>
      <c r="D2962" s="86">
        <v>0.65459855441648584</v>
      </c>
      <c r="E2962" s="86"/>
      <c r="F2962" s="14"/>
    </row>
    <row r="2963" spans="1:6" x14ac:dyDescent="0.25">
      <c r="A2963" s="86">
        <v>2962</v>
      </c>
      <c r="B2963" s="87">
        <v>41.885630247968948</v>
      </c>
      <c r="C2963" s="14">
        <v>3</v>
      </c>
      <c r="D2963" s="86">
        <v>0.43210543198079343</v>
      </c>
      <c r="E2963" s="86"/>
      <c r="F2963" s="14"/>
    </row>
    <row r="2964" spans="1:6" x14ac:dyDescent="0.25">
      <c r="A2964" s="86">
        <v>2963</v>
      </c>
      <c r="B2964" s="87">
        <v>43.114567910713959</v>
      </c>
      <c r="C2964" s="14">
        <v>2</v>
      </c>
      <c r="D2964" s="86">
        <v>0.53136750534752852</v>
      </c>
      <c r="E2964" s="86"/>
      <c r="F2964" s="14"/>
    </row>
    <row r="2965" spans="1:6" x14ac:dyDescent="0.25">
      <c r="A2965" s="86">
        <v>2964</v>
      </c>
      <c r="B2965" s="87">
        <v>37.581662576820236</v>
      </c>
      <c r="C2965" s="14">
        <v>5</v>
      </c>
      <c r="D2965" s="86">
        <v>0.4652267835614089</v>
      </c>
      <c r="E2965" s="86"/>
      <c r="F2965" s="14"/>
    </row>
    <row r="2966" spans="1:6" x14ac:dyDescent="0.25">
      <c r="A2966" s="86">
        <v>2965</v>
      </c>
      <c r="B2966" s="87">
        <v>38.448092704464216</v>
      </c>
      <c r="C2966" s="14">
        <v>2</v>
      </c>
      <c r="D2966" s="86">
        <v>0.73341409660984347</v>
      </c>
      <c r="E2966" s="86"/>
      <c r="F2966" s="14"/>
    </row>
    <row r="2967" spans="1:6" x14ac:dyDescent="0.25">
      <c r="A2967" s="86">
        <v>2966</v>
      </c>
      <c r="B2967" s="87">
        <v>45.086403583234642</v>
      </c>
      <c r="C2967" s="14">
        <v>4</v>
      </c>
      <c r="D2967" s="86">
        <v>0.2278569546384388</v>
      </c>
      <c r="E2967" s="86"/>
      <c r="F2967" s="14"/>
    </row>
    <row r="2968" spans="1:6" x14ac:dyDescent="0.25">
      <c r="A2968" s="86">
        <v>2967</v>
      </c>
      <c r="B2968" s="87">
        <v>45.468777893227525</v>
      </c>
      <c r="C2968" s="14">
        <v>2</v>
      </c>
      <c r="D2968" s="86">
        <v>0.4403962953014543</v>
      </c>
      <c r="E2968" s="86"/>
      <c r="F2968" s="14"/>
    </row>
    <row r="2969" spans="1:6" x14ac:dyDescent="0.25">
      <c r="A2969" s="86">
        <v>2968</v>
      </c>
      <c r="B2969" s="87">
        <v>47.861692559643416</v>
      </c>
      <c r="C2969" s="14">
        <v>5</v>
      </c>
      <c r="D2969" s="86">
        <v>0.37995314974768435</v>
      </c>
      <c r="E2969" s="86"/>
      <c r="F2969" s="14"/>
    </row>
    <row r="2970" spans="1:6" x14ac:dyDescent="0.25">
      <c r="A2970" s="86">
        <v>2969</v>
      </c>
      <c r="B2970" s="87">
        <v>40.554959918488748</v>
      </c>
      <c r="C2970" s="14">
        <v>2</v>
      </c>
      <c r="D2970" s="86">
        <v>0.58835065922704799</v>
      </c>
      <c r="E2970" s="86"/>
      <c r="F2970" s="14"/>
    </row>
    <row r="2971" spans="1:6" x14ac:dyDescent="0.25">
      <c r="A2971" s="86">
        <v>2970</v>
      </c>
      <c r="B2971" s="87">
        <v>48.09528490511002</v>
      </c>
      <c r="C2971" s="14">
        <v>2</v>
      </c>
      <c r="D2971" s="86">
        <v>0.5431924193283707</v>
      </c>
      <c r="E2971" s="86"/>
      <c r="F2971" s="14"/>
    </row>
    <row r="2972" spans="1:6" x14ac:dyDescent="0.25">
      <c r="A2972" s="86">
        <v>2971</v>
      </c>
      <c r="B2972" s="87">
        <v>45.893727923947154</v>
      </c>
      <c r="C2972" s="14">
        <v>4</v>
      </c>
      <c r="D2972" s="86">
        <v>0.79432580285086818</v>
      </c>
      <c r="E2972" s="86"/>
      <c r="F2972" s="14"/>
    </row>
    <row r="2973" spans="1:6" x14ac:dyDescent="0.25">
      <c r="A2973" s="86">
        <v>2972</v>
      </c>
      <c r="B2973" s="87">
        <v>35.124594427878037</v>
      </c>
      <c r="C2973" s="14">
        <v>1</v>
      </c>
      <c r="D2973" s="86">
        <v>0.7353826885730782</v>
      </c>
      <c r="E2973" s="86"/>
      <c r="F2973" s="14"/>
    </row>
    <row r="2974" spans="1:6" x14ac:dyDescent="0.25">
      <c r="A2974" s="86">
        <v>2973</v>
      </c>
      <c r="B2974" s="87">
        <v>43.497101382279652</v>
      </c>
      <c r="C2974" s="14">
        <v>2</v>
      </c>
      <c r="D2974" s="86">
        <v>0.18946188756939464</v>
      </c>
      <c r="E2974" s="86"/>
      <c r="F2974" s="14"/>
    </row>
    <row r="2975" spans="1:6" x14ac:dyDescent="0.25">
      <c r="A2975" s="86">
        <v>2974</v>
      </c>
      <c r="B2975" s="87">
        <v>53.824442142620683</v>
      </c>
      <c r="C2975" s="14">
        <v>2</v>
      </c>
      <c r="D2975" s="86">
        <v>0.87614730188667878</v>
      </c>
      <c r="E2975" s="86"/>
      <c r="F2975" s="14"/>
    </row>
    <row r="2976" spans="1:6" x14ac:dyDescent="0.25">
      <c r="A2976" s="86">
        <v>2975</v>
      </c>
      <c r="B2976" s="87">
        <v>40.542454366339371</v>
      </c>
      <c r="C2976" s="14">
        <v>3</v>
      </c>
      <c r="D2976" s="86">
        <v>0.29238694701252843</v>
      </c>
      <c r="E2976" s="86"/>
      <c r="F2976" s="14"/>
    </row>
    <row r="2977" spans="1:6" x14ac:dyDescent="0.25">
      <c r="A2977" s="86">
        <v>2976</v>
      </c>
      <c r="B2977" s="87">
        <v>47.932132924295729</v>
      </c>
      <c r="C2977" s="14">
        <v>4</v>
      </c>
      <c r="D2977" s="86">
        <v>0.15823328374658119</v>
      </c>
      <c r="E2977" s="86"/>
      <c r="F2977" s="14"/>
    </row>
    <row r="2978" spans="1:6" x14ac:dyDescent="0.25">
      <c r="A2978" s="86">
        <v>2977</v>
      </c>
      <c r="B2978" s="87">
        <v>46.488975153231877</v>
      </c>
      <c r="C2978" s="14">
        <v>4</v>
      </c>
      <c r="D2978" s="86">
        <v>0.88066691778630879</v>
      </c>
      <c r="E2978" s="86"/>
      <c r="F2978" s="14"/>
    </row>
    <row r="2979" spans="1:6" x14ac:dyDescent="0.25">
      <c r="A2979" s="86">
        <v>2978</v>
      </c>
      <c r="B2979" s="87">
        <v>51.038205123739317</v>
      </c>
      <c r="C2979" s="14">
        <v>5</v>
      </c>
      <c r="D2979" s="86">
        <v>0.44720552493213039</v>
      </c>
      <c r="E2979" s="86"/>
      <c r="F2979" s="14"/>
    </row>
    <row r="2980" spans="1:6" x14ac:dyDescent="0.25">
      <c r="A2980" s="86">
        <v>2979</v>
      </c>
      <c r="B2980" s="87">
        <v>45.786305230983999</v>
      </c>
      <c r="C2980" s="14">
        <v>2</v>
      </c>
      <c r="D2980" s="86">
        <v>0.74141730751275692</v>
      </c>
      <c r="E2980" s="86"/>
      <c r="F2980" s="14"/>
    </row>
    <row r="2981" spans="1:6" x14ac:dyDescent="0.25">
      <c r="A2981" s="86">
        <v>2980</v>
      </c>
      <c r="B2981" s="87">
        <v>41.827127001277404</v>
      </c>
      <c r="C2981" s="14">
        <v>5</v>
      </c>
      <c r="D2981" s="86">
        <v>0.78605142087297564</v>
      </c>
      <c r="E2981" s="86"/>
      <c r="F2981" s="14"/>
    </row>
    <row r="2982" spans="1:6" x14ac:dyDescent="0.25">
      <c r="A2982" s="86">
        <v>2981</v>
      </c>
      <c r="B2982" s="87">
        <v>49.042250788595993</v>
      </c>
      <c r="C2982" s="14">
        <v>2</v>
      </c>
      <c r="D2982" s="86">
        <v>0.22083249462868082</v>
      </c>
      <c r="E2982" s="86"/>
      <c r="F2982" s="14"/>
    </row>
    <row r="2983" spans="1:6" x14ac:dyDescent="0.25">
      <c r="A2983" s="86">
        <v>2982</v>
      </c>
      <c r="B2983" s="87">
        <v>44.525188508821884</v>
      </c>
      <c r="C2983" s="14">
        <v>2</v>
      </c>
      <c r="D2983" s="86">
        <v>0.78832323332652787</v>
      </c>
      <c r="E2983" s="86"/>
      <c r="F2983" s="14"/>
    </row>
    <row r="2984" spans="1:6" x14ac:dyDescent="0.25">
      <c r="A2984" s="86">
        <v>2983</v>
      </c>
      <c r="B2984" s="87">
        <v>47.013111265521729</v>
      </c>
      <c r="C2984" s="14">
        <v>4</v>
      </c>
      <c r="D2984" s="86">
        <v>0.28442169674234941</v>
      </c>
      <c r="E2984" s="86"/>
      <c r="F2984" s="14"/>
    </row>
    <row r="2985" spans="1:6" x14ac:dyDescent="0.25">
      <c r="A2985" s="86">
        <v>2984</v>
      </c>
      <c r="B2985" s="87">
        <v>33.436572261387482</v>
      </c>
      <c r="C2985" s="14">
        <v>4</v>
      </c>
      <c r="D2985" s="86">
        <v>0.59556609336959954</v>
      </c>
      <c r="E2985" s="86"/>
      <c r="F2985" s="14"/>
    </row>
    <row r="2986" spans="1:6" x14ac:dyDescent="0.25">
      <c r="A2986" s="86">
        <v>2985</v>
      </c>
      <c r="B2986" s="87">
        <v>31.900799507973716</v>
      </c>
      <c r="C2986" s="14">
        <v>5</v>
      </c>
      <c r="D2986" s="86">
        <v>0.13480694229456669</v>
      </c>
      <c r="E2986" s="86"/>
      <c r="F2986" s="14"/>
    </row>
    <row r="2987" spans="1:6" x14ac:dyDescent="0.25">
      <c r="A2987" s="86">
        <v>2986</v>
      </c>
      <c r="B2987" s="87">
        <v>44.626079892957932</v>
      </c>
      <c r="C2987" s="14">
        <v>4</v>
      </c>
      <c r="D2987" s="86">
        <v>0.48479691464285257</v>
      </c>
      <c r="E2987" s="86"/>
      <c r="F2987" s="14"/>
    </row>
    <row r="2988" spans="1:6" x14ac:dyDescent="0.25">
      <c r="A2988" s="86">
        <v>2987</v>
      </c>
      <c r="B2988" s="87">
        <v>43.529786348124617</v>
      </c>
      <c r="C2988" s="14">
        <v>2</v>
      </c>
      <c r="D2988" s="86">
        <v>0.49969019054873554</v>
      </c>
      <c r="E2988" s="86"/>
      <c r="F2988" s="14"/>
    </row>
    <row r="2989" spans="1:6" x14ac:dyDescent="0.25">
      <c r="A2989" s="86">
        <v>2988</v>
      </c>
      <c r="B2989" s="87">
        <v>44.53881387632282</v>
      </c>
      <c r="C2989" s="14">
        <v>2</v>
      </c>
      <c r="D2989" s="86">
        <v>0.98363037163118183</v>
      </c>
      <c r="E2989" s="86"/>
      <c r="F2989" s="14"/>
    </row>
    <row r="2990" spans="1:6" x14ac:dyDescent="0.25">
      <c r="A2990" s="86">
        <v>2989</v>
      </c>
      <c r="B2990" s="87">
        <v>37.388406321377261</v>
      </c>
      <c r="C2990" s="14">
        <v>2</v>
      </c>
      <c r="D2990" s="86">
        <v>0.57894373967959067</v>
      </c>
      <c r="E2990" s="86"/>
      <c r="F2990" s="14"/>
    </row>
    <row r="2991" spans="1:6" x14ac:dyDescent="0.25">
      <c r="A2991" s="86">
        <v>2990</v>
      </c>
      <c r="B2991" s="87">
        <v>39.131430179957533</v>
      </c>
      <c r="C2991" s="14">
        <v>1</v>
      </c>
      <c r="D2991" s="86">
        <v>0.37573740507890596</v>
      </c>
      <c r="E2991" s="86"/>
      <c r="F2991" s="14"/>
    </row>
    <row r="2992" spans="1:6" x14ac:dyDescent="0.25">
      <c r="A2992" s="86">
        <v>2991</v>
      </c>
      <c r="B2992" s="87">
        <v>33.339483701973222</v>
      </c>
      <c r="C2992" s="14">
        <v>2</v>
      </c>
      <c r="D2992" s="86">
        <v>0.29142317830648923</v>
      </c>
      <c r="E2992" s="86"/>
      <c r="F2992" s="14"/>
    </row>
    <row r="2993" spans="1:6" x14ac:dyDescent="0.25">
      <c r="A2993" s="86">
        <v>2992</v>
      </c>
      <c r="B2993" s="87">
        <v>36.54174633481307</v>
      </c>
      <c r="C2993" s="14">
        <v>2</v>
      </c>
      <c r="D2993" s="86">
        <v>0.70440038292093166</v>
      </c>
      <c r="E2993" s="86"/>
      <c r="F2993" s="14"/>
    </row>
    <row r="2994" spans="1:6" x14ac:dyDescent="0.25">
      <c r="A2994" s="86">
        <v>2993</v>
      </c>
      <c r="B2994" s="87">
        <v>46.653354951893562</v>
      </c>
      <c r="C2994" s="14">
        <v>2</v>
      </c>
      <c r="D2994" s="86">
        <v>0.88740746748999999</v>
      </c>
      <c r="E2994" s="86"/>
      <c r="F2994" s="14"/>
    </row>
    <row r="2995" spans="1:6" x14ac:dyDescent="0.25">
      <c r="A2995" s="86">
        <v>2994</v>
      </c>
      <c r="B2995" s="87">
        <v>43.24508608476026</v>
      </c>
      <c r="C2995" s="14">
        <v>5</v>
      </c>
      <c r="D2995" s="86">
        <v>0.48978690939322922</v>
      </c>
      <c r="E2995" s="86"/>
      <c r="F2995" s="14"/>
    </row>
    <row r="2996" spans="1:6" x14ac:dyDescent="0.25">
      <c r="A2996" s="86">
        <v>2995</v>
      </c>
      <c r="B2996" s="87">
        <v>39.615656527865212</v>
      </c>
      <c r="C2996" s="14">
        <v>2</v>
      </c>
      <c r="D2996" s="86">
        <v>0.54948186200029481</v>
      </c>
      <c r="E2996" s="86"/>
      <c r="F2996" s="14"/>
    </row>
    <row r="2997" spans="1:6" x14ac:dyDescent="0.25">
      <c r="A2997" s="86">
        <v>2996</v>
      </c>
      <c r="B2997" s="87">
        <v>47.337277914601145</v>
      </c>
      <c r="C2997" s="14">
        <v>4</v>
      </c>
      <c r="D2997" s="86">
        <v>0.79209182390893873</v>
      </c>
      <c r="E2997" s="86"/>
      <c r="F2997" s="14"/>
    </row>
    <row r="2998" spans="1:6" x14ac:dyDescent="0.25">
      <c r="A2998" s="86">
        <v>2997</v>
      </c>
      <c r="B2998" s="87">
        <v>40.065935986029217</v>
      </c>
      <c r="C2998" s="14">
        <v>5</v>
      </c>
      <c r="D2998" s="86">
        <v>0.13077268960906385</v>
      </c>
      <c r="E2998" s="86"/>
      <c r="F2998" s="14"/>
    </row>
    <row r="2999" spans="1:6" x14ac:dyDescent="0.25">
      <c r="A2999" s="86">
        <v>2998</v>
      </c>
      <c r="B2999" s="87">
        <v>46.689410732476972</v>
      </c>
      <c r="C2999" s="14">
        <v>2</v>
      </c>
      <c r="D2999" s="86">
        <v>2.8658514899150611E-2</v>
      </c>
      <c r="E2999" s="86"/>
      <c r="F2999" s="14"/>
    </row>
    <row r="3000" spans="1:6" x14ac:dyDescent="0.25">
      <c r="A3000" s="86">
        <v>2999</v>
      </c>
      <c r="B3000" s="87">
        <v>35.046969055081718</v>
      </c>
      <c r="C3000" s="14">
        <v>2</v>
      </c>
      <c r="D3000" s="86">
        <v>0.12278742642820817</v>
      </c>
      <c r="E3000" s="86"/>
      <c r="F3000" s="14"/>
    </row>
    <row r="3001" spans="1:6" x14ac:dyDescent="0.25">
      <c r="A3001" s="86">
        <v>3000</v>
      </c>
      <c r="B3001" s="87">
        <v>54.89118847833015</v>
      </c>
      <c r="C3001" s="14">
        <v>4</v>
      </c>
      <c r="D3001" s="86">
        <v>0.73756637790226609</v>
      </c>
      <c r="E3001" s="86"/>
      <c r="F3001" s="14"/>
    </row>
    <row r="3002" spans="1:6" x14ac:dyDescent="0.25">
      <c r="A3002" s="86">
        <v>3001</v>
      </c>
      <c r="B3002" s="87">
        <v>36.23365500458749</v>
      </c>
      <c r="C3002" s="14">
        <v>2</v>
      </c>
      <c r="D3002" s="86">
        <v>0.56806771955929025</v>
      </c>
      <c r="E3002" s="86"/>
      <c r="F3002" s="14"/>
    </row>
    <row r="3003" spans="1:6" x14ac:dyDescent="0.25">
      <c r="A3003" s="86">
        <v>3002</v>
      </c>
      <c r="B3003" s="87">
        <v>46.139678028674098</v>
      </c>
      <c r="C3003" s="14">
        <v>5</v>
      </c>
      <c r="D3003" s="86">
        <v>0.97983229554507301</v>
      </c>
      <c r="E3003" s="86"/>
      <c r="F3003" s="14"/>
    </row>
    <row r="3004" spans="1:6" x14ac:dyDescent="0.25">
      <c r="A3004" s="86">
        <v>3003</v>
      </c>
      <c r="B3004" s="87">
        <v>43.564034507988254</v>
      </c>
      <c r="C3004" s="14">
        <v>5</v>
      </c>
      <c r="D3004" s="86">
        <v>0.13531920788272334</v>
      </c>
      <c r="E3004" s="86"/>
      <c r="F3004" s="14"/>
    </row>
    <row r="3005" spans="1:6" x14ac:dyDescent="0.25">
      <c r="A3005" s="86">
        <v>3004</v>
      </c>
      <c r="B3005" s="87">
        <v>45.288447831233498</v>
      </c>
      <c r="C3005" s="14">
        <v>5</v>
      </c>
      <c r="D3005" s="86">
        <v>0.81207618656642966</v>
      </c>
      <c r="E3005" s="86"/>
      <c r="F3005" s="14"/>
    </row>
    <row r="3006" spans="1:6" x14ac:dyDescent="0.25">
      <c r="A3006" s="86">
        <v>3005</v>
      </c>
      <c r="B3006" s="87">
        <v>45.006549948418979</v>
      </c>
      <c r="C3006" s="14">
        <v>4</v>
      </c>
      <c r="D3006" s="86">
        <v>0.1174369062367624</v>
      </c>
      <c r="E3006" s="86"/>
      <c r="F3006" s="14"/>
    </row>
    <row r="3007" spans="1:6" x14ac:dyDescent="0.25">
      <c r="A3007" s="86">
        <v>3006</v>
      </c>
      <c r="B3007" s="87">
        <v>50.06702394381864</v>
      </c>
      <c r="C3007" s="14">
        <v>4</v>
      </c>
      <c r="D3007" s="86">
        <v>0.45096627453503701</v>
      </c>
      <c r="E3007" s="86"/>
      <c r="F3007" s="14"/>
    </row>
    <row r="3008" spans="1:6" x14ac:dyDescent="0.25">
      <c r="A3008" s="86">
        <v>3007</v>
      </c>
      <c r="B3008" s="87">
        <v>34.062441040412523</v>
      </c>
      <c r="C3008" s="14">
        <v>4</v>
      </c>
      <c r="D3008" s="86">
        <v>0.28397487026216239</v>
      </c>
      <c r="E3008" s="86"/>
      <c r="F3008" s="14"/>
    </row>
    <row r="3009" spans="1:6" x14ac:dyDescent="0.25">
      <c r="A3009" s="86">
        <v>3008</v>
      </c>
      <c r="B3009" s="87">
        <v>49.020081855240278</v>
      </c>
      <c r="C3009" s="14">
        <v>2</v>
      </c>
      <c r="D3009" s="86">
        <v>0.28398299844120034</v>
      </c>
      <c r="E3009" s="86"/>
      <c r="F3009" s="14"/>
    </row>
    <row r="3010" spans="1:6" x14ac:dyDescent="0.25">
      <c r="A3010" s="86">
        <v>3009</v>
      </c>
      <c r="B3010" s="87">
        <v>42.475983258889755</v>
      </c>
      <c r="C3010" s="14">
        <v>5</v>
      </c>
      <c r="D3010" s="86">
        <v>0.38699741858298908</v>
      </c>
      <c r="E3010" s="86"/>
      <c r="F3010" s="14"/>
    </row>
    <row r="3011" spans="1:6" x14ac:dyDescent="0.25">
      <c r="A3011" s="86">
        <v>3010</v>
      </c>
      <c r="B3011" s="87">
        <v>46.60556668965728</v>
      </c>
      <c r="C3011" s="14">
        <v>2</v>
      </c>
      <c r="D3011" s="86">
        <v>0.27521298803585048</v>
      </c>
      <c r="E3011" s="86"/>
      <c r="F3011" s="14"/>
    </row>
    <row r="3012" spans="1:6" x14ac:dyDescent="0.25">
      <c r="A3012" s="86">
        <v>3011</v>
      </c>
      <c r="B3012" s="87">
        <v>37.426298144389875</v>
      </c>
      <c r="C3012" s="14">
        <v>1</v>
      </c>
      <c r="D3012" s="86">
        <v>0.53950915128413113</v>
      </c>
      <c r="E3012" s="86"/>
      <c r="F3012" s="14"/>
    </row>
    <row r="3013" spans="1:6" x14ac:dyDescent="0.25">
      <c r="A3013" s="86">
        <v>3012</v>
      </c>
      <c r="B3013" s="87">
        <v>44.157150109065697</v>
      </c>
      <c r="C3013" s="14">
        <v>2</v>
      </c>
      <c r="D3013" s="86">
        <v>0.58906986018383578</v>
      </c>
      <c r="E3013" s="86"/>
      <c r="F3013" s="14"/>
    </row>
    <row r="3014" spans="1:6" x14ac:dyDescent="0.25">
      <c r="A3014" s="86">
        <v>3013</v>
      </c>
      <c r="B3014" s="87">
        <v>46.469972398306709</v>
      </c>
      <c r="C3014" s="14">
        <v>5</v>
      </c>
      <c r="D3014" s="86">
        <v>0.9322532796866454</v>
      </c>
      <c r="E3014" s="86"/>
      <c r="F3014" s="14"/>
    </row>
    <row r="3015" spans="1:6" x14ac:dyDescent="0.25">
      <c r="A3015" s="86">
        <v>3014</v>
      </c>
      <c r="B3015" s="87">
        <v>42.336534983740421</v>
      </c>
      <c r="C3015" s="14">
        <v>2</v>
      </c>
      <c r="D3015" s="86">
        <v>0.9564864458023945</v>
      </c>
      <c r="E3015" s="86"/>
      <c r="F3015" s="14"/>
    </row>
    <row r="3016" spans="1:6" x14ac:dyDescent="0.25">
      <c r="A3016" s="86">
        <v>3015</v>
      </c>
      <c r="B3016" s="87">
        <v>49.102220595494146</v>
      </c>
      <c r="C3016" s="14">
        <v>2</v>
      </c>
      <c r="D3016" s="86">
        <v>0.93808632426165783</v>
      </c>
      <c r="E3016" s="86"/>
      <c r="F3016" s="14"/>
    </row>
    <row r="3017" spans="1:6" x14ac:dyDescent="0.25">
      <c r="A3017" s="86">
        <v>3016</v>
      </c>
      <c r="B3017" s="87">
        <v>40.518250438588439</v>
      </c>
      <c r="C3017" s="14">
        <v>4</v>
      </c>
      <c r="D3017" s="86">
        <v>0.79804651975273921</v>
      </c>
      <c r="E3017" s="86"/>
      <c r="F3017" s="14"/>
    </row>
    <row r="3018" spans="1:6" x14ac:dyDescent="0.25">
      <c r="A3018" s="86">
        <v>3017</v>
      </c>
      <c r="B3018" s="87">
        <v>42.21477638054057</v>
      </c>
      <c r="C3018" s="14">
        <v>5</v>
      </c>
      <c r="D3018" s="86">
        <v>0.47695820964839508</v>
      </c>
      <c r="E3018" s="86"/>
      <c r="F3018" s="14"/>
    </row>
    <row r="3019" spans="1:6" x14ac:dyDescent="0.25">
      <c r="A3019" s="86">
        <v>3018</v>
      </c>
      <c r="B3019" s="87">
        <v>42.96002770785708</v>
      </c>
      <c r="C3019" s="14">
        <v>2</v>
      </c>
      <c r="D3019" s="86">
        <v>0.28579262601197231</v>
      </c>
      <c r="E3019" s="86"/>
      <c r="F3019" s="14"/>
    </row>
    <row r="3020" spans="1:6" x14ac:dyDescent="0.25">
      <c r="A3020" s="86">
        <v>3019</v>
      </c>
      <c r="B3020" s="87">
        <v>44.892635737021919</v>
      </c>
      <c r="C3020" s="14">
        <v>1</v>
      </c>
      <c r="D3020" s="86">
        <v>4.6650779218956329E-3</v>
      </c>
      <c r="E3020" s="86"/>
      <c r="F3020" s="14"/>
    </row>
    <row r="3021" spans="1:6" x14ac:dyDescent="0.25">
      <c r="A3021" s="86">
        <v>3020</v>
      </c>
      <c r="B3021" s="87">
        <v>46.270270099164918</v>
      </c>
      <c r="C3021" s="14">
        <v>5</v>
      </c>
      <c r="D3021" s="86">
        <v>0.13745423483455632</v>
      </c>
      <c r="E3021" s="86"/>
      <c r="F3021" s="14"/>
    </row>
    <row r="3022" spans="1:6" x14ac:dyDescent="0.25">
      <c r="A3022" s="86">
        <v>3021</v>
      </c>
      <c r="B3022" s="87">
        <v>45.814942945406074</v>
      </c>
      <c r="C3022" s="14">
        <v>4</v>
      </c>
      <c r="D3022" s="86">
        <v>0.21235152475157326</v>
      </c>
      <c r="E3022" s="86"/>
      <c r="F3022" s="14"/>
    </row>
    <row r="3023" spans="1:6" x14ac:dyDescent="0.25">
      <c r="A3023" s="86">
        <v>3022</v>
      </c>
      <c r="B3023" s="87">
        <v>47.673665898735635</v>
      </c>
      <c r="C3023" s="14">
        <v>4</v>
      </c>
      <c r="D3023" s="86">
        <v>0.98039358652137143</v>
      </c>
      <c r="E3023" s="86"/>
      <c r="F3023" s="14"/>
    </row>
    <row r="3024" spans="1:6" x14ac:dyDescent="0.25">
      <c r="A3024" s="86">
        <v>3023</v>
      </c>
      <c r="B3024" s="87">
        <v>43.537863797944738</v>
      </c>
      <c r="C3024" s="14">
        <v>1</v>
      </c>
      <c r="D3024" s="86">
        <v>0.74857124832893107</v>
      </c>
      <c r="E3024" s="86"/>
      <c r="F3024" s="14"/>
    </row>
    <row r="3025" spans="1:6" x14ac:dyDescent="0.25">
      <c r="A3025" s="86">
        <v>3024</v>
      </c>
      <c r="B3025" s="87">
        <v>41.474811491178116</v>
      </c>
      <c r="C3025" s="14">
        <v>2</v>
      </c>
      <c r="D3025" s="86">
        <v>0.95419484511577224</v>
      </c>
      <c r="E3025" s="86"/>
      <c r="F3025" s="14"/>
    </row>
    <row r="3026" spans="1:6" x14ac:dyDescent="0.25">
      <c r="A3026" s="86">
        <v>3025</v>
      </c>
      <c r="B3026" s="87">
        <v>51.05357558419928</v>
      </c>
      <c r="C3026" s="14">
        <v>3</v>
      </c>
      <c r="D3026" s="86">
        <v>0.4526489992683953</v>
      </c>
      <c r="E3026" s="86"/>
      <c r="F3026" s="14"/>
    </row>
    <row r="3027" spans="1:6" x14ac:dyDescent="0.25">
      <c r="A3027" s="86">
        <v>3026</v>
      </c>
      <c r="B3027" s="87">
        <v>41.236586407074356</v>
      </c>
      <c r="C3027" s="14">
        <v>4</v>
      </c>
      <c r="D3027" s="86">
        <v>0.28471179210435971</v>
      </c>
      <c r="E3027" s="86"/>
      <c r="F3027" s="14"/>
    </row>
    <row r="3028" spans="1:6" x14ac:dyDescent="0.25">
      <c r="A3028" s="86">
        <v>3027</v>
      </c>
      <c r="B3028" s="87">
        <v>39.207861840957776</v>
      </c>
      <c r="C3028" s="14">
        <v>2</v>
      </c>
      <c r="D3028" s="86">
        <v>0.28260511930039434</v>
      </c>
      <c r="E3028" s="86"/>
      <c r="F3028" s="14"/>
    </row>
    <row r="3029" spans="1:6" x14ac:dyDescent="0.25">
      <c r="A3029" s="86">
        <v>3028</v>
      </c>
      <c r="B3029" s="87">
        <v>42.401694594780565</v>
      </c>
      <c r="C3029" s="14">
        <v>2</v>
      </c>
      <c r="D3029" s="86">
        <v>0.37607062998986696</v>
      </c>
      <c r="E3029" s="86"/>
      <c r="F3029" s="14"/>
    </row>
    <row r="3030" spans="1:6" x14ac:dyDescent="0.25">
      <c r="A3030" s="86">
        <v>3029</v>
      </c>
      <c r="B3030" s="87">
        <v>41.721091287734453</v>
      </c>
      <c r="C3030" s="14">
        <v>4</v>
      </c>
      <c r="D3030" s="86">
        <v>0.76989007406090859</v>
      </c>
      <c r="E3030" s="86"/>
      <c r="F3030" s="14"/>
    </row>
    <row r="3031" spans="1:6" x14ac:dyDescent="0.25">
      <c r="A3031" s="86">
        <v>3030</v>
      </c>
      <c r="B3031" s="87">
        <v>50.915332389529794</v>
      </c>
      <c r="C3031" s="14">
        <v>4</v>
      </c>
      <c r="D3031" s="86">
        <v>0.75550686682194879</v>
      </c>
      <c r="E3031" s="86"/>
      <c r="F3031" s="14"/>
    </row>
    <row r="3032" spans="1:6" x14ac:dyDescent="0.25">
      <c r="A3032" s="86">
        <v>3031</v>
      </c>
      <c r="B3032" s="87">
        <v>47.602509307005676</v>
      </c>
      <c r="C3032" s="14">
        <v>1</v>
      </c>
      <c r="D3032" s="86">
        <v>0.88464360171385836</v>
      </c>
      <c r="E3032" s="86"/>
      <c r="F3032" s="14"/>
    </row>
    <row r="3033" spans="1:6" x14ac:dyDescent="0.25">
      <c r="A3033" s="86">
        <v>3032</v>
      </c>
      <c r="B3033" s="87">
        <v>38.116161244368413</v>
      </c>
      <c r="C3033" s="14">
        <v>2</v>
      </c>
      <c r="D3033" s="86">
        <v>0.81028800934672607</v>
      </c>
      <c r="E3033" s="86"/>
      <c r="F3033" s="14"/>
    </row>
    <row r="3034" spans="1:6" x14ac:dyDescent="0.25">
      <c r="A3034" s="86">
        <v>3033</v>
      </c>
      <c r="B3034" s="87">
        <v>38.344649050821317</v>
      </c>
      <c r="C3034" s="14">
        <v>3</v>
      </c>
      <c r="D3034" s="86">
        <v>0.18186200976120326</v>
      </c>
      <c r="E3034" s="86"/>
      <c r="F3034" s="14"/>
    </row>
    <row r="3035" spans="1:6" x14ac:dyDescent="0.25">
      <c r="A3035" s="86">
        <v>3034</v>
      </c>
      <c r="B3035" s="87">
        <v>44.303817498410353</v>
      </c>
      <c r="C3035" s="14">
        <v>3</v>
      </c>
      <c r="D3035" s="86">
        <v>0.6576879044448477</v>
      </c>
      <c r="E3035" s="86"/>
      <c r="F3035" s="14"/>
    </row>
    <row r="3036" spans="1:6" x14ac:dyDescent="0.25">
      <c r="A3036" s="86">
        <v>3035</v>
      </c>
      <c r="B3036" s="87">
        <v>45.431255552437506</v>
      </c>
      <c r="C3036" s="14">
        <v>4</v>
      </c>
      <c r="D3036" s="86">
        <v>0.67285034000746502</v>
      </c>
      <c r="E3036" s="86"/>
      <c r="F3036" s="14"/>
    </row>
    <row r="3037" spans="1:6" x14ac:dyDescent="0.25">
      <c r="A3037" s="86">
        <v>3036</v>
      </c>
      <c r="B3037" s="87">
        <v>44.178375441668322</v>
      </c>
      <c r="C3037" s="14">
        <v>2</v>
      </c>
      <c r="D3037" s="86">
        <v>0.65263885780665509</v>
      </c>
      <c r="E3037" s="86"/>
      <c r="F3037" s="14"/>
    </row>
    <row r="3038" spans="1:6" x14ac:dyDescent="0.25">
      <c r="A3038" s="86">
        <v>3037</v>
      </c>
      <c r="B3038" s="87">
        <v>37.727954799600411</v>
      </c>
      <c r="C3038" s="14">
        <v>4</v>
      </c>
      <c r="D3038" s="86">
        <v>0.29529852135138923</v>
      </c>
      <c r="E3038" s="86"/>
      <c r="F3038" s="14"/>
    </row>
    <row r="3039" spans="1:6" x14ac:dyDescent="0.25">
      <c r="A3039" s="86">
        <v>3038</v>
      </c>
      <c r="B3039" s="87">
        <v>50.52611413190607</v>
      </c>
      <c r="C3039" s="14">
        <v>2</v>
      </c>
      <c r="D3039" s="86">
        <v>0.94222003093539308</v>
      </c>
      <c r="E3039" s="86"/>
      <c r="F3039" s="14"/>
    </row>
    <row r="3040" spans="1:6" x14ac:dyDescent="0.25">
      <c r="A3040" s="86">
        <v>3039</v>
      </c>
      <c r="B3040" s="87">
        <v>50.860899131628685</v>
      </c>
      <c r="C3040" s="14">
        <v>2</v>
      </c>
      <c r="D3040" s="86">
        <v>0.62141035465402839</v>
      </c>
      <c r="E3040" s="86"/>
      <c r="F3040" s="14"/>
    </row>
    <row r="3041" spans="1:6" x14ac:dyDescent="0.25">
      <c r="A3041" s="86">
        <v>3040</v>
      </c>
      <c r="B3041" s="87">
        <v>38.223504356545163</v>
      </c>
      <c r="C3041" s="14">
        <v>2</v>
      </c>
      <c r="D3041" s="86">
        <v>0.66256441847752678</v>
      </c>
      <c r="E3041" s="86"/>
      <c r="F3041" s="14"/>
    </row>
    <row r="3042" spans="1:6" x14ac:dyDescent="0.25">
      <c r="A3042" s="86">
        <v>3041</v>
      </c>
      <c r="B3042" s="87">
        <v>37.223071553278714</v>
      </c>
      <c r="C3042" s="14">
        <v>5</v>
      </c>
      <c r="D3042" s="86">
        <v>0.56863418430810098</v>
      </c>
      <c r="E3042" s="86"/>
      <c r="F3042" s="14"/>
    </row>
    <row r="3043" spans="1:6" x14ac:dyDescent="0.25">
      <c r="A3043" s="86">
        <v>3042</v>
      </c>
      <c r="B3043" s="87">
        <v>45.161755219276529</v>
      </c>
      <c r="C3043" s="14">
        <v>2</v>
      </c>
      <c r="D3043" s="86">
        <v>0.27009752700114764</v>
      </c>
      <c r="E3043" s="86"/>
      <c r="F3043" s="14"/>
    </row>
    <row r="3044" spans="1:6" x14ac:dyDescent="0.25">
      <c r="A3044" s="86">
        <v>3043</v>
      </c>
      <c r="B3044" s="87">
        <v>41.283726654335624</v>
      </c>
      <c r="C3044" s="14">
        <v>2</v>
      </c>
      <c r="D3044" s="86">
        <v>0.26917705488180488</v>
      </c>
      <c r="E3044" s="86"/>
      <c r="F3044" s="14"/>
    </row>
    <row r="3045" spans="1:6" x14ac:dyDescent="0.25">
      <c r="A3045" s="86">
        <v>3044</v>
      </c>
      <c r="B3045" s="87">
        <v>37.737288488977356</v>
      </c>
      <c r="C3045" s="14">
        <v>2</v>
      </c>
      <c r="D3045" s="86">
        <v>0.40201358899835216</v>
      </c>
      <c r="E3045" s="86"/>
      <c r="F3045" s="14"/>
    </row>
    <row r="3046" spans="1:6" x14ac:dyDescent="0.25">
      <c r="A3046" s="86">
        <v>3045</v>
      </c>
      <c r="B3046" s="87">
        <v>36.423671185155399</v>
      </c>
      <c r="C3046" s="14">
        <v>2</v>
      </c>
      <c r="D3046" s="86">
        <v>0.90436513886318237</v>
      </c>
      <c r="E3046" s="86"/>
      <c r="F3046" s="14"/>
    </row>
    <row r="3047" spans="1:6" x14ac:dyDescent="0.25">
      <c r="A3047" s="86">
        <v>3046</v>
      </c>
      <c r="B3047" s="87">
        <v>37.342215359210968</v>
      </c>
      <c r="C3047" s="14">
        <v>4</v>
      </c>
      <c r="D3047" s="86">
        <v>0.4036339826261226</v>
      </c>
      <c r="E3047" s="86"/>
      <c r="F3047" s="14"/>
    </row>
    <row r="3048" spans="1:6" x14ac:dyDescent="0.25">
      <c r="A3048" s="86">
        <v>3047</v>
      </c>
      <c r="B3048" s="87">
        <v>44.88072704077058</v>
      </c>
      <c r="C3048" s="14">
        <v>2</v>
      </c>
      <c r="D3048" s="86">
        <v>4.5052557613033062E-2</v>
      </c>
      <c r="E3048" s="86"/>
      <c r="F3048" s="14"/>
    </row>
    <row r="3049" spans="1:6" x14ac:dyDescent="0.25">
      <c r="A3049" s="86">
        <v>3048</v>
      </c>
      <c r="B3049" s="87">
        <v>51.551182872906793</v>
      </c>
      <c r="C3049" s="14">
        <v>3</v>
      </c>
      <c r="D3049" s="86">
        <v>0.80790685258192418</v>
      </c>
      <c r="E3049" s="86"/>
      <c r="F3049" s="14"/>
    </row>
    <row r="3050" spans="1:6" x14ac:dyDescent="0.25">
      <c r="A3050" s="86">
        <v>3049</v>
      </c>
      <c r="B3050" s="87">
        <v>46.445194352025283</v>
      </c>
      <c r="C3050" s="14">
        <v>1</v>
      </c>
      <c r="D3050" s="86">
        <v>0.14117654299409121</v>
      </c>
      <c r="E3050" s="86"/>
      <c r="F3050" s="14"/>
    </row>
    <row r="3051" spans="1:6" x14ac:dyDescent="0.25">
      <c r="A3051" s="86">
        <v>3050</v>
      </c>
      <c r="B3051" s="87">
        <v>46.054424269066658</v>
      </c>
      <c r="C3051" s="14">
        <v>4</v>
      </c>
      <c r="D3051" s="86">
        <v>0.10473564436969396</v>
      </c>
      <c r="E3051" s="86"/>
      <c r="F3051" s="14"/>
    </row>
    <row r="3052" spans="1:6" x14ac:dyDescent="0.25">
      <c r="A3052" s="86">
        <v>3051</v>
      </c>
      <c r="B3052" s="87">
        <v>43.502097918797517</v>
      </c>
      <c r="C3052" s="14">
        <v>2</v>
      </c>
      <c r="D3052" s="86">
        <v>0.55283921831322314</v>
      </c>
      <c r="E3052" s="86"/>
      <c r="F3052" s="14"/>
    </row>
    <row r="3053" spans="1:6" x14ac:dyDescent="0.25">
      <c r="A3053" s="86">
        <v>3052</v>
      </c>
      <c r="B3053" s="87">
        <v>48.718425200029742</v>
      </c>
      <c r="C3053" s="14">
        <v>2</v>
      </c>
      <c r="D3053" s="86">
        <v>0.18901745165220729</v>
      </c>
      <c r="E3053" s="86"/>
      <c r="F3053" s="14"/>
    </row>
    <row r="3054" spans="1:6" x14ac:dyDescent="0.25">
      <c r="A3054" s="86">
        <v>3053</v>
      </c>
      <c r="B3054" s="87">
        <v>38.141365616291296</v>
      </c>
      <c r="C3054" s="14">
        <v>5</v>
      </c>
      <c r="D3054" s="86">
        <v>0.47837130549468276</v>
      </c>
      <c r="E3054" s="86"/>
      <c r="F3054" s="14"/>
    </row>
    <row r="3055" spans="1:6" x14ac:dyDescent="0.25">
      <c r="A3055" s="86">
        <v>3054</v>
      </c>
      <c r="B3055" s="87">
        <v>37.666200109350029</v>
      </c>
      <c r="C3055" s="14">
        <v>4</v>
      </c>
      <c r="D3055" s="86">
        <v>0.45100908375464477</v>
      </c>
      <c r="E3055" s="86"/>
      <c r="F3055" s="14"/>
    </row>
    <row r="3056" spans="1:6" x14ac:dyDescent="0.25">
      <c r="A3056" s="86">
        <v>3055</v>
      </c>
      <c r="B3056" s="87">
        <v>51.456959221803118</v>
      </c>
      <c r="C3056" s="14">
        <v>4</v>
      </c>
      <c r="D3056" s="86">
        <v>0.76726683335141965</v>
      </c>
      <c r="E3056" s="86"/>
      <c r="F3056" s="14"/>
    </row>
    <row r="3057" spans="1:6" x14ac:dyDescent="0.25">
      <c r="A3057" s="86">
        <v>3056</v>
      </c>
      <c r="B3057" s="87">
        <v>48.766503363702213</v>
      </c>
      <c r="C3057" s="14">
        <v>3</v>
      </c>
      <c r="D3057" s="86">
        <v>0.51689137281029429</v>
      </c>
      <c r="E3057" s="86"/>
      <c r="F3057" s="14"/>
    </row>
    <row r="3058" spans="1:6" x14ac:dyDescent="0.25">
      <c r="A3058" s="86">
        <v>3057</v>
      </c>
      <c r="B3058" s="87">
        <v>46.920888502761954</v>
      </c>
      <c r="C3058" s="14">
        <v>5</v>
      </c>
      <c r="D3058" s="86">
        <v>0.89617832135317743</v>
      </c>
      <c r="E3058" s="86"/>
      <c r="F3058" s="14"/>
    </row>
    <row r="3059" spans="1:6" x14ac:dyDescent="0.25">
      <c r="A3059" s="86">
        <v>3058</v>
      </c>
      <c r="B3059" s="87">
        <v>40.848738075845176</v>
      </c>
      <c r="C3059" s="14">
        <v>5</v>
      </c>
      <c r="D3059" s="86">
        <v>0.1771498256888725</v>
      </c>
      <c r="E3059" s="86"/>
      <c r="F3059" s="14"/>
    </row>
    <row r="3060" spans="1:6" x14ac:dyDescent="0.25">
      <c r="A3060" s="86">
        <v>3059</v>
      </c>
      <c r="B3060" s="87">
        <v>43.029262992029544</v>
      </c>
      <c r="C3060" s="14">
        <v>4</v>
      </c>
      <c r="D3060" s="86">
        <v>0.26269417454964406</v>
      </c>
      <c r="E3060" s="86"/>
      <c r="F3060" s="14"/>
    </row>
    <row r="3061" spans="1:6" x14ac:dyDescent="0.25">
      <c r="A3061" s="86">
        <v>3060</v>
      </c>
      <c r="B3061" s="87">
        <v>37.103620792884612</v>
      </c>
      <c r="C3061" s="14">
        <v>1</v>
      </c>
      <c r="D3061" s="86">
        <v>0.45528062075139863</v>
      </c>
      <c r="E3061" s="86"/>
      <c r="F3061" s="14"/>
    </row>
    <row r="3062" spans="1:6" x14ac:dyDescent="0.25">
      <c r="A3062" s="86">
        <v>3061</v>
      </c>
      <c r="B3062" s="87">
        <v>45.06180743589357</v>
      </c>
      <c r="C3062" s="14">
        <v>4</v>
      </c>
      <c r="D3062" s="86">
        <v>0.10110041493844779</v>
      </c>
      <c r="E3062" s="86"/>
      <c r="F3062" s="14"/>
    </row>
    <row r="3063" spans="1:6" x14ac:dyDescent="0.25">
      <c r="A3063" s="86">
        <v>3062</v>
      </c>
      <c r="B3063" s="87">
        <v>35.980428942246363</v>
      </c>
      <c r="C3063" s="14">
        <v>4</v>
      </c>
      <c r="D3063" s="86">
        <v>0.98350269373239596</v>
      </c>
      <c r="E3063" s="86"/>
      <c r="F3063" s="14"/>
    </row>
    <row r="3064" spans="1:6" x14ac:dyDescent="0.25">
      <c r="A3064" s="86">
        <v>3063</v>
      </c>
      <c r="B3064" s="87">
        <v>43.534402033736114</v>
      </c>
      <c r="C3064" s="14">
        <v>2</v>
      </c>
      <c r="D3064" s="86">
        <v>0.62223395082579469</v>
      </c>
      <c r="E3064" s="86"/>
      <c r="F3064" s="14"/>
    </row>
    <row r="3065" spans="1:6" x14ac:dyDescent="0.25">
      <c r="A3065" s="86">
        <v>3064</v>
      </c>
      <c r="B3065" s="87">
        <v>50.49655555409845</v>
      </c>
      <c r="C3065" s="14">
        <v>5</v>
      </c>
      <c r="D3065" s="86">
        <v>0.1313693548997158</v>
      </c>
      <c r="E3065" s="86"/>
      <c r="F3065" s="14"/>
    </row>
    <row r="3066" spans="1:6" x14ac:dyDescent="0.25">
      <c r="A3066" s="86">
        <v>3065</v>
      </c>
      <c r="B3066" s="87">
        <v>36.240339790645521</v>
      </c>
      <c r="C3066" s="14">
        <v>2</v>
      </c>
      <c r="D3066" s="86">
        <v>0.89516096068601259</v>
      </c>
      <c r="E3066" s="86"/>
      <c r="F3066" s="14"/>
    </row>
    <row r="3067" spans="1:6" x14ac:dyDescent="0.25">
      <c r="A3067" s="86">
        <v>3066</v>
      </c>
      <c r="B3067" s="87">
        <v>38.103826222475618</v>
      </c>
      <c r="C3067" s="14">
        <v>4</v>
      </c>
      <c r="D3067" s="86">
        <v>0.21230778565701902</v>
      </c>
      <c r="E3067" s="86"/>
      <c r="F3067" s="14"/>
    </row>
    <row r="3068" spans="1:6" x14ac:dyDescent="0.25">
      <c r="A3068" s="86">
        <v>3067</v>
      </c>
      <c r="B3068" s="87">
        <v>39.648773503693519</v>
      </c>
      <c r="C3068" s="14">
        <v>5</v>
      </c>
      <c r="D3068" s="86">
        <v>0.77931901135870951</v>
      </c>
      <c r="E3068" s="86"/>
      <c r="F3068" s="14"/>
    </row>
    <row r="3069" spans="1:6" x14ac:dyDescent="0.25">
      <c r="A3069" s="86">
        <v>3068</v>
      </c>
      <c r="B3069" s="87">
        <v>46.137819248877349</v>
      </c>
      <c r="C3069" s="14">
        <v>4</v>
      </c>
      <c r="D3069" s="86">
        <v>0.93537410379482211</v>
      </c>
      <c r="E3069" s="86"/>
      <c r="F3069" s="14"/>
    </row>
    <row r="3070" spans="1:6" x14ac:dyDescent="0.25">
      <c r="A3070" s="86">
        <v>3069</v>
      </c>
      <c r="B3070" s="87">
        <v>42.730789568275213</v>
      </c>
      <c r="C3070" s="14">
        <v>4</v>
      </c>
      <c r="D3070" s="86">
        <v>0.64970550456945553</v>
      </c>
      <c r="E3070" s="86"/>
      <c r="F3070" s="14"/>
    </row>
    <row r="3071" spans="1:6" x14ac:dyDescent="0.25">
      <c r="A3071" s="86">
        <v>3070</v>
      </c>
      <c r="B3071" s="87">
        <v>48.530478119908366</v>
      </c>
      <c r="C3071" s="14">
        <v>2</v>
      </c>
      <c r="D3071" s="86">
        <v>0.63769634225636374</v>
      </c>
      <c r="E3071" s="86"/>
      <c r="F3071" s="14"/>
    </row>
    <row r="3072" spans="1:6" x14ac:dyDescent="0.25">
      <c r="A3072" s="86">
        <v>3071</v>
      </c>
      <c r="B3072" s="87">
        <v>46.337356702104444</v>
      </c>
      <c r="C3072" s="14">
        <v>5</v>
      </c>
      <c r="D3072" s="86">
        <v>0.91091620752496438</v>
      </c>
      <c r="E3072" s="86"/>
      <c r="F3072" s="14"/>
    </row>
    <row r="3073" spans="1:6" x14ac:dyDescent="0.25">
      <c r="A3073" s="86">
        <v>3072</v>
      </c>
      <c r="B3073" s="87">
        <v>46.814614046859788</v>
      </c>
      <c r="C3073" s="14">
        <v>2</v>
      </c>
      <c r="D3073" s="86">
        <v>7.666198226366383E-3</v>
      </c>
      <c r="E3073" s="86"/>
      <c r="F3073" s="14"/>
    </row>
    <row r="3074" spans="1:6" x14ac:dyDescent="0.25">
      <c r="A3074" s="86">
        <v>3073</v>
      </c>
      <c r="B3074" s="87">
        <v>46.263164671807317</v>
      </c>
      <c r="C3074" s="14">
        <v>4</v>
      </c>
      <c r="D3074" s="86">
        <v>0.56241613219400843</v>
      </c>
      <c r="E3074" s="86"/>
      <c r="F3074" s="14"/>
    </row>
    <row r="3075" spans="1:6" x14ac:dyDescent="0.25">
      <c r="A3075" s="86">
        <v>3074</v>
      </c>
      <c r="B3075" s="87">
        <v>50.71171926317038</v>
      </c>
      <c r="C3075" s="14">
        <v>2</v>
      </c>
      <c r="D3075" s="86">
        <v>0.3494988199217921</v>
      </c>
      <c r="E3075" s="86"/>
      <c r="F3075" s="14"/>
    </row>
    <row r="3076" spans="1:6" x14ac:dyDescent="0.25">
      <c r="A3076" s="86">
        <v>3075</v>
      </c>
      <c r="B3076" s="87">
        <v>47.346748028183356</v>
      </c>
      <c r="C3076" s="14">
        <v>4</v>
      </c>
      <c r="D3076" s="86">
        <v>0.52073220291528888</v>
      </c>
      <c r="E3076" s="86"/>
      <c r="F3076" s="14"/>
    </row>
    <row r="3077" spans="1:6" x14ac:dyDescent="0.25">
      <c r="A3077" s="86">
        <v>3076</v>
      </c>
      <c r="B3077" s="87">
        <v>37.400593550381018</v>
      </c>
      <c r="C3077" s="14">
        <v>3</v>
      </c>
      <c r="D3077" s="86">
        <v>0.47548563802969313</v>
      </c>
      <c r="E3077" s="86"/>
      <c r="F3077" s="14"/>
    </row>
    <row r="3078" spans="1:6" x14ac:dyDescent="0.25">
      <c r="A3078" s="86">
        <v>3077</v>
      </c>
      <c r="B3078" s="87">
        <v>52.504537956672721</v>
      </c>
      <c r="C3078" s="14">
        <v>2</v>
      </c>
      <c r="D3078" s="86">
        <v>0.88020348300623918</v>
      </c>
      <c r="E3078" s="86"/>
      <c r="F3078" s="14"/>
    </row>
    <row r="3079" spans="1:6" x14ac:dyDescent="0.25">
      <c r="A3079" s="86">
        <v>3078</v>
      </c>
      <c r="B3079" s="87">
        <v>45.669122523002443</v>
      </c>
      <c r="C3079" s="14">
        <v>5</v>
      </c>
      <c r="D3079" s="86">
        <v>0.87153153324790544</v>
      </c>
      <c r="E3079" s="86"/>
      <c r="F3079" s="14"/>
    </row>
    <row r="3080" spans="1:6" x14ac:dyDescent="0.25">
      <c r="A3080" s="86">
        <v>3079</v>
      </c>
      <c r="B3080" s="87">
        <v>38.739119640347781</v>
      </c>
      <c r="C3080" s="14">
        <v>2</v>
      </c>
      <c r="D3080" s="86">
        <v>0.93306630204159202</v>
      </c>
      <c r="E3080" s="86"/>
      <c r="F3080" s="14"/>
    </row>
    <row r="3081" spans="1:6" x14ac:dyDescent="0.25">
      <c r="A3081" s="86">
        <v>3080</v>
      </c>
      <c r="B3081" s="87">
        <v>47.435059963725507</v>
      </c>
      <c r="C3081" s="14">
        <v>4</v>
      </c>
      <c r="D3081" s="86">
        <v>0.7579312411383885</v>
      </c>
      <c r="E3081" s="86"/>
      <c r="F3081" s="14"/>
    </row>
    <row r="3082" spans="1:6" x14ac:dyDescent="0.25">
      <c r="A3082" s="86">
        <v>3081</v>
      </c>
      <c r="B3082" s="87">
        <v>45.328022219444392</v>
      </c>
      <c r="C3082" s="14">
        <v>5</v>
      </c>
      <c r="D3082" s="86">
        <v>9.8302816679086136E-2</v>
      </c>
      <c r="E3082" s="86"/>
      <c r="F3082" s="14"/>
    </row>
    <row r="3083" spans="1:6" x14ac:dyDescent="0.25">
      <c r="A3083" s="86">
        <v>3082</v>
      </c>
      <c r="B3083" s="87">
        <v>42.116647586561157</v>
      </c>
      <c r="C3083" s="14">
        <v>4</v>
      </c>
      <c r="D3083" s="86">
        <v>0.68791225746833218</v>
      </c>
      <c r="E3083" s="86"/>
      <c r="F3083" s="14"/>
    </row>
    <row r="3084" spans="1:6" x14ac:dyDescent="0.25">
      <c r="A3084" s="86">
        <v>3083</v>
      </c>
      <c r="B3084" s="87">
        <v>37.933557445619954</v>
      </c>
      <c r="C3084" s="14">
        <v>5</v>
      </c>
      <c r="D3084" s="86">
        <v>0.79722765686979324</v>
      </c>
      <c r="E3084" s="86"/>
      <c r="F3084" s="14"/>
    </row>
    <row r="3085" spans="1:6" x14ac:dyDescent="0.25">
      <c r="A3085" s="86">
        <v>3084</v>
      </c>
      <c r="B3085" s="87">
        <v>42.42133968033886</v>
      </c>
      <c r="C3085" s="14">
        <v>3</v>
      </c>
      <c r="D3085" s="86">
        <v>0.342875783736594</v>
      </c>
      <c r="E3085" s="86"/>
      <c r="F3085" s="14"/>
    </row>
    <row r="3086" spans="1:6" x14ac:dyDescent="0.25">
      <c r="A3086" s="86">
        <v>3085</v>
      </c>
      <c r="B3086" s="87">
        <v>41.861301264696522</v>
      </c>
      <c r="C3086" s="14">
        <v>2</v>
      </c>
      <c r="D3086" s="86">
        <v>0.65347988874865748</v>
      </c>
      <c r="E3086" s="86"/>
      <c r="F3086" s="14"/>
    </row>
    <row r="3087" spans="1:6" x14ac:dyDescent="0.25">
      <c r="A3087" s="86">
        <v>3086</v>
      </c>
      <c r="B3087" s="87">
        <v>45.024802370215184</v>
      </c>
      <c r="C3087" s="14">
        <v>4</v>
      </c>
      <c r="D3087" s="86">
        <v>0.88460914956605707</v>
      </c>
      <c r="E3087" s="86"/>
      <c r="F3087" s="14"/>
    </row>
    <row r="3088" spans="1:6" x14ac:dyDescent="0.25">
      <c r="A3088" s="86">
        <v>3087</v>
      </c>
      <c r="B3088" s="87">
        <v>35.269363247032743</v>
      </c>
      <c r="C3088" s="14">
        <v>5</v>
      </c>
      <c r="D3088" s="86">
        <v>0.24114539576966398</v>
      </c>
      <c r="E3088" s="86"/>
      <c r="F3088" s="14"/>
    </row>
    <row r="3089" spans="1:6" x14ac:dyDescent="0.25">
      <c r="A3089" s="86">
        <v>3088</v>
      </c>
      <c r="B3089" s="87">
        <v>42.211291878964403</v>
      </c>
      <c r="C3089" s="14">
        <v>4</v>
      </c>
      <c r="D3089" s="86">
        <v>0.24751027901285994</v>
      </c>
      <c r="E3089" s="86"/>
      <c r="F3089" s="14"/>
    </row>
    <row r="3090" spans="1:6" x14ac:dyDescent="0.25">
      <c r="A3090" s="86">
        <v>3089</v>
      </c>
      <c r="B3090" s="87">
        <v>52.451514415559359</v>
      </c>
      <c r="C3090" s="14">
        <v>4</v>
      </c>
      <c r="D3090" s="86">
        <v>0.98851043530783522</v>
      </c>
      <c r="E3090" s="86"/>
      <c r="F3090" s="14"/>
    </row>
    <row r="3091" spans="1:6" x14ac:dyDescent="0.25">
      <c r="A3091" s="86">
        <v>3090</v>
      </c>
      <c r="B3091" s="87">
        <v>44.377964053972391</v>
      </c>
      <c r="C3091" s="14">
        <v>1</v>
      </c>
      <c r="D3091" s="86">
        <v>0.95928944589245502</v>
      </c>
      <c r="E3091" s="86"/>
      <c r="F3091" s="14"/>
    </row>
    <row r="3092" spans="1:6" x14ac:dyDescent="0.25">
      <c r="A3092" s="86">
        <v>3091</v>
      </c>
      <c r="B3092" s="87">
        <v>47.367996098153526</v>
      </c>
      <c r="C3092" s="14">
        <v>5</v>
      </c>
      <c r="D3092" s="86">
        <v>0.45576994552214767</v>
      </c>
      <c r="E3092" s="86"/>
      <c r="F3092" s="14"/>
    </row>
    <row r="3093" spans="1:6" x14ac:dyDescent="0.25">
      <c r="A3093" s="86">
        <v>3092</v>
      </c>
      <c r="B3093" s="87">
        <v>48.948061243543634</v>
      </c>
      <c r="C3093" s="14">
        <v>4</v>
      </c>
      <c r="D3093" s="86">
        <v>0.14073560794582951</v>
      </c>
      <c r="E3093" s="86"/>
      <c r="F3093" s="14"/>
    </row>
    <row r="3094" spans="1:6" x14ac:dyDescent="0.25">
      <c r="A3094" s="86">
        <v>3093</v>
      </c>
      <c r="B3094" s="87">
        <v>36.138794707192574</v>
      </c>
      <c r="C3094" s="14">
        <v>2</v>
      </c>
      <c r="D3094" s="86">
        <v>0.92439115743490907</v>
      </c>
      <c r="E3094" s="86"/>
      <c r="F3094" s="14"/>
    </row>
    <row r="3095" spans="1:6" x14ac:dyDescent="0.25">
      <c r="A3095" s="86">
        <v>3094</v>
      </c>
      <c r="B3095" s="87">
        <v>41.19908680365188</v>
      </c>
      <c r="C3095" s="14">
        <v>2</v>
      </c>
      <c r="D3095" s="86">
        <v>0.7335311910247525</v>
      </c>
      <c r="E3095" s="86"/>
      <c r="F3095" s="14"/>
    </row>
    <row r="3096" spans="1:6" x14ac:dyDescent="0.25">
      <c r="A3096" s="86">
        <v>3095</v>
      </c>
      <c r="B3096" s="87">
        <v>50.480116437363904</v>
      </c>
      <c r="C3096" s="14">
        <v>4</v>
      </c>
      <c r="D3096" s="86">
        <v>0.20325320969096872</v>
      </c>
      <c r="E3096" s="86"/>
      <c r="F3096" s="14"/>
    </row>
    <row r="3097" spans="1:6" x14ac:dyDescent="0.25">
      <c r="A3097" s="86">
        <v>3096</v>
      </c>
      <c r="B3097" s="87">
        <v>41.837347447988577</v>
      </c>
      <c r="C3097" s="14">
        <v>4</v>
      </c>
      <c r="D3097" s="86">
        <v>0.4432185159691846</v>
      </c>
      <c r="E3097" s="86"/>
      <c r="F3097" s="14"/>
    </row>
    <row r="3098" spans="1:6" x14ac:dyDescent="0.25">
      <c r="A3098" s="86">
        <v>3097</v>
      </c>
      <c r="B3098" s="87">
        <v>46.264108272560406</v>
      </c>
      <c r="C3098" s="14">
        <v>1</v>
      </c>
      <c r="D3098" s="86">
        <v>0.16953462078078119</v>
      </c>
      <c r="E3098" s="86"/>
      <c r="F3098" s="14"/>
    </row>
    <row r="3099" spans="1:6" x14ac:dyDescent="0.25">
      <c r="A3099" s="86">
        <v>3098</v>
      </c>
      <c r="B3099" s="87">
        <v>49.796085472160485</v>
      </c>
      <c r="C3099" s="14">
        <v>4</v>
      </c>
      <c r="D3099" s="86">
        <v>0.33086212035094775</v>
      </c>
      <c r="E3099" s="86"/>
      <c r="F3099" s="14"/>
    </row>
    <row r="3100" spans="1:6" x14ac:dyDescent="0.25">
      <c r="A3100" s="86">
        <v>3099</v>
      </c>
      <c r="B3100" s="87">
        <v>29.305556376464665</v>
      </c>
      <c r="C3100" s="14">
        <v>5</v>
      </c>
      <c r="D3100" s="86">
        <v>0.67785233313773552</v>
      </c>
      <c r="E3100" s="86"/>
      <c r="F3100" s="14"/>
    </row>
    <row r="3101" spans="1:6" x14ac:dyDescent="0.25">
      <c r="A3101" s="86">
        <v>3100</v>
      </c>
      <c r="B3101" s="87">
        <v>35.215839483833406</v>
      </c>
      <c r="C3101" s="14">
        <v>5</v>
      </c>
      <c r="D3101" s="86">
        <v>2.1585513120574107E-2</v>
      </c>
      <c r="E3101" s="86"/>
      <c r="F3101" s="14"/>
    </row>
    <row r="3102" spans="1:6" x14ac:dyDescent="0.25">
      <c r="A3102" s="86">
        <v>3101</v>
      </c>
      <c r="B3102" s="87">
        <v>33.530159266199917</v>
      </c>
      <c r="C3102" s="14">
        <v>2</v>
      </c>
      <c r="D3102" s="86">
        <v>0.60299356511697921</v>
      </c>
      <c r="E3102" s="86"/>
      <c r="F3102" s="14"/>
    </row>
    <row r="3103" spans="1:6" x14ac:dyDescent="0.25">
      <c r="A3103" s="86">
        <v>3102</v>
      </c>
      <c r="B3103" s="87">
        <v>47.991591140424134</v>
      </c>
      <c r="C3103" s="14">
        <v>1</v>
      </c>
      <c r="D3103" s="86">
        <v>0.57651875277109155</v>
      </c>
      <c r="E3103" s="86"/>
      <c r="F3103" s="14"/>
    </row>
    <row r="3104" spans="1:6" x14ac:dyDescent="0.25">
      <c r="A3104" s="86">
        <v>3103</v>
      </c>
      <c r="B3104" s="87">
        <v>40.81807105136977</v>
      </c>
      <c r="C3104" s="14">
        <v>2</v>
      </c>
      <c r="D3104" s="86">
        <v>0.16167970470571236</v>
      </c>
      <c r="E3104" s="86"/>
      <c r="F3104" s="14"/>
    </row>
    <row r="3105" spans="1:6" x14ac:dyDescent="0.25">
      <c r="A3105" s="86">
        <v>3104</v>
      </c>
      <c r="B3105" s="87">
        <v>40.754366631852463</v>
      </c>
      <c r="C3105" s="14">
        <v>4</v>
      </c>
      <c r="D3105" s="86">
        <v>0.31714275113397961</v>
      </c>
      <c r="E3105" s="86"/>
      <c r="F3105" s="14"/>
    </row>
    <row r="3106" spans="1:6" x14ac:dyDescent="0.25">
      <c r="A3106" s="86">
        <v>3105</v>
      </c>
      <c r="B3106" s="87">
        <v>45.768456397461705</v>
      </c>
      <c r="C3106" s="14">
        <v>5</v>
      </c>
      <c r="D3106" s="86">
        <v>0.1761653850763788</v>
      </c>
      <c r="E3106" s="86"/>
      <c r="F3106" s="14"/>
    </row>
    <row r="3107" spans="1:6" x14ac:dyDescent="0.25">
      <c r="A3107" s="86">
        <v>3106</v>
      </c>
      <c r="B3107" s="87">
        <v>44.845467068051221</v>
      </c>
      <c r="C3107" s="14">
        <v>2</v>
      </c>
      <c r="D3107" s="86">
        <v>0.79272791151330713</v>
      </c>
      <c r="E3107" s="86"/>
      <c r="F3107" s="14"/>
    </row>
    <row r="3108" spans="1:6" x14ac:dyDescent="0.25">
      <c r="A3108" s="86">
        <v>3107</v>
      </c>
      <c r="B3108" s="87">
        <v>43.142881617648527</v>
      </c>
      <c r="C3108" s="14">
        <v>5</v>
      </c>
      <c r="D3108" s="86">
        <v>0.45816760874950702</v>
      </c>
      <c r="E3108" s="86"/>
      <c r="F3108" s="14"/>
    </row>
    <row r="3109" spans="1:6" x14ac:dyDescent="0.25">
      <c r="A3109" s="86">
        <v>3108</v>
      </c>
      <c r="B3109" s="87">
        <v>44.764635726431152</v>
      </c>
      <c r="C3109" s="14">
        <v>4</v>
      </c>
      <c r="D3109" s="86">
        <v>0.97327379742644127</v>
      </c>
      <c r="E3109" s="86"/>
      <c r="F3109" s="14"/>
    </row>
    <row r="3110" spans="1:6" x14ac:dyDescent="0.25">
      <c r="A3110" s="86">
        <v>3109</v>
      </c>
      <c r="B3110" s="87">
        <v>41.265047906897962</v>
      </c>
      <c r="C3110" s="14">
        <v>1</v>
      </c>
      <c r="D3110" s="86">
        <v>0.23862538287534341</v>
      </c>
      <c r="E3110" s="86"/>
      <c r="F3110" s="14"/>
    </row>
    <row r="3111" spans="1:6" x14ac:dyDescent="0.25">
      <c r="A3111" s="86">
        <v>3110</v>
      </c>
      <c r="B3111" s="87">
        <v>42.872426315050689</v>
      </c>
      <c r="C3111" s="14">
        <v>2</v>
      </c>
      <c r="D3111" s="86">
        <v>0.14956940543750163</v>
      </c>
      <c r="E3111" s="86"/>
      <c r="F3111" s="14"/>
    </row>
    <row r="3112" spans="1:6" x14ac:dyDescent="0.25">
      <c r="A3112" s="86">
        <v>3111</v>
      </c>
      <c r="B3112" s="87">
        <v>47.803121100849239</v>
      </c>
      <c r="C3112" s="14">
        <v>5</v>
      </c>
      <c r="D3112" s="86">
        <v>0.89841995646904471</v>
      </c>
      <c r="E3112" s="86"/>
      <c r="F3112" s="14"/>
    </row>
    <row r="3113" spans="1:6" x14ac:dyDescent="0.25">
      <c r="A3113" s="86">
        <v>3112</v>
      </c>
      <c r="B3113" s="87">
        <v>39.694600667979103</v>
      </c>
      <c r="C3113" s="14">
        <v>2</v>
      </c>
      <c r="D3113" s="86">
        <v>0.53145632671241205</v>
      </c>
      <c r="E3113" s="86"/>
      <c r="F3113" s="14"/>
    </row>
    <row r="3114" spans="1:6" x14ac:dyDescent="0.25">
      <c r="A3114" s="86">
        <v>3113</v>
      </c>
      <c r="B3114" s="87">
        <v>40.840768628520891</v>
      </c>
      <c r="C3114" s="14">
        <v>5</v>
      </c>
      <c r="D3114" s="86">
        <v>0.88624933740669321</v>
      </c>
      <c r="E3114" s="86"/>
      <c r="F3114" s="14"/>
    </row>
    <row r="3115" spans="1:6" x14ac:dyDescent="0.25">
      <c r="A3115" s="86">
        <v>3114</v>
      </c>
      <c r="B3115" s="87">
        <v>42.804686012794264</v>
      </c>
      <c r="C3115" s="14">
        <v>2</v>
      </c>
      <c r="D3115" s="86">
        <v>0.57005903052680496</v>
      </c>
      <c r="E3115" s="86"/>
      <c r="F3115" s="14"/>
    </row>
    <row r="3116" spans="1:6" x14ac:dyDescent="0.25">
      <c r="A3116" s="86">
        <v>3115</v>
      </c>
      <c r="B3116" s="87">
        <v>36.170035850198474</v>
      </c>
      <c r="C3116" s="14">
        <v>1</v>
      </c>
      <c r="D3116" s="86">
        <v>0.68726703248627963</v>
      </c>
      <c r="E3116" s="86"/>
      <c r="F3116" s="14"/>
    </row>
    <row r="3117" spans="1:6" x14ac:dyDescent="0.25">
      <c r="A3117" s="86">
        <v>3116</v>
      </c>
      <c r="B3117" s="87">
        <v>51.657116268295795</v>
      </c>
      <c r="C3117" s="14">
        <v>4</v>
      </c>
      <c r="D3117" s="86">
        <v>0.55948935257192212</v>
      </c>
      <c r="E3117" s="86"/>
      <c r="F3117" s="14"/>
    </row>
    <row r="3118" spans="1:6" x14ac:dyDescent="0.25">
      <c r="A3118" s="86">
        <v>3117</v>
      </c>
      <c r="B3118" s="87">
        <v>40.00620492149028</v>
      </c>
      <c r="C3118" s="14">
        <v>4</v>
      </c>
      <c r="D3118" s="86">
        <v>0.86638939640334323</v>
      </c>
      <c r="E3118" s="86"/>
      <c r="F3118" s="14"/>
    </row>
    <row r="3119" spans="1:6" x14ac:dyDescent="0.25">
      <c r="A3119" s="86">
        <v>3118</v>
      </c>
      <c r="B3119" s="87">
        <v>37.425581917312229</v>
      </c>
      <c r="C3119" s="14">
        <v>2</v>
      </c>
      <c r="D3119" s="86">
        <v>0.99740075304813036</v>
      </c>
      <c r="E3119" s="86"/>
      <c r="F3119" s="14"/>
    </row>
    <row r="3120" spans="1:6" x14ac:dyDescent="0.25">
      <c r="A3120" s="86">
        <v>3119</v>
      </c>
      <c r="B3120" s="87">
        <v>47.53053417004412</v>
      </c>
      <c r="C3120" s="14">
        <v>5</v>
      </c>
      <c r="D3120" s="86">
        <v>0.84596987481649211</v>
      </c>
      <c r="E3120" s="86"/>
      <c r="F3120" s="14"/>
    </row>
    <row r="3121" spans="1:6" x14ac:dyDescent="0.25">
      <c r="A3121" s="86">
        <v>3120</v>
      </c>
      <c r="B3121" s="87">
        <v>42.363922142947558</v>
      </c>
      <c r="C3121" s="14">
        <v>3</v>
      </c>
      <c r="D3121" s="86">
        <v>0.81543160009340365</v>
      </c>
      <c r="E3121" s="86"/>
      <c r="F3121" s="14"/>
    </row>
    <row r="3122" spans="1:6" x14ac:dyDescent="0.25">
      <c r="A3122" s="86">
        <v>3121</v>
      </c>
      <c r="B3122" s="87">
        <v>44.338275978923775</v>
      </c>
      <c r="C3122" s="14">
        <v>2</v>
      </c>
      <c r="D3122" s="86">
        <v>0.5145752181158636</v>
      </c>
      <c r="E3122" s="86"/>
      <c r="F3122" s="14"/>
    </row>
    <row r="3123" spans="1:6" x14ac:dyDescent="0.25">
      <c r="A3123" s="86">
        <v>3122</v>
      </c>
      <c r="B3123" s="87">
        <v>37.680365489330143</v>
      </c>
      <c r="C3123" s="14">
        <v>2</v>
      </c>
      <c r="D3123" s="86">
        <v>0.46859289035909701</v>
      </c>
      <c r="E3123" s="86"/>
      <c r="F3123" s="14"/>
    </row>
    <row r="3124" spans="1:6" x14ac:dyDescent="0.25">
      <c r="A3124" s="86">
        <v>3123</v>
      </c>
      <c r="B3124" s="87">
        <v>43.308676817439846</v>
      </c>
      <c r="C3124" s="14">
        <v>2</v>
      </c>
      <c r="D3124" s="86">
        <v>0.52069573657315527</v>
      </c>
      <c r="E3124" s="86"/>
      <c r="F3124" s="14"/>
    </row>
    <row r="3125" spans="1:6" x14ac:dyDescent="0.25">
      <c r="A3125" s="86">
        <v>3124</v>
      </c>
      <c r="B3125" s="87">
        <v>48.188098839425948</v>
      </c>
      <c r="C3125" s="14">
        <v>4</v>
      </c>
      <c r="D3125" s="86">
        <v>0.63240672828874356</v>
      </c>
      <c r="E3125" s="86"/>
      <c r="F3125" s="14"/>
    </row>
    <row r="3126" spans="1:6" x14ac:dyDescent="0.25">
      <c r="A3126" s="86">
        <v>3125</v>
      </c>
      <c r="B3126" s="87">
        <v>44.320842102359165</v>
      </c>
      <c r="C3126" s="14">
        <v>2</v>
      </c>
      <c r="D3126" s="86">
        <v>0.16576009285153304</v>
      </c>
      <c r="E3126" s="86"/>
      <c r="F3126" s="14"/>
    </row>
    <row r="3127" spans="1:6" x14ac:dyDescent="0.25">
      <c r="A3127" s="86">
        <v>3126</v>
      </c>
      <c r="B3127" s="87">
        <v>39.48463244739105</v>
      </c>
      <c r="C3127" s="14">
        <v>5</v>
      </c>
      <c r="D3127" s="86">
        <v>3.0761978271748314E-2</v>
      </c>
      <c r="E3127" s="86"/>
      <c r="F3127" s="14"/>
    </row>
    <row r="3128" spans="1:6" x14ac:dyDescent="0.25">
      <c r="A3128" s="86">
        <v>3127</v>
      </c>
      <c r="B3128" s="87">
        <v>48.425226845545694</v>
      </c>
      <c r="C3128" s="14">
        <v>4</v>
      </c>
      <c r="D3128" s="86">
        <v>0.62807932964131719</v>
      </c>
      <c r="E3128" s="86"/>
      <c r="F3128" s="14"/>
    </row>
    <row r="3129" spans="1:6" x14ac:dyDescent="0.25">
      <c r="A3129" s="86">
        <v>3128</v>
      </c>
      <c r="B3129" s="87">
        <v>39.324629591981648</v>
      </c>
      <c r="C3129" s="14">
        <v>4</v>
      </c>
      <c r="D3129" s="86">
        <v>0.97879954555448523</v>
      </c>
      <c r="E3129" s="86"/>
      <c r="F3129" s="14"/>
    </row>
    <row r="3130" spans="1:6" x14ac:dyDescent="0.25">
      <c r="A3130" s="86">
        <v>3129</v>
      </c>
      <c r="B3130" s="87">
        <v>42.560139940513182</v>
      </c>
      <c r="C3130" s="14">
        <v>2</v>
      </c>
      <c r="D3130" s="86">
        <v>0.47956667714209256</v>
      </c>
      <c r="E3130" s="86"/>
      <c r="F3130" s="14"/>
    </row>
    <row r="3131" spans="1:6" x14ac:dyDescent="0.25">
      <c r="A3131" s="86">
        <v>3130</v>
      </c>
      <c r="B3131" s="87">
        <v>37.298457295371918</v>
      </c>
      <c r="C3131" s="14">
        <v>4</v>
      </c>
      <c r="D3131" s="86">
        <v>0.44097659853947369</v>
      </c>
      <c r="E3131" s="86"/>
      <c r="F3131" s="14"/>
    </row>
    <row r="3132" spans="1:6" x14ac:dyDescent="0.25">
      <c r="A3132" s="86">
        <v>3131</v>
      </c>
      <c r="B3132" s="87">
        <v>41.233738551789429</v>
      </c>
      <c r="C3132" s="14">
        <v>1</v>
      </c>
      <c r="D3132" s="86">
        <v>0.37326895187323295</v>
      </c>
      <c r="E3132" s="86"/>
      <c r="F3132" s="14"/>
    </row>
    <row r="3133" spans="1:6" x14ac:dyDescent="0.25">
      <c r="A3133" s="86">
        <v>3132</v>
      </c>
      <c r="B3133" s="87">
        <v>43.721774995326996</v>
      </c>
      <c r="C3133" s="14">
        <v>2</v>
      </c>
      <c r="D3133" s="86">
        <v>0.29892213852004379</v>
      </c>
      <c r="E3133" s="86"/>
      <c r="F3133" s="14"/>
    </row>
    <row r="3134" spans="1:6" x14ac:dyDescent="0.25">
      <c r="A3134" s="86">
        <v>3133</v>
      </c>
      <c r="B3134" s="87">
        <v>35.946436577767599</v>
      </c>
      <c r="C3134" s="14">
        <v>5</v>
      </c>
      <c r="D3134" s="86">
        <v>0.43125240045096735</v>
      </c>
      <c r="E3134" s="86"/>
      <c r="F3134" s="14"/>
    </row>
    <row r="3135" spans="1:6" x14ac:dyDescent="0.25">
      <c r="A3135" s="86">
        <v>3134</v>
      </c>
      <c r="B3135" s="87">
        <v>39.862646867157309</v>
      </c>
      <c r="C3135" s="14">
        <v>4</v>
      </c>
      <c r="D3135" s="86">
        <v>0.13362857014752216</v>
      </c>
      <c r="E3135" s="86"/>
      <c r="F3135" s="14"/>
    </row>
    <row r="3136" spans="1:6" x14ac:dyDescent="0.25">
      <c r="A3136" s="86">
        <v>3135</v>
      </c>
      <c r="B3136" s="87">
        <v>46.005703774761059</v>
      </c>
      <c r="C3136" s="14">
        <v>2</v>
      </c>
      <c r="D3136" s="86">
        <v>0.29848024864250777</v>
      </c>
      <c r="E3136" s="86"/>
      <c r="F3136" s="14"/>
    </row>
    <row r="3137" spans="1:6" x14ac:dyDescent="0.25">
      <c r="A3137" s="86">
        <v>3136</v>
      </c>
      <c r="B3137" s="87">
        <v>52.240875442628749</v>
      </c>
      <c r="C3137" s="14">
        <v>5</v>
      </c>
      <c r="D3137" s="86">
        <v>0.1530755915434594</v>
      </c>
      <c r="E3137" s="86"/>
      <c r="F3137" s="14"/>
    </row>
    <row r="3138" spans="1:6" x14ac:dyDescent="0.25">
      <c r="A3138" s="86">
        <v>3137</v>
      </c>
      <c r="B3138" s="87">
        <v>47.699188593804138</v>
      </c>
      <c r="C3138" s="14">
        <v>4</v>
      </c>
      <c r="D3138" s="86">
        <v>0.37960807528591833</v>
      </c>
      <c r="E3138" s="86"/>
      <c r="F3138" s="14"/>
    </row>
    <row r="3139" spans="1:6" x14ac:dyDescent="0.25">
      <c r="A3139" s="86">
        <v>3138</v>
      </c>
      <c r="B3139" s="87">
        <v>44.667268634264474</v>
      </c>
      <c r="C3139" s="14">
        <v>5</v>
      </c>
      <c r="D3139" s="86">
        <v>0.29919128755968472</v>
      </c>
      <c r="E3139" s="86"/>
      <c r="F3139" s="14"/>
    </row>
    <row r="3140" spans="1:6" x14ac:dyDescent="0.25">
      <c r="A3140" s="86">
        <v>3139</v>
      </c>
      <c r="B3140" s="87">
        <v>38.537666563905077</v>
      </c>
      <c r="C3140" s="14">
        <v>4</v>
      </c>
      <c r="D3140" s="86">
        <v>3.914948167481791E-2</v>
      </c>
      <c r="E3140" s="86"/>
      <c r="F3140" s="14"/>
    </row>
    <row r="3141" spans="1:6" x14ac:dyDescent="0.25">
      <c r="A3141" s="86">
        <v>3140</v>
      </c>
      <c r="B3141" s="87">
        <v>47.000457920483314</v>
      </c>
      <c r="C3141" s="14">
        <v>1</v>
      </c>
      <c r="D3141" s="86">
        <v>0.52290293792191989</v>
      </c>
      <c r="E3141" s="86"/>
      <c r="F3141" s="14"/>
    </row>
    <row r="3142" spans="1:6" x14ac:dyDescent="0.25">
      <c r="A3142" s="86">
        <v>3141</v>
      </c>
      <c r="B3142" s="87">
        <v>37.948234416369814</v>
      </c>
      <c r="C3142" s="14">
        <v>2</v>
      </c>
      <c r="D3142" s="86">
        <v>0.17142441070375525</v>
      </c>
      <c r="E3142" s="86"/>
      <c r="F3142" s="14"/>
    </row>
    <row r="3143" spans="1:6" x14ac:dyDescent="0.25">
      <c r="A3143" s="86">
        <v>3142</v>
      </c>
      <c r="B3143" s="87">
        <v>36.278299825760769</v>
      </c>
      <c r="C3143" s="14">
        <v>5</v>
      </c>
      <c r="D3143" s="86">
        <v>0.99799626464239821</v>
      </c>
      <c r="E3143" s="86"/>
      <c r="F3143" s="14"/>
    </row>
    <row r="3144" spans="1:6" x14ac:dyDescent="0.25">
      <c r="A3144" s="86">
        <v>3143</v>
      </c>
      <c r="B3144" s="87">
        <v>57.198303688317537</v>
      </c>
      <c r="C3144" s="14">
        <v>2</v>
      </c>
      <c r="D3144" s="86">
        <v>0.53498294212301689</v>
      </c>
      <c r="E3144" s="86"/>
      <c r="F3144" s="14"/>
    </row>
    <row r="3145" spans="1:6" x14ac:dyDescent="0.25">
      <c r="A3145" s="86">
        <v>3144</v>
      </c>
      <c r="B3145" s="87">
        <v>38.598852819966851</v>
      </c>
      <c r="C3145" s="14">
        <v>2</v>
      </c>
      <c r="D3145" s="86">
        <v>2.222653266670982E-2</v>
      </c>
      <c r="E3145" s="86"/>
      <c r="F3145" s="14"/>
    </row>
    <row r="3146" spans="1:6" x14ac:dyDescent="0.25">
      <c r="A3146" s="86">
        <v>3145</v>
      </c>
      <c r="B3146" s="87">
        <v>39.519318301579915</v>
      </c>
      <c r="C3146" s="14">
        <v>4</v>
      </c>
      <c r="D3146" s="86">
        <v>5.3968856731941184E-2</v>
      </c>
      <c r="E3146" s="86"/>
      <c r="F3146" s="14"/>
    </row>
    <row r="3147" spans="1:6" x14ac:dyDescent="0.25">
      <c r="A3147" s="86">
        <v>3146</v>
      </c>
      <c r="B3147" s="87">
        <v>43.756966755943722</v>
      </c>
      <c r="C3147" s="14">
        <v>5</v>
      </c>
      <c r="D3147" s="86">
        <v>0.15926555448049873</v>
      </c>
      <c r="E3147" s="86"/>
      <c r="F3147" s="14"/>
    </row>
    <row r="3148" spans="1:6" x14ac:dyDescent="0.25">
      <c r="A3148" s="86">
        <v>3147</v>
      </c>
      <c r="B3148" s="87">
        <v>44.007180117085227</v>
      </c>
      <c r="C3148" s="14">
        <v>4</v>
      </c>
      <c r="D3148" s="86">
        <v>0.86193145645922919</v>
      </c>
      <c r="E3148" s="86"/>
      <c r="F3148" s="14"/>
    </row>
    <row r="3149" spans="1:6" x14ac:dyDescent="0.25">
      <c r="A3149" s="86">
        <v>3148</v>
      </c>
      <c r="B3149" s="87">
        <v>49.182744982652366</v>
      </c>
      <c r="C3149" s="14">
        <v>4</v>
      </c>
      <c r="D3149" s="86">
        <v>0.39157784071006596</v>
      </c>
      <c r="E3149" s="86"/>
      <c r="F3149" s="14"/>
    </row>
    <row r="3150" spans="1:6" x14ac:dyDescent="0.25">
      <c r="A3150" s="86">
        <v>3149</v>
      </c>
      <c r="B3150" s="87">
        <v>42.930196281638928</v>
      </c>
      <c r="C3150" s="14">
        <v>5</v>
      </c>
      <c r="D3150" s="86">
        <v>0.27436105896153729</v>
      </c>
      <c r="E3150" s="86"/>
      <c r="F3150" s="14"/>
    </row>
    <row r="3151" spans="1:6" x14ac:dyDescent="0.25">
      <c r="A3151" s="86">
        <v>3150</v>
      </c>
      <c r="B3151" s="87">
        <v>44.460796283936361</v>
      </c>
      <c r="C3151" s="14">
        <v>1</v>
      </c>
      <c r="D3151" s="86">
        <v>0.81435398841882334</v>
      </c>
      <c r="E3151" s="86"/>
      <c r="F3151" s="14"/>
    </row>
    <row r="3152" spans="1:6" x14ac:dyDescent="0.25">
      <c r="A3152" s="86">
        <v>3151</v>
      </c>
      <c r="B3152" s="87">
        <v>40.877660007361555</v>
      </c>
      <c r="C3152" s="14">
        <v>2</v>
      </c>
      <c r="D3152" s="86">
        <v>0.75818337423893567</v>
      </c>
      <c r="E3152" s="86"/>
      <c r="F3152" s="14"/>
    </row>
    <row r="3153" spans="1:6" x14ac:dyDescent="0.25">
      <c r="A3153" s="86">
        <v>3152</v>
      </c>
      <c r="B3153" s="87">
        <v>47.713490397989517</v>
      </c>
      <c r="C3153" s="14">
        <v>2</v>
      </c>
      <c r="D3153" s="86">
        <v>0.48213476949468148</v>
      </c>
      <c r="E3153" s="86"/>
      <c r="F3153" s="14"/>
    </row>
    <row r="3154" spans="1:6" x14ac:dyDescent="0.25">
      <c r="A3154" s="86">
        <v>3153</v>
      </c>
      <c r="B3154" s="87">
        <v>38.654366102826316</v>
      </c>
      <c r="C3154" s="14">
        <v>4</v>
      </c>
      <c r="D3154" s="86">
        <v>0.15913776131830848</v>
      </c>
      <c r="E3154" s="86"/>
      <c r="F3154" s="14"/>
    </row>
    <row r="3155" spans="1:6" x14ac:dyDescent="0.25">
      <c r="A3155" s="86">
        <v>3154</v>
      </c>
      <c r="B3155" s="87">
        <v>45.288027189933928</v>
      </c>
      <c r="C3155" s="14">
        <v>5</v>
      </c>
      <c r="D3155" s="86">
        <v>0.55101471968529403</v>
      </c>
      <c r="E3155" s="86"/>
      <c r="F3155" s="14"/>
    </row>
    <row r="3156" spans="1:6" x14ac:dyDescent="0.25">
      <c r="A3156" s="86">
        <v>3155</v>
      </c>
      <c r="B3156" s="87">
        <v>45.43771864916198</v>
      </c>
      <c r="C3156" s="14">
        <v>5</v>
      </c>
      <c r="D3156" s="86">
        <v>0.20540444518502132</v>
      </c>
      <c r="E3156" s="86"/>
      <c r="F3156" s="14"/>
    </row>
    <row r="3157" spans="1:6" x14ac:dyDescent="0.25">
      <c r="A3157" s="86">
        <v>3156</v>
      </c>
      <c r="B3157" s="87">
        <v>38.012808540195692</v>
      </c>
      <c r="C3157" s="14">
        <v>2</v>
      </c>
      <c r="D3157" s="86">
        <v>0.13083131682077431</v>
      </c>
      <c r="E3157" s="86"/>
      <c r="F3157" s="14"/>
    </row>
    <row r="3158" spans="1:6" x14ac:dyDescent="0.25">
      <c r="A3158" s="86">
        <v>3157</v>
      </c>
      <c r="B3158" s="87">
        <v>34.945037436380517</v>
      </c>
      <c r="C3158" s="14">
        <v>4</v>
      </c>
      <c r="D3158" s="86">
        <v>0.9395028050468992</v>
      </c>
      <c r="E3158" s="86"/>
      <c r="F3158" s="14"/>
    </row>
    <row r="3159" spans="1:6" x14ac:dyDescent="0.25">
      <c r="A3159" s="86">
        <v>3158</v>
      </c>
      <c r="B3159" s="87">
        <v>42.580870735371718</v>
      </c>
      <c r="C3159" s="14">
        <v>2</v>
      </c>
      <c r="D3159" s="86">
        <v>0.37967239605644754</v>
      </c>
      <c r="E3159" s="86"/>
      <c r="F3159" s="14"/>
    </row>
    <row r="3160" spans="1:6" x14ac:dyDescent="0.25">
      <c r="A3160" s="86">
        <v>3159</v>
      </c>
      <c r="B3160" s="87">
        <v>41.117630184424343</v>
      </c>
      <c r="C3160" s="14">
        <v>5</v>
      </c>
      <c r="D3160" s="86">
        <v>0.7229488274998993</v>
      </c>
      <c r="E3160" s="86"/>
      <c r="F3160" s="14"/>
    </row>
    <row r="3161" spans="1:6" x14ac:dyDescent="0.25">
      <c r="A3161" s="86">
        <v>3160</v>
      </c>
      <c r="B3161" s="87">
        <v>43.951035872276407</v>
      </c>
      <c r="C3161" s="14">
        <v>5</v>
      </c>
      <c r="D3161" s="86">
        <v>0.9781291925307507</v>
      </c>
      <c r="E3161" s="86"/>
      <c r="F3161" s="14"/>
    </row>
    <row r="3162" spans="1:6" x14ac:dyDescent="0.25">
      <c r="A3162" s="86">
        <v>3161</v>
      </c>
      <c r="B3162" s="87">
        <v>53.796702554216608</v>
      </c>
      <c r="C3162" s="14">
        <v>5</v>
      </c>
      <c r="D3162" s="86">
        <v>0.32451622120666346</v>
      </c>
      <c r="E3162" s="86"/>
      <c r="F3162" s="14"/>
    </row>
    <row r="3163" spans="1:6" x14ac:dyDescent="0.25">
      <c r="A3163" s="86">
        <v>3162</v>
      </c>
      <c r="B3163" s="87">
        <v>48.493257049238309</v>
      </c>
      <c r="C3163" s="14">
        <v>4</v>
      </c>
      <c r="D3163" s="86">
        <v>0.38832877085278239</v>
      </c>
      <c r="E3163" s="86"/>
      <c r="F3163" s="14"/>
    </row>
    <row r="3164" spans="1:6" x14ac:dyDescent="0.25">
      <c r="A3164" s="86">
        <v>3163</v>
      </c>
      <c r="B3164" s="87">
        <v>41.789746769034537</v>
      </c>
      <c r="C3164" s="14">
        <v>2</v>
      </c>
      <c r="D3164" s="86">
        <v>0.76397991005517774</v>
      </c>
      <c r="E3164" s="86"/>
      <c r="F3164" s="14"/>
    </row>
    <row r="3165" spans="1:6" x14ac:dyDescent="0.25">
      <c r="A3165" s="86">
        <v>3164</v>
      </c>
      <c r="B3165" s="87">
        <v>39.603628460434265</v>
      </c>
      <c r="C3165" s="14">
        <v>4</v>
      </c>
      <c r="D3165" s="86">
        <v>0.92868757233952204</v>
      </c>
      <c r="E3165" s="86"/>
      <c r="F3165" s="14"/>
    </row>
    <row r="3166" spans="1:6" x14ac:dyDescent="0.25">
      <c r="A3166" s="86">
        <v>3165</v>
      </c>
      <c r="B3166" s="87">
        <v>47.508660822466481</v>
      </c>
      <c r="C3166" s="14">
        <v>2</v>
      </c>
      <c r="D3166" s="86">
        <v>0.99925216080344825</v>
      </c>
      <c r="E3166" s="86"/>
      <c r="F3166" s="14"/>
    </row>
    <row r="3167" spans="1:6" x14ac:dyDescent="0.25">
      <c r="A3167" s="86">
        <v>3166</v>
      </c>
      <c r="B3167" s="87">
        <v>47.676633125200169</v>
      </c>
      <c r="C3167" s="14">
        <v>5</v>
      </c>
      <c r="D3167" s="86">
        <v>0.55403434427696974</v>
      </c>
      <c r="E3167" s="86"/>
      <c r="F3167" s="14"/>
    </row>
    <row r="3168" spans="1:6" x14ac:dyDescent="0.25">
      <c r="A3168" s="86">
        <v>3167</v>
      </c>
      <c r="B3168" s="87">
        <v>37.172071637876797</v>
      </c>
      <c r="C3168" s="14">
        <v>2</v>
      </c>
      <c r="D3168" s="86">
        <v>0.21741701464602359</v>
      </c>
      <c r="E3168" s="86"/>
      <c r="F3168" s="14"/>
    </row>
    <row r="3169" spans="1:6" x14ac:dyDescent="0.25">
      <c r="A3169" s="86">
        <v>3168</v>
      </c>
      <c r="B3169" s="87">
        <v>41.48803327040514</v>
      </c>
      <c r="C3169" s="14">
        <v>4</v>
      </c>
      <c r="D3169" s="86">
        <v>0.67894777538062701</v>
      </c>
      <c r="E3169" s="86"/>
      <c r="F3169" s="14"/>
    </row>
    <row r="3170" spans="1:6" x14ac:dyDescent="0.25">
      <c r="A3170" s="86">
        <v>3169</v>
      </c>
      <c r="B3170" s="87">
        <v>40.363022430363344</v>
      </c>
      <c r="C3170" s="14">
        <v>4</v>
      </c>
      <c r="D3170" s="86">
        <v>0.20441562998704854</v>
      </c>
      <c r="E3170" s="86"/>
      <c r="F3170" s="14"/>
    </row>
    <row r="3171" spans="1:6" x14ac:dyDescent="0.25">
      <c r="A3171" s="86">
        <v>3170</v>
      </c>
      <c r="B3171" s="87">
        <v>43.333204752678284</v>
      </c>
      <c r="C3171" s="14">
        <v>2</v>
      </c>
      <c r="D3171" s="86">
        <v>1.0808698301925435E-2</v>
      </c>
      <c r="E3171" s="86"/>
      <c r="F3171" s="14"/>
    </row>
    <row r="3172" spans="1:6" x14ac:dyDescent="0.25">
      <c r="A3172" s="86">
        <v>3171</v>
      </c>
      <c r="B3172" s="87">
        <v>38.741870861820644</v>
      </c>
      <c r="C3172" s="14">
        <v>4</v>
      </c>
      <c r="D3172" s="86">
        <v>0.73163969268960594</v>
      </c>
      <c r="E3172" s="86"/>
      <c r="F3172" s="14"/>
    </row>
    <row r="3173" spans="1:6" x14ac:dyDescent="0.25">
      <c r="A3173" s="86">
        <v>3172</v>
      </c>
      <c r="B3173" s="87">
        <v>46.150870497847791</v>
      </c>
      <c r="C3173" s="14">
        <v>2</v>
      </c>
      <c r="D3173" s="86">
        <v>0.50460080930987761</v>
      </c>
      <c r="E3173" s="86"/>
      <c r="F3173" s="14"/>
    </row>
    <row r="3174" spans="1:6" x14ac:dyDescent="0.25">
      <c r="A3174" s="86">
        <v>3173</v>
      </c>
      <c r="B3174" s="87">
        <v>37.513723322597798</v>
      </c>
      <c r="C3174" s="14">
        <v>2</v>
      </c>
      <c r="D3174" s="86">
        <v>0.34141835106257135</v>
      </c>
      <c r="E3174" s="86"/>
      <c r="F3174" s="14"/>
    </row>
    <row r="3175" spans="1:6" x14ac:dyDescent="0.25">
      <c r="A3175" s="86">
        <v>3174</v>
      </c>
      <c r="B3175" s="87">
        <v>41.527226807709667</v>
      </c>
      <c r="C3175" s="14">
        <v>2</v>
      </c>
      <c r="D3175" s="86">
        <v>0.87665505820578271</v>
      </c>
      <c r="E3175" s="86"/>
      <c r="F3175" s="14"/>
    </row>
    <row r="3176" spans="1:6" x14ac:dyDescent="0.25">
      <c r="A3176" s="86">
        <v>3175</v>
      </c>
      <c r="B3176" s="87">
        <v>40.365216586331371</v>
      </c>
      <c r="C3176" s="14">
        <v>5</v>
      </c>
      <c r="D3176" s="86">
        <v>0.20696253608158577</v>
      </c>
      <c r="E3176" s="86"/>
      <c r="F3176" s="14"/>
    </row>
    <row r="3177" spans="1:6" x14ac:dyDescent="0.25">
      <c r="A3177" s="86">
        <v>3176</v>
      </c>
      <c r="B3177" s="87">
        <v>35.071252563619055</v>
      </c>
      <c r="C3177" s="14">
        <v>4</v>
      </c>
      <c r="D3177" s="86">
        <v>0.33595214373300097</v>
      </c>
      <c r="E3177" s="86"/>
      <c r="F3177" s="14"/>
    </row>
    <row r="3178" spans="1:6" x14ac:dyDescent="0.25">
      <c r="A3178" s="86">
        <v>3177</v>
      </c>
      <c r="B3178" s="87">
        <v>40.99055103721912</v>
      </c>
      <c r="C3178" s="14">
        <v>2</v>
      </c>
      <c r="D3178" s="86">
        <v>0.50365272340141432</v>
      </c>
      <c r="E3178" s="86"/>
      <c r="F3178" s="14"/>
    </row>
    <row r="3179" spans="1:6" x14ac:dyDescent="0.25">
      <c r="A3179" s="86">
        <v>3178</v>
      </c>
      <c r="B3179" s="87">
        <v>36.747633197926916</v>
      </c>
      <c r="C3179" s="14">
        <v>4</v>
      </c>
      <c r="D3179" s="86">
        <v>0.26107464608981212</v>
      </c>
      <c r="E3179" s="86"/>
      <c r="F3179" s="14"/>
    </row>
    <row r="3180" spans="1:6" x14ac:dyDescent="0.25">
      <c r="A3180" s="86">
        <v>3179</v>
      </c>
      <c r="B3180" s="87">
        <v>43.520935827807989</v>
      </c>
      <c r="C3180" s="14">
        <v>5</v>
      </c>
      <c r="D3180" s="86">
        <v>0.85312387871038731</v>
      </c>
      <c r="E3180" s="86"/>
      <c r="F3180" s="14"/>
    </row>
    <row r="3181" spans="1:6" x14ac:dyDescent="0.25">
      <c r="A3181" s="86">
        <v>3180</v>
      </c>
      <c r="B3181" s="87">
        <v>47.049638846481685</v>
      </c>
      <c r="C3181" s="14">
        <v>2</v>
      </c>
      <c r="D3181" s="86">
        <v>0.59776683456402568</v>
      </c>
      <c r="E3181" s="86"/>
      <c r="F3181" s="14"/>
    </row>
    <row r="3182" spans="1:6" x14ac:dyDescent="0.25">
      <c r="A3182" s="86">
        <v>3181</v>
      </c>
      <c r="B3182" s="87">
        <v>45.768456397461705</v>
      </c>
      <c r="C3182" s="14">
        <v>4</v>
      </c>
      <c r="D3182" s="86">
        <v>0.99304915176852815</v>
      </c>
      <c r="E3182" s="86"/>
      <c r="F3182" s="14"/>
    </row>
    <row r="3183" spans="1:6" x14ac:dyDescent="0.25">
      <c r="A3183" s="86">
        <v>3182</v>
      </c>
      <c r="B3183" s="87">
        <v>42.143057038963889</v>
      </c>
      <c r="C3183" s="14">
        <v>2</v>
      </c>
      <c r="D3183" s="86">
        <v>0.77135451186413506</v>
      </c>
      <c r="E3183" s="86"/>
      <c r="F3183" s="14"/>
    </row>
    <row r="3184" spans="1:6" x14ac:dyDescent="0.25">
      <c r="A3184" s="86">
        <v>3183</v>
      </c>
      <c r="B3184" s="87">
        <v>48.953495474386727</v>
      </c>
      <c r="C3184" s="14">
        <v>3</v>
      </c>
      <c r="D3184" s="86">
        <v>0.88288700246059548</v>
      </c>
      <c r="E3184" s="86"/>
      <c r="F3184" s="14"/>
    </row>
    <row r="3185" spans="1:6" x14ac:dyDescent="0.25">
      <c r="A3185" s="86">
        <v>3184</v>
      </c>
      <c r="B3185" s="87">
        <v>32.385014487197623</v>
      </c>
      <c r="C3185" s="14">
        <v>1</v>
      </c>
      <c r="D3185" s="86">
        <v>0.37261969078413226</v>
      </c>
      <c r="E3185" s="86"/>
      <c r="F3185" s="14"/>
    </row>
    <row r="3186" spans="1:6" x14ac:dyDescent="0.25">
      <c r="A3186" s="86">
        <v>3185</v>
      </c>
      <c r="B3186" s="87">
        <v>44.814794359233929</v>
      </c>
      <c r="C3186" s="14">
        <v>4</v>
      </c>
      <c r="D3186" s="86">
        <v>0.52062612017961729</v>
      </c>
      <c r="E3186" s="86"/>
      <c r="F3186" s="14"/>
    </row>
    <row r="3187" spans="1:6" x14ac:dyDescent="0.25">
      <c r="A3187" s="86">
        <v>3186</v>
      </c>
      <c r="B3187" s="87">
        <v>45.996085868289811</v>
      </c>
      <c r="C3187" s="14">
        <v>4</v>
      </c>
      <c r="D3187" s="86">
        <v>9.930739092685259E-2</v>
      </c>
      <c r="E3187" s="86"/>
      <c r="F3187" s="14"/>
    </row>
    <row r="3188" spans="1:6" x14ac:dyDescent="0.25">
      <c r="A3188" s="86">
        <v>3187</v>
      </c>
      <c r="B3188" s="87">
        <v>54.601423466345295</v>
      </c>
      <c r="C3188" s="14">
        <v>2</v>
      </c>
      <c r="D3188" s="86">
        <v>0.38894678870830757</v>
      </c>
      <c r="E3188" s="86"/>
      <c r="F3188" s="14"/>
    </row>
    <row r="3189" spans="1:6" x14ac:dyDescent="0.25">
      <c r="A3189" s="86">
        <v>3188</v>
      </c>
      <c r="B3189" s="87">
        <v>53.173971531912684</v>
      </c>
      <c r="C3189" s="14">
        <v>4</v>
      </c>
      <c r="D3189" s="86">
        <v>0.25037023589859475</v>
      </c>
      <c r="E3189" s="86"/>
      <c r="F3189" s="14"/>
    </row>
    <row r="3190" spans="1:6" x14ac:dyDescent="0.25">
      <c r="A3190" s="86">
        <v>3189</v>
      </c>
      <c r="B3190" s="87">
        <v>38.341113390168175</v>
      </c>
      <c r="C3190" s="14">
        <v>1</v>
      </c>
      <c r="D3190" s="86">
        <v>0.54717616987885476</v>
      </c>
      <c r="E3190" s="86"/>
      <c r="F3190" s="14"/>
    </row>
    <row r="3191" spans="1:6" x14ac:dyDescent="0.25">
      <c r="A3191" s="86">
        <v>3190</v>
      </c>
      <c r="B3191" s="87">
        <v>35.175753504852764</v>
      </c>
      <c r="C3191" s="14">
        <v>2</v>
      </c>
      <c r="D3191" s="86">
        <v>0.22553961457306571</v>
      </c>
      <c r="E3191" s="86"/>
      <c r="F3191" s="14"/>
    </row>
    <row r="3192" spans="1:6" x14ac:dyDescent="0.25">
      <c r="A3192" s="86">
        <v>3191</v>
      </c>
      <c r="B3192" s="87">
        <v>44.154796791524859</v>
      </c>
      <c r="C3192" s="14">
        <v>4</v>
      </c>
      <c r="D3192" s="86">
        <v>0.21012850251704185</v>
      </c>
      <c r="E3192" s="86"/>
      <c r="F3192" s="14"/>
    </row>
    <row r="3193" spans="1:6" x14ac:dyDescent="0.25">
      <c r="A3193" s="86">
        <v>3192</v>
      </c>
      <c r="B3193" s="87">
        <v>37.714596596168121</v>
      </c>
      <c r="C3193" s="14">
        <v>4</v>
      </c>
      <c r="D3193" s="86">
        <v>0.59240686339909976</v>
      </c>
      <c r="E3193" s="86"/>
      <c r="F3193" s="14"/>
    </row>
    <row r="3194" spans="1:6" x14ac:dyDescent="0.25">
      <c r="A3194" s="86">
        <v>3193</v>
      </c>
      <c r="B3194" s="87">
        <v>42.231039282676647</v>
      </c>
      <c r="C3194" s="14">
        <v>4</v>
      </c>
      <c r="D3194" s="86">
        <v>0.14950423932569223</v>
      </c>
      <c r="E3194" s="86"/>
      <c r="F3194" s="14"/>
    </row>
    <row r="3195" spans="1:6" x14ac:dyDescent="0.25">
      <c r="A3195" s="86">
        <v>3194</v>
      </c>
      <c r="B3195" s="87">
        <v>51.928122952056583</v>
      </c>
      <c r="C3195" s="14">
        <v>1</v>
      </c>
      <c r="D3195" s="86">
        <v>0.89554133536378999</v>
      </c>
      <c r="E3195" s="86"/>
      <c r="F3195" s="14"/>
    </row>
    <row r="3196" spans="1:6" x14ac:dyDescent="0.25">
      <c r="A3196" s="86">
        <v>3195</v>
      </c>
      <c r="B3196" s="87">
        <v>48.470235464599682</v>
      </c>
      <c r="C3196" s="14">
        <v>5</v>
      </c>
      <c r="D3196" s="86">
        <v>0.78251825496056782</v>
      </c>
      <c r="E3196" s="86"/>
      <c r="F3196" s="14"/>
    </row>
    <row r="3197" spans="1:6" x14ac:dyDescent="0.25">
      <c r="A3197" s="86">
        <v>3196</v>
      </c>
      <c r="B3197" s="87">
        <v>38.518840023578377</v>
      </c>
      <c r="C3197" s="14">
        <v>4</v>
      </c>
      <c r="D3197" s="86">
        <v>0.18259907682519749</v>
      </c>
      <c r="E3197" s="86"/>
      <c r="F3197" s="14"/>
    </row>
    <row r="3198" spans="1:6" x14ac:dyDescent="0.25">
      <c r="A3198" s="86">
        <v>3197</v>
      </c>
      <c r="B3198" s="87">
        <v>40.865927525708685</v>
      </c>
      <c r="C3198" s="14">
        <v>4</v>
      </c>
      <c r="D3198" s="86">
        <v>0.669099354161107</v>
      </c>
      <c r="E3198" s="86"/>
      <c r="F3198" s="14"/>
    </row>
    <row r="3199" spans="1:6" x14ac:dyDescent="0.25">
      <c r="A3199" s="86">
        <v>3198</v>
      </c>
      <c r="B3199" s="87">
        <v>42.860949628782691</v>
      </c>
      <c r="C3199" s="14">
        <v>5</v>
      </c>
      <c r="D3199" s="86">
        <v>0.96458487438975427</v>
      </c>
      <c r="E3199" s="86"/>
      <c r="F3199" s="14"/>
    </row>
    <row r="3200" spans="1:6" x14ac:dyDescent="0.25">
      <c r="A3200" s="86">
        <v>3199</v>
      </c>
      <c r="B3200" s="87">
        <v>48.506569777935511</v>
      </c>
      <c r="C3200" s="14">
        <v>4</v>
      </c>
      <c r="D3200" s="86">
        <v>0.74282531796662765</v>
      </c>
      <c r="E3200" s="86"/>
      <c r="F3200" s="14"/>
    </row>
    <row r="3201" spans="1:6" x14ac:dyDescent="0.25">
      <c r="A3201" s="86">
        <v>3200</v>
      </c>
      <c r="B3201" s="87">
        <v>46.849504537356552</v>
      </c>
      <c r="C3201" s="14">
        <v>5</v>
      </c>
      <c r="D3201" s="86">
        <v>0.19880983616842474</v>
      </c>
      <c r="E3201" s="86"/>
      <c r="F3201" s="14"/>
    </row>
    <row r="3202" spans="1:6" x14ac:dyDescent="0.25">
      <c r="A3202" s="86">
        <v>3201</v>
      </c>
      <c r="B3202" s="87">
        <v>46.240484147681855</v>
      </c>
      <c r="C3202" s="14">
        <v>5</v>
      </c>
      <c r="D3202" s="86">
        <v>0.50179041976913885</v>
      </c>
      <c r="E3202" s="86"/>
      <c r="F3202" s="14"/>
    </row>
    <row r="3203" spans="1:6" x14ac:dyDescent="0.25">
      <c r="A3203" s="86">
        <v>3202</v>
      </c>
      <c r="B3203" s="87">
        <v>46.236709744669497</v>
      </c>
      <c r="C3203" s="14">
        <v>1</v>
      </c>
      <c r="D3203" s="86">
        <v>1.3669132588812527E-2</v>
      </c>
      <c r="E3203" s="86"/>
      <c r="F3203" s="14"/>
    </row>
    <row r="3204" spans="1:6" x14ac:dyDescent="0.25">
      <c r="A3204" s="86">
        <v>3203</v>
      </c>
      <c r="B3204" s="87">
        <v>43.837928837427171</v>
      </c>
      <c r="C3204" s="14">
        <v>1</v>
      </c>
      <c r="D3204" s="86">
        <v>7.8574459982346578E-2</v>
      </c>
      <c r="E3204" s="86"/>
      <c r="F3204" s="14"/>
    </row>
    <row r="3205" spans="1:6" x14ac:dyDescent="0.25">
      <c r="A3205" s="86">
        <v>3204</v>
      </c>
      <c r="B3205" s="87">
        <v>45.135743670805823</v>
      </c>
      <c r="C3205" s="14">
        <v>2</v>
      </c>
      <c r="D3205" s="86">
        <v>0.66610961892269727</v>
      </c>
      <c r="E3205" s="86"/>
      <c r="F3205" s="14"/>
    </row>
    <row r="3206" spans="1:6" x14ac:dyDescent="0.25">
      <c r="A3206" s="86">
        <v>3205</v>
      </c>
      <c r="B3206" s="87">
        <v>24.65876604616642</v>
      </c>
      <c r="C3206" s="14">
        <v>5</v>
      </c>
      <c r="D3206" s="86">
        <v>5.2774021542736249E-2</v>
      </c>
      <c r="E3206" s="86"/>
      <c r="F3206" s="14"/>
    </row>
    <row r="3207" spans="1:6" x14ac:dyDescent="0.25">
      <c r="A3207" s="86">
        <v>3206</v>
      </c>
      <c r="B3207" s="87">
        <v>43.469049155071843</v>
      </c>
      <c r="C3207" s="14">
        <v>4</v>
      </c>
      <c r="D3207" s="86">
        <v>0.58906803190346857</v>
      </c>
      <c r="E3207" s="86"/>
      <c r="F3207" s="14"/>
    </row>
    <row r="3208" spans="1:6" x14ac:dyDescent="0.25">
      <c r="A3208" s="86">
        <v>3207</v>
      </c>
      <c r="B3208" s="87">
        <v>42.947789319776348</v>
      </c>
      <c r="C3208" s="14">
        <v>2</v>
      </c>
      <c r="D3208" s="86">
        <v>0.45213971524849306</v>
      </c>
      <c r="E3208" s="86"/>
      <c r="F3208" s="14"/>
    </row>
    <row r="3209" spans="1:6" x14ac:dyDescent="0.25">
      <c r="A3209" s="86">
        <v>3208</v>
      </c>
      <c r="B3209" s="87">
        <v>47.680782694777008</v>
      </c>
      <c r="C3209" s="14">
        <v>4</v>
      </c>
      <c r="D3209" s="86">
        <v>4.5108299837900878E-2</v>
      </c>
      <c r="E3209" s="86"/>
      <c r="F3209" s="14"/>
    </row>
    <row r="3210" spans="1:6" x14ac:dyDescent="0.25">
      <c r="A3210" s="86">
        <v>3209</v>
      </c>
      <c r="B3210" s="87">
        <v>52.810719348024577</v>
      </c>
      <c r="C3210" s="14">
        <v>5</v>
      </c>
      <c r="D3210" s="86">
        <v>0.48235770856853255</v>
      </c>
      <c r="E3210" s="86"/>
      <c r="F3210" s="14"/>
    </row>
    <row r="3211" spans="1:6" x14ac:dyDescent="0.25">
      <c r="A3211" s="86">
        <v>3210</v>
      </c>
      <c r="B3211" s="87">
        <v>41.079385932214791</v>
      </c>
      <c r="C3211" s="14">
        <v>1</v>
      </c>
      <c r="D3211" s="86">
        <v>0.76716191361568575</v>
      </c>
      <c r="E3211" s="86"/>
      <c r="F3211" s="14"/>
    </row>
    <row r="3212" spans="1:6" x14ac:dyDescent="0.25">
      <c r="A3212" s="86">
        <v>3211</v>
      </c>
      <c r="B3212" s="87">
        <v>43.39955239117262</v>
      </c>
      <c r="C3212" s="14">
        <v>2</v>
      </c>
      <c r="D3212" s="86">
        <v>0.20765753936445264</v>
      </c>
      <c r="E3212" s="86"/>
      <c r="F3212" s="14"/>
    </row>
    <row r="3213" spans="1:6" x14ac:dyDescent="0.25">
      <c r="A3213" s="86">
        <v>3212</v>
      </c>
      <c r="B3213" s="87">
        <v>39.194588902653777</v>
      </c>
      <c r="C3213" s="14">
        <v>2</v>
      </c>
      <c r="D3213" s="86">
        <v>0.3635486361659066</v>
      </c>
      <c r="E3213" s="86"/>
      <c r="F3213" s="14"/>
    </row>
    <row r="3214" spans="1:6" x14ac:dyDescent="0.25">
      <c r="A3214" s="86">
        <v>3213</v>
      </c>
      <c r="B3214" s="87">
        <v>42.60812147037359</v>
      </c>
      <c r="C3214" s="14">
        <v>4</v>
      </c>
      <c r="D3214" s="86">
        <v>0.47850015913756605</v>
      </c>
      <c r="E3214" s="86"/>
      <c r="F3214" s="14"/>
    </row>
    <row r="3215" spans="1:6" x14ac:dyDescent="0.25">
      <c r="A3215" s="86">
        <v>3214</v>
      </c>
      <c r="B3215" s="87">
        <v>38.651569406618364</v>
      </c>
      <c r="C3215" s="14">
        <v>1</v>
      </c>
      <c r="D3215" s="86">
        <v>0.25949513475788777</v>
      </c>
      <c r="E3215" s="86"/>
      <c r="F3215" s="14"/>
    </row>
    <row r="3216" spans="1:6" x14ac:dyDescent="0.25">
      <c r="A3216" s="86">
        <v>3215</v>
      </c>
      <c r="B3216" s="87">
        <v>48.97843836658285</v>
      </c>
      <c r="C3216" s="14">
        <v>3</v>
      </c>
      <c r="D3216" s="86">
        <v>0.41969354912697809</v>
      </c>
      <c r="E3216" s="86"/>
      <c r="F3216" s="14"/>
    </row>
    <row r="3217" spans="1:6" x14ac:dyDescent="0.25">
      <c r="A3217" s="86">
        <v>3216</v>
      </c>
      <c r="B3217" s="87">
        <v>56.568569556809962</v>
      </c>
      <c r="C3217" s="14">
        <v>2</v>
      </c>
      <c r="D3217" s="86">
        <v>0.79389649970660525</v>
      </c>
      <c r="E3217" s="86"/>
      <c r="F3217" s="14"/>
    </row>
    <row r="3218" spans="1:6" x14ac:dyDescent="0.25">
      <c r="A3218" s="86">
        <v>3217</v>
      </c>
      <c r="B3218" s="87">
        <v>39.934968748973915</v>
      </c>
      <c r="C3218" s="14">
        <v>2</v>
      </c>
      <c r="D3218" s="86">
        <v>0.27936416007467713</v>
      </c>
      <c r="E3218" s="86"/>
      <c r="F3218" s="14"/>
    </row>
    <row r="3219" spans="1:6" x14ac:dyDescent="0.25">
      <c r="A3219" s="86">
        <v>3218</v>
      </c>
      <c r="B3219" s="87">
        <v>44.150868911281577</v>
      </c>
      <c r="C3219" s="14">
        <v>1</v>
      </c>
      <c r="D3219" s="86">
        <v>0.80442414240280713</v>
      </c>
      <c r="E3219" s="86"/>
      <c r="F3219" s="14"/>
    </row>
    <row r="3220" spans="1:6" x14ac:dyDescent="0.25">
      <c r="A3220" s="86">
        <v>3219</v>
      </c>
      <c r="B3220" s="87">
        <v>46.906859546987107</v>
      </c>
      <c r="C3220" s="14">
        <v>4</v>
      </c>
      <c r="D3220" s="86">
        <v>0.56288323588175937</v>
      </c>
      <c r="E3220" s="86"/>
      <c r="F3220" s="14"/>
    </row>
    <row r="3221" spans="1:6" x14ac:dyDescent="0.25">
      <c r="A3221" s="86">
        <v>3220</v>
      </c>
      <c r="B3221" s="87">
        <v>43.126425447888323</v>
      </c>
      <c r="C3221" s="14">
        <v>2</v>
      </c>
      <c r="D3221" s="86">
        <v>0.65779869707368277</v>
      </c>
      <c r="E3221" s="86"/>
      <c r="F3221" s="14"/>
    </row>
    <row r="3222" spans="1:6" x14ac:dyDescent="0.25">
      <c r="A3222" s="86">
        <v>3221</v>
      </c>
      <c r="B3222" s="87">
        <v>44.517571490694536</v>
      </c>
      <c r="C3222" s="14">
        <v>1</v>
      </c>
      <c r="D3222" s="86">
        <v>0.16992068919451975</v>
      </c>
      <c r="E3222" s="86"/>
      <c r="F3222" s="14"/>
    </row>
    <row r="3223" spans="1:6" x14ac:dyDescent="0.25">
      <c r="A3223" s="86">
        <v>3222</v>
      </c>
      <c r="B3223" s="87">
        <v>40.684335539815947</v>
      </c>
      <c r="C3223" s="14">
        <v>3</v>
      </c>
      <c r="D3223" s="86">
        <v>0.74839099604314496</v>
      </c>
      <c r="E3223" s="86"/>
      <c r="F3223" s="14"/>
    </row>
    <row r="3224" spans="1:6" x14ac:dyDescent="0.25">
      <c r="A3224" s="86">
        <v>3223</v>
      </c>
      <c r="B3224" s="87">
        <v>49.806703822803684</v>
      </c>
      <c r="C3224" s="14">
        <v>2</v>
      </c>
      <c r="D3224" s="86">
        <v>0.19383898499310392</v>
      </c>
      <c r="E3224" s="86"/>
      <c r="F3224" s="14"/>
    </row>
    <row r="3225" spans="1:6" x14ac:dyDescent="0.25">
      <c r="A3225" s="86">
        <v>3224</v>
      </c>
      <c r="B3225" s="87">
        <v>38.349958226142917</v>
      </c>
      <c r="C3225" s="14">
        <v>4</v>
      </c>
      <c r="D3225" s="86">
        <v>0.46049092065867314</v>
      </c>
      <c r="E3225" s="86"/>
      <c r="F3225" s="14"/>
    </row>
    <row r="3226" spans="1:6" x14ac:dyDescent="0.25">
      <c r="A3226" s="86">
        <v>3225</v>
      </c>
      <c r="B3226" s="87">
        <v>41.355360730784014</v>
      </c>
      <c r="C3226" s="14">
        <v>4</v>
      </c>
      <c r="D3226" s="86">
        <v>7.6053796831755172E-2</v>
      </c>
      <c r="E3226" s="86"/>
      <c r="F3226" s="14"/>
    </row>
    <row r="3227" spans="1:6" x14ac:dyDescent="0.25">
      <c r="A3227" s="86">
        <v>3226</v>
      </c>
      <c r="B3227" s="87">
        <v>34.470212989952415</v>
      </c>
      <c r="C3227" s="14">
        <v>2</v>
      </c>
      <c r="D3227" s="86">
        <v>0.31730672332751975</v>
      </c>
      <c r="E3227" s="86"/>
      <c r="F3227" s="14"/>
    </row>
    <row r="3228" spans="1:6" x14ac:dyDescent="0.25">
      <c r="A3228" s="86">
        <v>3227</v>
      </c>
      <c r="B3228" s="87">
        <v>37.291863458784064</v>
      </c>
      <c r="C3228" s="14">
        <v>4</v>
      </c>
      <c r="D3228" s="86">
        <v>0.44935786926954346</v>
      </c>
      <c r="E3228" s="86"/>
      <c r="F3228" s="14"/>
    </row>
    <row r="3229" spans="1:6" x14ac:dyDescent="0.25">
      <c r="A3229" s="86">
        <v>3228</v>
      </c>
      <c r="B3229" s="87">
        <v>42.37626284918224</v>
      </c>
      <c r="C3229" s="14">
        <v>3</v>
      </c>
      <c r="D3229" s="86">
        <v>0.56237378496349233</v>
      </c>
      <c r="E3229" s="86"/>
      <c r="F3229" s="14"/>
    </row>
    <row r="3230" spans="1:6" x14ac:dyDescent="0.25">
      <c r="A3230" s="86">
        <v>3229</v>
      </c>
      <c r="B3230" s="87">
        <v>44.719928377497126</v>
      </c>
      <c r="C3230" s="14">
        <v>4</v>
      </c>
      <c r="D3230" s="86">
        <v>0.52673329459309193</v>
      </c>
      <c r="E3230" s="86"/>
      <c r="F3230" s="14"/>
    </row>
    <row r="3231" spans="1:6" x14ac:dyDescent="0.25">
      <c r="A3231" s="86">
        <v>3230</v>
      </c>
      <c r="B3231" s="87">
        <v>43.071338490670314</v>
      </c>
      <c r="C3231" s="14">
        <v>4</v>
      </c>
      <c r="D3231" s="86">
        <v>0.46025074519845577</v>
      </c>
      <c r="E3231" s="86"/>
      <c r="F3231" s="14"/>
    </row>
    <row r="3232" spans="1:6" x14ac:dyDescent="0.25">
      <c r="A3232" s="86">
        <v>3231</v>
      </c>
      <c r="B3232" s="87">
        <v>42.452518295584014</v>
      </c>
      <c r="C3232" s="14">
        <v>3</v>
      </c>
      <c r="D3232" s="86">
        <v>0.22561613001568559</v>
      </c>
      <c r="E3232" s="86"/>
      <c r="F3232" s="14"/>
    </row>
    <row r="3233" spans="1:6" x14ac:dyDescent="0.25">
      <c r="A3233" s="86">
        <v>3232</v>
      </c>
      <c r="B3233" s="87">
        <v>49.567245236510644</v>
      </c>
      <c r="C3233" s="14">
        <v>5</v>
      </c>
      <c r="D3233" s="86">
        <v>0.40461717028442867</v>
      </c>
      <c r="E3233" s="86"/>
      <c r="F3233" s="14"/>
    </row>
    <row r="3234" spans="1:6" x14ac:dyDescent="0.25">
      <c r="A3234" s="86">
        <v>3233</v>
      </c>
      <c r="B3234" s="87">
        <v>38.302596289548092</v>
      </c>
      <c r="C3234" s="14">
        <v>1</v>
      </c>
      <c r="D3234" s="86">
        <v>0.21095783961131198</v>
      </c>
      <c r="E3234" s="86"/>
      <c r="F3234" s="14"/>
    </row>
    <row r="3235" spans="1:6" x14ac:dyDescent="0.25">
      <c r="A3235" s="86">
        <v>3234</v>
      </c>
      <c r="B3235" s="87">
        <v>42.566284714092035</v>
      </c>
      <c r="C3235" s="14">
        <v>3</v>
      </c>
      <c r="D3235" s="86">
        <v>0.47276499401640026</v>
      </c>
      <c r="E3235" s="86"/>
      <c r="F3235" s="14"/>
    </row>
    <row r="3236" spans="1:6" x14ac:dyDescent="0.25">
      <c r="A3236" s="86">
        <v>3235</v>
      </c>
      <c r="B3236" s="87">
        <v>52.558698366163298</v>
      </c>
      <c r="C3236" s="14">
        <v>4</v>
      </c>
      <c r="D3236" s="86">
        <v>0.4711690817454709</v>
      </c>
      <c r="E3236" s="86"/>
      <c r="F3236" s="14"/>
    </row>
    <row r="3237" spans="1:6" x14ac:dyDescent="0.25">
      <c r="A3237" s="86">
        <v>3236</v>
      </c>
      <c r="B3237" s="87">
        <v>47.087451088707894</v>
      </c>
      <c r="C3237" s="14">
        <v>2</v>
      </c>
      <c r="D3237" s="86">
        <v>0.76755098197341676</v>
      </c>
      <c r="E3237" s="86"/>
      <c r="F3237" s="14"/>
    </row>
    <row r="3238" spans="1:6" x14ac:dyDescent="0.25">
      <c r="A3238" s="86">
        <v>3237</v>
      </c>
      <c r="B3238" s="87">
        <v>41.067443129912135</v>
      </c>
      <c r="C3238" s="14">
        <v>4</v>
      </c>
      <c r="D3238" s="86">
        <v>0.83704156086914294</v>
      </c>
      <c r="E3238" s="86"/>
      <c r="F3238" s="14"/>
    </row>
    <row r="3239" spans="1:6" x14ac:dyDescent="0.25">
      <c r="A3239" s="86">
        <v>3238</v>
      </c>
      <c r="B3239" s="87">
        <v>55.452437658794224</v>
      </c>
      <c r="C3239" s="14">
        <v>1</v>
      </c>
      <c r="D3239" s="86">
        <v>4.4574745789745962E-2</v>
      </c>
      <c r="E3239" s="86"/>
      <c r="F3239" s="14"/>
    </row>
    <row r="3240" spans="1:6" x14ac:dyDescent="0.25">
      <c r="A3240" s="86">
        <v>3239</v>
      </c>
      <c r="B3240" s="87">
        <v>43.051829829317285</v>
      </c>
      <c r="C3240" s="14">
        <v>2</v>
      </c>
      <c r="D3240" s="86">
        <v>0.42715929328060198</v>
      </c>
      <c r="E3240" s="86"/>
      <c r="F3240" s="14"/>
    </row>
    <row r="3241" spans="1:6" x14ac:dyDescent="0.25">
      <c r="A3241" s="86">
        <v>3240</v>
      </c>
      <c r="B3241" s="87">
        <v>57.073157217353582</v>
      </c>
      <c r="C3241" s="14">
        <v>2</v>
      </c>
      <c r="D3241" s="86">
        <v>0.53272957648486841</v>
      </c>
      <c r="E3241" s="86"/>
      <c r="F3241" s="14"/>
    </row>
    <row r="3242" spans="1:6" x14ac:dyDescent="0.25">
      <c r="A3242" s="86">
        <v>3241</v>
      </c>
      <c r="B3242" s="87">
        <v>48.956599125056528</v>
      </c>
      <c r="C3242" s="14">
        <v>4</v>
      </c>
      <c r="D3242" s="86">
        <v>0.42354303341916744</v>
      </c>
      <c r="E3242" s="86"/>
      <c r="F3242" s="14"/>
    </row>
    <row r="3243" spans="1:6" x14ac:dyDescent="0.25">
      <c r="A3243" s="86">
        <v>3242</v>
      </c>
      <c r="B3243" s="87">
        <v>40.460110989777604</v>
      </c>
      <c r="C3243" s="14">
        <v>4</v>
      </c>
      <c r="D3243" s="86">
        <v>0.5097070332012732</v>
      </c>
      <c r="E3243" s="86"/>
      <c r="F3243" s="14"/>
    </row>
    <row r="3244" spans="1:6" x14ac:dyDescent="0.25">
      <c r="A3244" s="86">
        <v>3243</v>
      </c>
      <c r="B3244" s="87">
        <v>46.659351932583377</v>
      </c>
      <c r="C3244" s="14">
        <v>2</v>
      </c>
      <c r="D3244" s="86">
        <v>0.69327246464863646</v>
      </c>
      <c r="E3244" s="86"/>
      <c r="F3244" s="14"/>
    </row>
    <row r="3245" spans="1:6" x14ac:dyDescent="0.25">
      <c r="A3245" s="86">
        <v>3244</v>
      </c>
      <c r="B3245" s="87">
        <v>46.992556685261661</v>
      </c>
      <c r="C3245" s="14">
        <v>4</v>
      </c>
      <c r="D3245" s="86">
        <v>0.97755381080884851</v>
      </c>
      <c r="E3245" s="86"/>
      <c r="F3245" s="14"/>
    </row>
    <row r="3246" spans="1:6" x14ac:dyDescent="0.25">
      <c r="A3246" s="86">
        <v>3245</v>
      </c>
      <c r="B3246" s="87">
        <v>39.202757301944075</v>
      </c>
      <c r="C3246" s="14">
        <v>2</v>
      </c>
      <c r="D3246" s="86">
        <v>0.61318191756273566</v>
      </c>
      <c r="E3246" s="86"/>
      <c r="F3246" s="14"/>
    </row>
    <row r="3247" spans="1:6" x14ac:dyDescent="0.25">
      <c r="A3247" s="86">
        <v>3246</v>
      </c>
      <c r="B3247" s="87">
        <v>46.957404715038138</v>
      </c>
      <c r="C3247" s="14">
        <v>4</v>
      </c>
      <c r="D3247" s="86">
        <v>0.55873049991865553</v>
      </c>
      <c r="E3247" s="86"/>
      <c r="F3247" s="14"/>
    </row>
    <row r="3248" spans="1:6" x14ac:dyDescent="0.25">
      <c r="A3248" s="86">
        <v>3247</v>
      </c>
      <c r="B3248" s="87">
        <v>49.986942935327534</v>
      </c>
      <c r="C3248" s="14">
        <v>4</v>
      </c>
      <c r="D3248" s="86">
        <v>0.4987186565392161</v>
      </c>
      <c r="E3248" s="86"/>
      <c r="F3248" s="14"/>
    </row>
    <row r="3249" spans="1:6" x14ac:dyDescent="0.25">
      <c r="A3249" s="86">
        <v>3248</v>
      </c>
      <c r="B3249" s="87">
        <v>40.017175701330416</v>
      </c>
      <c r="C3249" s="14">
        <v>2</v>
      </c>
      <c r="D3249" s="86">
        <v>0.56188018180081312</v>
      </c>
      <c r="E3249" s="86"/>
      <c r="F3249" s="14"/>
    </row>
    <row r="3250" spans="1:6" x14ac:dyDescent="0.25">
      <c r="A3250" s="86">
        <v>3249</v>
      </c>
      <c r="B3250" s="87">
        <v>47.211051418678835</v>
      </c>
      <c r="C3250" s="14">
        <v>4</v>
      </c>
      <c r="D3250" s="86">
        <v>0.96681319940967592</v>
      </c>
      <c r="E3250" s="86"/>
      <c r="F3250" s="14"/>
    </row>
    <row r="3251" spans="1:6" x14ac:dyDescent="0.25">
      <c r="A3251" s="86">
        <v>3250</v>
      </c>
      <c r="B3251" s="87">
        <v>41.130761014181189</v>
      </c>
      <c r="C3251" s="14">
        <v>2</v>
      </c>
      <c r="D3251" s="86">
        <v>0.6337696767231028</v>
      </c>
      <c r="E3251" s="86"/>
      <c r="F3251" s="14"/>
    </row>
    <row r="3252" spans="1:6" x14ac:dyDescent="0.25">
      <c r="A3252" s="86">
        <v>3251</v>
      </c>
      <c r="B3252" s="87">
        <v>35.687799021950923</v>
      </c>
      <c r="C3252" s="14">
        <v>4</v>
      </c>
      <c r="D3252" s="86">
        <v>0.28088098490218549</v>
      </c>
      <c r="E3252" s="86"/>
      <c r="F3252" s="14"/>
    </row>
    <row r="3253" spans="1:6" x14ac:dyDescent="0.25">
      <c r="A3253" s="86">
        <v>3252</v>
      </c>
      <c r="B3253" s="87">
        <v>53.726898835855536</v>
      </c>
      <c r="C3253" s="14">
        <v>4</v>
      </c>
      <c r="D3253" s="86">
        <v>0.43581247233391562</v>
      </c>
      <c r="E3253" s="86"/>
      <c r="F3253" s="14"/>
    </row>
    <row r="3254" spans="1:6" x14ac:dyDescent="0.25">
      <c r="A3254" s="86">
        <v>3253</v>
      </c>
      <c r="B3254" s="87">
        <v>50.736957741144579</v>
      </c>
      <c r="C3254" s="14">
        <v>2</v>
      </c>
      <c r="D3254" s="86">
        <v>0.16482715398599324</v>
      </c>
      <c r="E3254" s="86"/>
      <c r="F3254" s="14"/>
    </row>
    <row r="3255" spans="1:6" x14ac:dyDescent="0.25">
      <c r="A3255" s="86">
        <v>3254</v>
      </c>
      <c r="B3255" s="87">
        <v>47.977755452273414</v>
      </c>
      <c r="C3255" s="14">
        <v>4</v>
      </c>
      <c r="D3255" s="86">
        <v>0.79329698669818405</v>
      </c>
      <c r="E3255" s="86"/>
      <c r="F3255" s="14"/>
    </row>
    <row r="3256" spans="1:6" x14ac:dyDescent="0.25">
      <c r="A3256" s="86">
        <v>3255</v>
      </c>
      <c r="B3256" s="87">
        <v>47.455500857147854</v>
      </c>
      <c r="C3256" s="14">
        <v>5</v>
      </c>
      <c r="D3256" s="86">
        <v>0.75541730435517074</v>
      </c>
      <c r="E3256" s="86"/>
      <c r="F3256" s="14"/>
    </row>
    <row r="3257" spans="1:6" x14ac:dyDescent="0.25">
      <c r="A3257" s="86">
        <v>3256</v>
      </c>
      <c r="B3257" s="87">
        <v>42.183398813329404</v>
      </c>
      <c r="C3257" s="14">
        <v>4</v>
      </c>
      <c r="D3257" s="86">
        <v>0.53121833079863534</v>
      </c>
      <c r="E3257" s="86"/>
      <c r="F3257" s="14"/>
    </row>
    <row r="3258" spans="1:6" x14ac:dyDescent="0.25">
      <c r="A3258" s="86">
        <v>3257</v>
      </c>
      <c r="B3258" s="87">
        <v>46.075189169976511</v>
      </c>
      <c r="C3258" s="14">
        <v>2</v>
      </c>
      <c r="D3258" s="86">
        <v>0.17511734971674731</v>
      </c>
      <c r="E3258" s="86"/>
      <c r="F3258" s="14"/>
    </row>
    <row r="3259" spans="1:6" x14ac:dyDescent="0.25">
      <c r="A3259" s="86">
        <v>3258</v>
      </c>
      <c r="B3259" s="87">
        <v>43.113038822746603</v>
      </c>
      <c r="C3259" s="14">
        <v>2</v>
      </c>
      <c r="D3259" s="86">
        <v>0.5933733470953263</v>
      </c>
      <c r="E3259" s="86"/>
      <c r="F3259" s="14"/>
    </row>
    <row r="3260" spans="1:6" x14ac:dyDescent="0.25">
      <c r="A3260" s="86">
        <v>3259</v>
      </c>
      <c r="B3260" s="87">
        <v>39.483160202842555</v>
      </c>
      <c r="C3260" s="14">
        <v>1</v>
      </c>
      <c r="D3260" s="86">
        <v>9.2666727510040681E-2</v>
      </c>
      <c r="E3260" s="86"/>
      <c r="F3260" s="14"/>
    </row>
    <row r="3261" spans="1:6" x14ac:dyDescent="0.25">
      <c r="A3261" s="86">
        <v>3260</v>
      </c>
      <c r="B3261" s="87">
        <v>38.003997810272267</v>
      </c>
      <c r="C3261" s="14">
        <v>4</v>
      </c>
      <c r="D3261" s="86">
        <v>0.72080559252977672</v>
      </c>
      <c r="E3261" s="86"/>
      <c r="F3261" s="14"/>
    </row>
    <row r="3262" spans="1:6" x14ac:dyDescent="0.25">
      <c r="A3262" s="86">
        <v>3261</v>
      </c>
      <c r="B3262" s="87">
        <v>44.557270934426924</v>
      </c>
      <c r="C3262" s="14">
        <v>2</v>
      </c>
      <c r="D3262" s="86">
        <v>0.37901575297232837</v>
      </c>
      <c r="E3262" s="86"/>
      <c r="F3262" s="14"/>
    </row>
    <row r="3263" spans="1:6" x14ac:dyDescent="0.25">
      <c r="A3263" s="86">
        <v>3262</v>
      </c>
      <c r="B3263" s="87">
        <v>41.811000523346593</v>
      </c>
      <c r="C3263" s="14">
        <v>5</v>
      </c>
      <c r="D3263" s="86">
        <v>0.81577757796220096</v>
      </c>
      <c r="E3263" s="86"/>
      <c r="F3263" s="14"/>
    </row>
    <row r="3264" spans="1:6" x14ac:dyDescent="0.25">
      <c r="A3264" s="86">
        <v>3263</v>
      </c>
      <c r="B3264" s="87">
        <v>43.701686531101586</v>
      </c>
      <c r="C3264" s="14">
        <v>4</v>
      </c>
      <c r="D3264" s="86">
        <v>0.81363114564247985</v>
      </c>
      <c r="E3264" s="86"/>
      <c r="F3264" s="14"/>
    </row>
    <row r="3265" spans="1:6" x14ac:dyDescent="0.25">
      <c r="A3265" s="86">
        <v>3264</v>
      </c>
      <c r="B3265" s="87">
        <v>33.896958479424939</v>
      </c>
      <c r="C3265" s="14">
        <v>5</v>
      </c>
      <c r="D3265" s="86">
        <v>0.5481960604049575</v>
      </c>
      <c r="E3265" s="86"/>
      <c r="F3265" s="14"/>
    </row>
    <row r="3266" spans="1:6" x14ac:dyDescent="0.25">
      <c r="A3266" s="86">
        <v>3265</v>
      </c>
      <c r="B3266" s="87">
        <v>32.900697983102873</v>
      </c>
      <c r="C3266" s="14">
        <v>4</v>
      </c>
      <c r="D3266" s="86">
        <v>0.85232245382760052</v>
      </c>
      <c r="E3266" s="86"/>
      <c r="F3266" s="14"/>
    </row>
    <row r="3267" spans="1:6" x14ac:dyDescent="0.25">
      <c r="A3267" s="86">
        <v>3266</v>
      </c>
      <c r="B3267" s="87">
        <v>45.213107563875383</v>
      </c>
      <c r="C3267" s="14">
        <v>2</v>
      </c>
      <c r="D3267" s="86">
        <v>0.14789317323804141</v>
      </c>
      <c r="E3267" s="86"/>
      <c r="F3267" s="14"/>
    </row>
    <row r="3268" spans="1:6" x14ac:dyDescent="0.25">
      <c r="A3268" s="86">
        <v>3267</v>
      </c>
      <c r="B3268" s="87">
        <v>46.339744125696598</v>
      </c>
      <c r="C3268" s="14">
        <v>4</v>
      </c>
      <c r="D3268" s="86">
        <v>0.50176334114985743</v>
      </c>
      <c r="E3268" s="86"/>
      <c r="F3268" s="14"/>
    </row>
    <row r="3269" spans="1:6" x14ac:dyDescent="0.25">
      <c r="A3269" s="86">
        <v>3268</v>
      </c>
      <c r="B3269" s="87">
        <v>41.293861835918506</v>
      </c>
      <c r="C3269" s="14">
        <v>5</v>
      </c>
      <c r="D3269" s="86">
        <v>0.17451845782425524</v>
      </c>
      <c r="E3269" s="86"/>
      <c r="F3269" s="14"/>
    </row>
    <row r="3270" spans="1:6" x14ac:dyDescent="0.25">
      <c r="A3270" s="86">
        <v>3269</v>
      </c>
      <c r="B3270" s="87">
        <v>45.516418362574768</v>
      </c>
      <c r="C3270" s="14">
        <v>2</v>
      </c>
      <c r="D3270" s="86">
        <v>0.17021658376398641</v>
      </c>
      <c r="E3270" s="86"/>
      <c r="F3270" s="14"/>
    </row>
    <row r="3271" spans="1:6" x14ac:dyDescent="0.25">
      <c r="A3271" s="86">
        <v>3270</v>
      </c>
      <c r="B3271" s="87">
        <v>42.73308604239719</v>
      </c>
      <c r="C3271" s="14">
        <v>2</v>
      </c>
      <c r="D3271" s="86">
        <v>3.7469239803288534E-2</v>
      </c>
      <c r="E3271" s="86"/>
      <c r="F3271" s="14"/>
    </row>
    <row r="3272" spans="1:6" x14ac:dyDescent="0.25">
      <c r="A3272" s="86">
        <v>3271</v>
      </c>
      <c r="B3272" s="87">
        <v>41.688264213342336</v>
      </c>
      <c r="C3272" s="14">
        <v>2</v>
      </c>
      <c r="D3272" s="86">
        <v>0.65770565123145097</v>
      </c>
      <c r="E3272" s="86"/>
      <c r="F3272" s="14"/>
    </row>
    <row r="3273" spans="1:6" x14ac:dyDescent="0.25">
      <c r="A3273" s="86">
        <v>3272</v>
      </c>
      <c r="B3273" s="87">
        <v>44.335502020083368</v>
      </c>
      <c r="C3273" s="14">
        <v>2</v>
      </c>
      <c r="D3273" s="86">
        <v>0.79400669130753132</v>
      </c>
      <c r="E3273" s="86"/>
      <c r="F3273" s="14"/>
    </row>
    <row r="3274" spans="1:6" x14ac:dyDescent="0.25">
      <c r="A3274" s="86">
        <v>3273</v>
      </c>
      <c r="B3274" s="87">
        <v>39.152041603636462</v>
      </c>
      <c r="C3274" s="14">
        <v>2</v>
      </c>
      <c r="D3274" s="86">
        <v>0.85704396430504526</v>
      </c>
      <c r="E3274" s="86"/>
      <c r="F3274" s="14"/>
    </row>
    <row r="3275" spans="1:6" x14ac:dyDescent="0.25">
      <c r="A3275" s="86">
        <v>3274</v>
      </c>
      <c r="B3275" s="87">
        <v>46.590696451283293</v>
      </c>
      <c r="C3275" s="14">
        <v>4</v>
      </c>
      <c r="D3275" s="86">
        <v>0.92995743648817031</v>
      </c>
      <c r="E3275" s="86"/>
      <c r="F3275" s="14"/>
    </row>
    <row r="3276" spans="1:6" x14ac:dyDescent="0.25">
      <c r="A3276" s="86">
        <v>3275</v>
      </c>
      <c r="B3276" s="87">
        <v>37.196150510106236</v>
      </c>
      <c r="C3276" s="14">
        <v>5</v>
      </c>
      <c r="D3276" s="86">
        <v>0.72703879510103997</v>
      </c>
      <c r="E3276" s="86"/>
      <c r="F3276" s="14"/>
    </row>
    <row r="3277" spans="1:6" x14ac:dyDescent="0.25">
      <c r="A3277" s="86">
        <v>3276</v>
      </c>
      <c r="B3277" s="87">
        <v>36.979133705579443</v>
      </c>
      <c r="C3277" s="14">
        <v>5</v>
      </c>
      <c r="D3277" s="86">
        <v>0.49876592119502572</v>
      </c>
      <c r="E3277" s="86"/>
      <c r="F3277" s="14"/>
    </row>
    <row r="3278" spans="1:6" x14ac:dyDescent="0.25">
      <c r="A3278" s="86">
        <v>3277</v>
      </c>
      <c r="B3278" s="87">
        <v>40.866768808307825</v>
      </c>
      <c r="C3278" s="14">
        <v>4</v>
      </c>
      <c r="D3278" s="86">
        <v>0.45806763353116597</v>
      </c>
      <c r="E3278" s="86"/>
      <c r="F3278" s="14"/>
    </row>
    <row r="3279" spans="1:6" x14ac:dyDescent="0.25">
      <c r="A3279" s="86">
        <v>3278</v>
      </c>
      <c r="B3279" s="87">
        <v>41.516437926809886</v>
      </c>
      <c r="C3279" s="14">
        <v>2</v>
      </c>
      <c r="D3279" s="86">
        <v>0.31644577263690443</v>
      </c>
      <c r="E3279" s="86"/>
      <c r="F3279" s="14"/>
    </row>
    <row r="3280" spans="1:6" x14ac:dyDescent="0.25">
      <c r="A3280" s="86">
        <v>3279</v>
      </c>
      <c r="B3280" s="87">
        <v>45.974144308609539</v>
      </c>
      <c r="C3280" s="14">
        <v>2</v>
      </c>
      <c r="D3280" s="86">
        <v>3.1689791639712972E-2</v>
      </c>
      <c r="E3280" s="86"/>
      <c r="F3280" s="14"/>
    </row>
    <row r="3281" spans="1:6" x14ac:dyDescent="0.25">
      <c r="A3281" s="86">
        <v>3280</v>
      </c>
      <c r="B3281" s="87">
        <v>49.224036042112857</v>
      </c>
      <c r="C3281" s="14">
        <v>1</v>
      </c>
      <c r="D3281" s="86">
        <v>0.90387223773912073</v>
      </c>
      <c r="E3281" s="86"/>
      <c r="F3281" s="14"/>
    </row>
    <row r="3282" spans="1:6" x14ac:dyDescent="0.25">
      <c r="A3282" s="86">
        <v>3281</v>
      </c>
      <c r="B3282" s="87">
        <v>41.226815023372183</v>
      </c>
      <c r="C3282" s="14">
        <v>4</v>
      </c>
      <c r="D3282" s="86">
        <v>0.24578444253943055</v>
      </c>
      <c r="E3282" s="86"/>
      <c r="F3282" s="14"/>
    </row>
    <row r="3283" spans="1:6" x14ac:dyDescent="0.25">
      <c r="A3283" s="86">
        <v>3282</v>
      </c>
      <c r="B3283" s="87">
        <v>48.821152626594994</v>
      </c>
      <c r="C3283" s="14">
        <v>5</v>
      </c>
      <c r="D3283" s="86">
        <v>0.43168345218312931</v>
      </c>
      <c r="E3283" s="86"/>
      <c r="F3283" s="14"/>
    </row>
    <row r="3284" spans="1:6" x14ac:dyDescent="0.25">
      <c r="A3284" s="86">
        <v>3283</v>
      </c>
      <c r="B3284" s="87">
        <v>43.24508608476026</v>
      </c>
      <c r="C3284" s="14">
        <v>1</v>
      </c>
      <c r="D3284" s="86">
        <v>0.77276594416282707</v>
      </c>
      <c r="E3284" s="86"/>
      <c r="F3284" s="14"/>
    </row>
    <row r="3285" spans="1:6" x14ac:dyDescent="0.25">
      <c r="A3285" s="86">
        <v>3284</v>
      </c>
      <c r="B3285" s="87">
        <v>45.114393282681704</v>
      </c>
      <c r="C3285" s="14">
        <v>2</v>
      </c>
      <c r="D3285" s="86">
        <v>0.79075617192472492</v>
      </c>
      <c r="E3285" s="86"/>
      <c r="F3285" s="14"/>
    </row>
    <row r="3286" spans="1:6" x14ac:dyDescent="0.25">
      <c r="A3286" s="86">
        <v>3285</v>
      </c>
      <c r="B3286" s="87">
        <v>44.220894318976207</v>
      </c>
      <c r="C3286" s="14">
        <v>4</v>
      </c>
      <c r="D3286" s="86">
        <v>0.20651121954708618</v>
      </c>
      <c r="E3286" s="86"/>
      <c r="F3286" s="14"/>
    </row>
    <row r="3287" spans="1:6" x14ac:dyDescent="0.25">
      <c r="A3287" s="86">
        <v>3286</v>
      </c>
      <c r="B3287" s="87">
        <v>42.763724645163165</v>
      </c>
      <c r="C3287" s="14">
        <v>2</v>
      </c>
      <c r="D3287" s="86">
        <v>0.62244160804648185</v>
      </c>
      <c r="E3287" s="86"/>
      <c r="F3287" s="14"/>
    </row>
    <row r="3288" spans="1:6" x14ac:dyDescent="0.25">
      <c r="A3288" s="86">
        <v>3287</v>
      </c>
      <c r="B3288" s="87">
        <v>50.89264049672056</v>
      </c>
      <c r="C3288" s="14">
        <v>2</v>
      </c>
      <c r="D3288" s="86">
        <v>0.7918158949743398</v>
      </c>
      <c r="E3288" s="86"/>
      <c r="F3288" s="14"/>
    </row>
    <row r="3289" spans="1:6" x14ac:dyDescent="0.25">
      <c r="A3289" s="86">
        <v>3288</v>
      </c>
      <c r="B3289" s="87">
        <v>39.141229985369137</v>
      </c>
      <c r="C3289" s="14">
        <v>4</v>
      </c>
      <c r="D3289" s="86">
        <v>0.43062111020400262</v>
      </c>
      <c r="E3289" s="86"/>
      <c r="F3289" s="14"/>
    </row>
    <row r="3290" spans="1:6" x14ac:dyDescent="0.25">
      <c r="A3290" s="86">
        <v>3289</v>
      </c>
      <c r="B3290" s="87">
        <v>48.714014150726143</v>
      </c>
      <c r="C3290" s="14">
        <v>4</v>
      </c>
      <c r="D3290" s="86">
        <v>0.16588124491490586</v>
      </c>
      <c r="E3290" s="86"/>
      <c r="F3290" s="14"/>
    </row>
    <row r="3291" spans="1:6" x14ac:dyDescent="0.25">
      <c r="A3291" s="86">
        <v>3290</v>
      </c>
      <c r="B3291" s="87">
        <v>43.51171014092688</v>
      </c>
      <c r="C3291" s="14">
        <v>1</v>
      </c>
      <c r="D3291" s="86">
        <v>0.53723318258345487</v>
      </c>
      <c r="E3291" s="86"/>
      <c r="F3291" s="14"/>
    </row>
    <row r="3292" spans="1:6" x14ac:dyDescent="0.25">
      <c r="A3292" s="86">
        <v>3291</v>
      </c>
      <c r="B3292" s="87">
        <v>49.604591362702195</v>
      </c>
      <c r="C3292" s="14">
        <v>2</v>
      </c>
      <c r="D3292" s="86">
        <v>0.24583819747411928</v>
      </c>
      <c r="E3292" s="86"/>
      <c r="F3292" s="14"/>
    </row>
    <row r="3293" spans="1:6" x14ac:dyDescent="0.25">
      <c r="A3293" s="86">
        <v>3292</v>
      </c>
      <c r="B3293" s="87">
        <v>42.451745225087507</v>
      </c>
      <c r="C3293" s="14">
        <v>2</v>
      </c>
      <c r="D3293" s="86">
        <v>5.307995836365198E-2</v>
      </c>
      <c r="E3293" s="86"/>
      <c r="F3293" s="14"/>
    </row>
    <row r="3294" spans="1:6" x14ac:dyDescent="0.25">
      <c r="A3294" s="86">
        <v>3293</v>
      </c>
      <c r="B3294" s="87">
        <v>36.883261595328804</v>
      </c>
      <c r="C3294" s="14">
        <v>5</v>
      </c>
      <c r="D3294" s="86">
        <v>0.66507880593284208</v>
      </c>
      <c r="E3294" s="86"/>
      <c r="F3294" s="14"/>
    </row>
    <row r="3295" spans="1:6" x14ac:dyDescent="0.25">
      <c r="A3295" s="86">
        <v>3294</v>
      </c>
      <c r="B3295" s="87">
        <v>28.306203598156571</v>
      </c>
      <c r="C3295" s="14">
        <v>4</v>
      </c>
      <c r="D3295" s="86">
        <v>3.1748815648668605E-2</v>
      </c>
      <c r="E3295" s="86"/>
      <c r="F3295" s="14"/>
    </row>
    <row r="3296" spans="1:6" x14ac:dyDescent="0.25">
      <c r="A3296" s="86">
        <v>3295</v>
      </c>
      <c r="B3296" s="87">
        <v>53.018311513704248</v>
      </c>
      <c r="C3296" s="14">
        <v>2</v>
      </c>
      <c r="D3296" s="86">
        <v>9.4913707314386531E-2</v>
      </c>
      <c r="E3296" s="86"/>
      <c r="F3296" s="14"/>
    </row>
    <row r="3297" spans="1:6" x14ac:dyDescent="0.25">
      <c r="A3297" s="86">
        <v>3296</v>
      </c>
      <c r="B3297" s="87">
        <v>52.542100087855943</v>
      </c>
      <c r="C3297" s="14">
        <v>2</v>
      </c>
      <c r="D3297" s="86">
        <v>0.60499876251324958</v>
      </c>
      <c r="E3297" s="86"/>
      <c r="F3297" s="14"/>
    </row>
    <row r="3298" spans="1:6" x14ac:dyDescent="0.25">
      <c r="A3298" s="86">
        <v>3297</v>
      </c>
      <c r="B3298" s="87">
        <v>37.066661201941315</v>
      </c>
      <c r="C3298" s="14">
        <v>5</v>
      </c>
      <c r="D3298" s="86">
        <v>0.7531548769686921</v>
      </c>
      <c r="E3298" s="86"/>
      <c r="F3298" s="14"/>
    </row>
    <row r="3299" spans="1:6" x14ac:dyDescent="0.25">
      <c r="A3299" s="86">
        <v>3298</v>
      </c>
      <c r="B3299" s="87">
        <v>36.893754890450509</v>
      </c>
      <c r="C3299" s="14">
        <v>1</v>
      </c>
      <c r="D3299" s="86">
        <v>0.24890701163587625</v>
      </c>
      <c r="E3299" s="86"/>
      <c r="F3299" s="14"/>
    </row>
    <row r="3300" spans="1:6" x14ac:dyDescent="0.25">
      <c r="A3300" s="86">
        <v>3299</v>
      </c>
      <c r="B3300" s="87">
        <v>48.99253553446033</v>
      </c>
      <c r="C3300" s="14">
        <v>4</v>
      </c>
      <c r="D3300" s="86">
        <v>0.81524225618735469</v>
      </c>
      <c r="E3300" s="86"/>
      <c r="F3300" s="14"/>
    </row>
    <row r="3301" spans="1:6" x14ac:dyDescent="0.25">
      <c r="A3301" s="86">
        <v>3300</v>
      </c>
      <c r="B3301" s="87">
        <v>45.114393282681704</v>
      </c>
      <c r="C3301" s="14">
        <v>4</v>
      </c>
      <c r="D3301" s="86">
        <v>0.55274682199051639</v>
      </c>
      <c r="E3301" s="86"/>
      <c r="F3301" s="14"/>
    </row>
    <row r="3302" spans="1:6" x14ac:dyDescent="0.25">
      <c r="A3302" s="86">
        <v>3301</v>
      </c>
      <c r="B3302" s="87">
        <v>42.290974983523483</v>
      </c>
      <c r="C3302" s="14">
        <v>2</v>
      </c>
      <c r="D3302" s="86">
        <v>0.22588682102727187</v>
      </c>
      <c r="E3302" s="86"/>
      <c r="F3302" s="14"/>
    </row>
    <row r="3303" spans="1:6" x14ac:dyDescent="0.25">
      <c r="A3303" s="86">
        <v>3302</v>
      </c>
      <c r="B3303" s="87">
        <v>60.817365005612373</v>
      </c>
      <c r="C3303" s="14">
        <v>1</v>
      </c>
      <c r="D3303" s="86">
        <v>0.95627454675699208</v>
      </c>
      <c r="E3303" s="86"/>
      <c r="F3303" s="14"/>
    </row>
    <row r="3304" spans="1:6" x14ac:dyDescent="0.25">
      <c r="A3304" s="86">
        <v>3303</v>
      </c>
      <c r="B3304" s="87">
        <v>41.755845354025951</v>
      </c>
      <c r="C3304" s="14">
        <v>5</v>
      </c>
      <c r="D3304" s="86">
        <v>0.52742734896826604</v>
      </c>
      <c r="E3304" s="86"/>
      <c r="F3304" s="14"/>
    </row>
    <row r="3305" spans="1:6" x14ac:dyDescent="0.25">
      <c r="A3305" s="86">
        <v>3304</v>
      </c>
      <c r="B3305" s="87">
        <v>39.009546521236189</v>
      </c>
      <c r="C3305" s="14">
        <v>3</v>
      </c>
      <c r="D3305" s="86">
        <v>0.33036512212998781</v>
      </c>
      <c r="E3305" s="86"/>
      <c r="F3305" s="14"/>
    </row>
    <row r="3306" spans="1:6" x14ac:dyDescent="0.25">
      <c r="A3306" s="86">
        <v>3305</v>
      </c>
      <c r="B3306" s="87">
        <v>43.585589532420272</v>
      </c>
      <c r="C3306" s="14">
        <v>2</v>
      </c>
      <c r="D3306" s="86">
        <v>0.19303874744183547</v>
      </c>
      <c r="E3306" s="86"/>
      <c r="F3306" s="14"/>
    </row>
    <row r="3307" spans="1:6" x14ac:dyDescent="0.25">
      <c r="A3307" s="86">
        <v>3306</v>
      </c>
      <c r="B3307" s="87">
        <v>40.345423707884038</v>
      </c>
      <c r="C3307" s="14">
        <v>5</v>
      </c>
      <c r="D3307" s="86">
        <v>0.65363679294200516</v>
      </c>
      <c r="E3307" s="86"/>
      <c r="F3307" s="14"/>
    </row>
    <row r="3308" spans="1:6" x14ac:dyDescent="0.25">
      <c r="A3308" s="86">
        <v>3307</v>
      </c>
      <c r="B3308" s="87">
        <v>37.282302395731676</v>
      </c>
      <c r="C3308" s="14">
        <v>2</v>
      </c>
      <c r="D3308" s="86">
        <v>0.9248808102392525</v>
      </c>
      <c r="E3308" s="86"/>
      <c r="F3308" s="14"/>
    </row>
    <row r="3309" spans="1:6" x14ac:dyDescent="0.25">
      <c r="A3309" s="86">
        <v>3308</v>
      </c>
      <c r="B3309" s="87">
        <v>48.502363364939811</v>
      </c>
      <c r="C3309" s="14">
        <v>4</v>
      </c>
      <c r="D3309" s="86">
        <v>0.92003661309695306</v>
      </c>
      <c r="E3309" s="86"/>
      <c r="F3309" s="14"/>
    </row>
    <row r="3310" spans="1:6" x14ac:dyDescent="0.25">
      <c r="A3310" s="86">
        <v>3309</v>
      </c>
      <c r="B3310" s="87">
        <v>35.535072124155704</v>
      </c>
      <c r="C3310" s="14">
        <v>2</v>
      </c>
      <c r="D3310" s="86">
        <v>0.89296048371146708</v>
      </c>
      <c r="E3310" s="86"/>
      <c r="F3310" s="14"/>
    </row>
    <row r="3311" spans="1:6" x14ac:dyDescent="0.25">
      <c r="A3311" s="86">
        <v>3310</v>
      </c>
      <c r="B3311" s="87">
        <v>42.215935986285331</v>
      </c>
      <c r="C3311" s="14">
        <v>4</v>
      </c>
      <c r="D3311" s="86">
        <v>0.76177248810825293</v>
      </c>
      <c r="E3311" s="86"/>
      <c r="F3311" s="14"/>
    </row>
    <row r="3312" spans="1:6" x14ac:dyDescent="0.25">
      <c r="A3312" s="86">
        <v>3311</v>
      </c>
      <c r="B3312" s="87">
        <v>38.65380903732148</v>
      </c>
      <c r="C3312" s="14">
        <v>4</v>
      </c>
      <c r="D3312" s="86">
        <v>0.68849061705046288</v>
      </c>
      <c r="E3312" s="86"/>
      <c r="F3312" s="14"/>
    </row>
    <row r="3313" spans="1:6" x14ac:dyDescent="0.25">
      <c r="A3313" s="86">
        <v>3312</v>
      </c>
      <c r="B3313" s="87">
        <v>42.017791196820326</v>
      </c>
      <c r="C3313" s="14">
        <v>2</v>
      </c>
      <c r="D3313" s="86">
        <v>2.6421916540110058E-2</v>
      </c>
      <c r="E3313" s="86"/>
      <c r="F3313" s="14"/>
    </row>
    <row r="3314" spans="1:6" x14ac:dyDescent="0.25">
      <c r="A3314" s="86">
        <v>3313</v>
      </c>
      <c r="B3314" s="87">
        <v>42.864769506530138</v>
      </c>
      <c r="C3314" s="14">
        <v>2</v>
      </c>
      <c r="D3314" s="86">
        <v>0.83746071718957671</v>
      </c>
      <c r="E3314" s="86"/>
      <c r="F3314" s="14"/>
    </row>
    <row r="3315" spans="1:6" x14ac:dyDescent="0.25">
      <c r="A3315" s="86">
        <v>3314</v>
      </c>
      <c r="B3315" s="87">
        <v>47.306707523937803</v>
      </c>
      <c r="C3315" s="14">
        <v>5</v>
      </c>
      <c r="D3315" s="86">
        <v>0.21504908985119087</v>
      </c>
      <c r="E3315" s="86"/>
      <c r="F3315" s="14"/>
    </row>
    <row r="3316" spans="1:6" x14ac:dyDescent="0.25">
      <c r="A3316" s="86">
        <v>3315</v>
      </c>
      <c r="B3316" s="87">
        <v>42.301792286132695</v>
      </c>
      <c r="C3316" s="14">
        <v>2</v>
      </c>
      <c r="D3316" s="86">
        <v>0.51249821510095794</v>
      </c>
      <c r="E3316" s="86"/>
      <c r="F3316" s="14"/>
    </row>
    <row r="3317" spans="1:6" x14ac:dyDescent="0.25">
      <c r="A3317" s="86">
        <v>3316</v>
      </c>
      <c r="B3317" s="87">
        <v>48.047945705882739</v>
      </c>
      <c r="C3317" s="14">
        <v>2</v>
      </c>
      <c r="D3317" s="86">
        <v>0.20740158345682203</v>
      </c>
      <c r="E3317" s="86"/>
      <c r="F3317" s="14"/>
    </row>
    <row r="3318" spans="1:6" x14ac:dyDescent="0.25">
      <c r="A3318" s="86">
        <v>3317</v>
      </c>
      <c r="B3318" s="87">
        <v>51.682900443091057</v>
      </c>
      <c r="C3318" s="14">
        <v>5</v>
      </c>
      <c r="D3318" s="86">
        <v>0.58491173105126193</v>
      </c>
      <c r="E3318" s="86"/>
      <c r="F3318" s="14"/>
    </row>
    <row r="3319" spans="1:6" x14ac:dyDescent="0.25">
      <c r="A3319" s="86">
        <v>3318</v>
      </c>
      <c r="B3319" s="87">
        <v>41.629186848120298</v>
      </c>
      <c r="C3319" s="14">
        <v>5</v>
      </c>
      <c r="D3319" s="86">
        <v>0.14429907724866675</v>
      </c>
      <c r="E3319" s="86"/>
      <c r="F3319" s="14"/>
    </row>
    <row r="3320" spans="1:6" x14ac:dyDescent="0.25">
      <c r="A3320" s="86">
        <v>3319</v>
      </c>
      <c r="B3320" s="87">
        <v>36.807375631149625</v>
      </c>
      <c r="C3320" s="14">
        <v>2</v>
      </c>
      <c r="D3320" s="86">
        <v>0.32055830910235261</v>
      </c>
      <c r="E3320" s="86"/>
      <c r="F3320" s="14"/>
    </row>
    <row r="3321" spans="1:6" x14ac:dyDescent="0.25">
      <c r="A3321" s="86">
        <v>3320</v>
      </c>
      <c r="B3321" s="87">
        <v>41.215400864864932</v>
      </c>
      <c r="C3321" s="14">
        <v>4</v>
      </c>
      <c r="D3321" s="86">
        <v>9.9517060741019958E-2</v>
      </c>
      <c r="E3321" s="86"/>
      <c r="F3321" s="14"/>
    </row>
    <row r="3322" spans="1:6" x14ac:dyDescent="0.25">
      <c r="A3322" s="86">
        <v>3321</v>
      </c>
      <c r="B3322" s="87">
        <v>43.769739472161746</v>
      </c>
      <c r="C3322" s="14">
        <v>2</v>
      </c>
      <c r="D3322" s="86">
        <v>0.73325033771887382</v>
      </c>
      <c r="E3322" s="86"/>
      <c r="F3322" s="14"/>
    </row>
    <row r="3323" spans="1:6" x14ac:dyDescent="0.25">
      <c r="A3323" s="86">
        <v>3322</v>
      </c>
      <c r="B3323" s="87">
        <v>36.686992638686206</v>
      </c>
      <c r="C3323" s="14">
        <v>2</v>
      </c>
      <c r="D3323" s="86">
        <v>0.9624882690038542</v>
      </c>
      <c r="E3323" s="86"/>
      <c r="F3323" s="14"/>
    </row>
    <row r="3324" spans="1:6" x14ac:dyDescent="0.25">
      <c r="A3324" s="86">
        <v>3323</v>
      </c>
      <c r="B3324" s="87">
        <v>42.773297076899325</v>
      </c>
      <c r="C3324" s="14">
        <v>4</v>
      </c>
      <c r="D3324" s="86">
        <v>0.48039043223242783</v>
      </c>
      <c r="E3324" s="86"/>
      <c r="F3324" s="14"/>
    </row>
    <row r="3325" spans="1:6" x14ac:dyDescent="0.25">
      <c r="A3325" s="86">
        <v>3324</v>
      </c>
      <c r="B3325" s="87">
        <v>43.248530795943225</v>
      </c>
      <c r="C3325" s="14">
        <v>2</v>
      </c>
      <c r="D3325" s="86">
        <v>0.48973607675719844</v>
      </c>
      <c r="E3325" s="86"/>
      <c r="F3325" s="14"/>
    </row>
    <row r="3326" spans="1:6" x14ac:dyDescent="0.25">
      <c r="A3326" s="86">
        <v>3325</v>
      </c>
      <c r="B3326" s="87">
        <v>47.550179255602416</v>
      </c>
      <c r="C3326" s="14">
        <v>2</v>
      </c>
      <c r="D3326" s="86">
        <v>0.72775914353105708</v>
      </c>
      <c r="E3326" s="86"/>
      <c r="F3326" s="14"/>
    </row>
    <row r="3327" spans="1:6" x14ac:dyDescent="0.25">
      <c r="A3327" s="86">
        <v>3326</v>
      </c>
      <c r="B3327" s="87">
        <v>41.546388724207645</v>
      </c>
      <c r="C3327" s="14">
        <v>2</v>
      </c>
      <c r="D3327" s="86">
        <v>0.91283807177935528</v>
      </c>
      <c r="E3327" s="86"/>
      <c r="F3327" s="14"/>
    </row>
    <row r="3328" spans="1:6" x14ac:dyDescent="0.25">
      <c r="A3328" s="86">
        <v>3327</v>
      </c>
      <c r="B3328" s="87">
        <v>45.512081209715689</v>
      </c>
      <c r="C3328" s="14">
        <v>1</v>
      </c>
      <c r="D3328" s="86">
        <v>1.9911940780178994E-2</v>
      </c>
      <c r="E3328" s="86"/>
      <c r="F3328" s="14"/>
    </row>
    <row r="3329" spans="1:6" x14ac:dyDescent="0.25">
      <c r="A3329" s="86">
        <v>3328</v>
      </c>
      <c r="B3329" s="87">
        <v>35.011521499080118</v>
      </c>
      <c r="C3329" s="14">
        <v>2</v>
      </c>
      <c r="D3329" s="86">
        <v>0.53822905561470524</v>
      </c>
      <c r="E3329" s="86"/>
      <c r="F3329" s="14"/>
    </row>
    <row r="3330" spans="1:6" x14ac:dyDescent="0.25">
      <c r="A3330" s="86">
        <v>3329</v>
      </c>
      <c r="B3330" s="87">
        <v>45.624244643811835</v>
      </c>
      <c r="C3330" s="14">
        <v>4</v>
      </c>
      <c r="D3330" s="86">
        <v>0.23384623582687636</v>
      </c>
      <c r="E3330" s="86"/>
      <c r="F3330" s="14"/>
    </row>
    <row r="3331" spans="1:6" x14ac:dyDescent="0.25">
      <c r="A3331" s="86">
        <v>3330</v>
      </c>
      <c r="B3331" s="87">
        <v>40.66131395517732</v>
      </c>
      <c r="C3331" s="14">
        <v>4</v>
      </c>
      <c r="D3331" s="86">
        <v>0.33366727524492157</v>
      </c>
      <c r="E3331" s="86"/>
      <c r="F3331" s="14"/>
    </row>
    <row r="3332" spans="1:6" x14ac:dyDescent="0.25">
      <c r="A3332" s="86">
        <v>3331</v>
      </c>
      <c r="B3332" s="87">
        <v>33.516334946732968</v>
      </c>
      <c r="C3332" s="14">
        <v>5</v>
      </c>
      <c r="D3332" s="86">
        <v>5.6751650409628818E-2</v>
      </c>
      <c r="E3332" s="86"/>
      <c r="F3332" s="14"/>
    </row>
    <row r="3333" spans="1:6" x14ac:dyDescent="0.25">
      <c r="A3333" s="86">
        <v>3332</v>
      </c>
      <c r="B3333" s="87">
        <v>55.887903722003102</v>
      </c>
      <c r="C3333" s="14">
        <v>1</v>
      </c>
      <c r="D3333" s="86">
        <v>0.51209875411055394</v>
      </c>
      <c r="E3333" s="86"/>
      <c r="F3333" s="14"/>
    </row>
    <row r="3334" spans="1:6" x14ac:dyDescent="0.25">
      <c r="A3334" s="86">
        <v>3333</v>
      </c>
      <c r="B3334" s="87">
        <v>50.132007340260316</v>
      </c>
      <c r="C3334" s="14">
        <v>1</v>
      </c>
      <c r="D3334" s="86">
        <v>0.1124635548161802</v>
      </c>
      <c r="E3334" s="86"/>
      <c r="F3334" s="14"/>
    </row>
    <row r="3335" spans="1:6" x14ac:dyDescent="0.25">
      <c r="A3335" s="86">
        <v>3334</v>
      </c>
      <c r="B3335" s="87">
        <v>48.0792436923075</v>
      </c>
      <c r="C3335" s="14">
        <v>2</v>
      </c>
      <c r="D3335" s="86">
        <v>0.29964205882141792</v>
      </c>
      <c r="E3335" s="86"/>
      <c r="F3335" s="14"/>
    </row>
    <row r="3336" spans="1:6" x14ac:dyDescent="0.25">
      <c r="A3336" s="86">
        <v>3335</v>
      </c>
      <c r="B3336" s="87">
        <v>49.549157660629135</v>
      </c>
      <c r="C3336" s="14">
        <v>4</v>
      </c>
      <c r="D3336" s="86">
        <v>0.74975239595794174</v>
      </c>
      <c r="E3336" s="86"/>
      <c r="F3336" s="14"/>
    </row>
    <row r="3337" spans="1:6" x14ac:dyDescent="0.25">
      <c r="A3337" s="86">
        <v>3336</v>
      </c>
      <c r="B3337" s="87">
        <v>49.824143383710179</v>
      </c>
      <c r="C3337" s="14">
        <v>1</v>
      </c>
      <c r="D3337" s="86">
        <v>0.13729479854380178</v>
      </c>
      <c r="E3337" s="86"/>
      <c r="F3337" s="14"/>
    </row>
    <row r="3338" spans="1:6" x14ac:dyDescent="0.25">
      <c r="A3338" s="86">
        <v>3337</v>
      </c>
      <c r="B3338" s="87">
        <v>47.689684374170611</v>
      </c>
      <c r="C3338" s="14">
        <v>4</v>
      </c>
      <c r="D3338" s="86">
        <v>0.33099979272480362</v>
      </c>
      <c r="E3338" s="86"/>
      <c r="F3338" s="14"/>
    </row>
    <row r="3339" spans="1:6" x14ac:dyDescent="0.25">
      <c r="A3339" s="86">
        <v>3338</v>
      </c>
      <c r="B3339" s="87">
        <v>39.8248346249311</v>
      </c>
      <c r="C3339" s="14">
        <v>1</v>
      </c>
      <c r="D3339" s="86">
        <v>0.98560844052597607</v>
      </c>
      <c r="E3339" s="86"/>
      <c r="F3339" s="14"/>
    </row>
    <row r="3340" spans="1:6" x14ac:dyDescent="0.25">
      <c r="A3340" s="86">
        <v>3339</v>
      </c>
      <c r="B3340" s="87">
        <v>52.014183888211846</v>
      </c>
      <c r="C3340" s="14">
        <v>3</v>
      </c>
      <c r="D3340" s="86">
        <v>0.55743187775861536</v>
      </c>
      <c r="E3340" s="86"/>
      <c r="F3340" s="14"/>
    </row>
    <row r="3341" spans="1:6" x14ac:dyDescent="0.25">
      <c r="A3341" s="86">
        <v>3340</v>
      </c>
      <c r="B3341" s="87">
        <v>46.076115717703942</v>
      </c>
      <c r="C3341" s="14">
        <v>2</v>
      </c>
      <c r="D3341" s="86">
        <v>0.95827259387537678</v>
      </c>
      <c r="E3341" s="86"/>
      <c r="F3341" s="14"/>
    </row>
    <row r="3342" spans="1:6" x14ac:dyDescent="0.25">
      <c r="A3342" s="86">
        <v>3341</v>
      </c>
      <c r="B3342" s="87">
        <v>44.197264509755769</v>
      </c>
      <c r="C3342" s="14">
        <v>5</v>
      </c>
      <c r="D3342" s="86">
        <v>0.86682495510087532</v>
      </c>
      <c r="E3342" s="86"/>
      <c r="F3342" s="14"/>
    </row>
    <row r="3343" spans="1:6" x14ac:dyDescent="0.25">
      <c r="A3343" s="86">
        <v>3342</v>
      </c>
      <c r="B3343" s="87">
        <v>45.371587015659316</v>
      </c>
      <c r="C3343" s="14">
        <v>2</v>
      </c>
      <c r="D3343" s="86">
        <v>0.69464946312237541</v>
      </c>
      <c r="E3343" s="86"/>
      <c r="F3343" s="14"/>
    </row>
    <row r="3344" spans="1:6" x14ac:dyDescent="0.25">
      <c r="A3344" s="86">
        <v>3343</v>
      </c>
      <c r="B3344" s="87">
        <v>41.380371835082769</v>
      </c>
      <c r="C3344" s="14">
        <v>3</v>
      </c>
      <c r="D3344" s="86">
        <v>0.92546696069527146</v>
      </c>
      <c r="E3344" s="86"/>
      <c r="F3344" s="14"/>
    </row>
    <row r="3345" spans="1:6" x14ac:dyDescent="0.25">
      <c r="A3345" s="86">
        <v>3344</v>
      </c>
      <c r="B3345" s="87">
        <v>52.02782630873844</v>
      </c>
      <c r="C3345" s="14">
        <v>4</v>
      </c>
      <c r="D3345" s="86">
        <v>0.25223789513445893</v>
      </c>
      <c r="E3345" s="86"/>
      <c r="F3345" s="14"/>
    </row>
    <row r="3346" spans="1:6" x14ac:dyDescent="0.25">
      <c r="A3346" s="86">
        <v>3345</v>
      </c>
      <c r="B3346" s="87">
        <v>37.250561030639801</v>
      </c>
      <c r="C3346" s="14">
        <v>4</v>
      </c>
      <c r="D3346" s="86">
        <v>0.98303677979822091</v>
      </c>
      <c r="E3346" s="86"/>
      <c r="F3346" s="14"/>
    </row>
    <row r="3347" spans="1:6" x14ac:dyDescent="0.25">
      <c r="A3347" s="86">
        <v>3346</v>
      </c>
      <c r="B3347" s="87">
        <v>43.783285258876276</v>
      </c>
      <c r="C3347" s="14">
        <v>2</v>
      </c>
      <c r="D3347" s="86">
        <v>0.71103847718303204</v>
      </c>
      <c r="E3347" s="86"/>
      <c r="F3347" s="14"/>
    </row>
    <row r="3348" spans="1:6" x14ac:dyDescent="0.25">
      <c r="A3348" s="86">
        <v>3347</v>
      </c>
      <c r="B3348" s="87">
        <v>47.604839887178969</v>
      </c>
      <c r="C3348" s="14">
        <v>2</v>
      </c>
      <c r="D3348" s="86">
        <v>0.53792232415004682</v>
      </c>
      <c r="E3348" s="86"/>
      <c r="F3348" s="14"/>
    </row>
    <row r="3349" spans="1:6" x14ac:dyDescent="0.25">
      <c r="A3349" s="86">
        <v>3348</v>
      </c>
      <c r="B3349" s="87">
        <v>48.160654836799949</v>
      </c>
      <c r="C3349" s="14">
        <v>4</v>
      </c>
      <c r="D3349" s="86">
        <v>0.16958188669142316</v>
      </c>
      <c r="E3349" s="86"/>
      <c r="F3349" s="14"/>
    </row>
    <row r="3350" spans="1:6" x14ac:dyDescent="0.25">
      <c r="A3350" s="86">
        <v>3349</v>
      </c>
      <c r="B3350" s="87">
        <v>40.372685811569681</v>
      </c>
      <c r="C3350" s="14">
        <v>2</v>
      </c>
      <c r="D3350" s="86">
        <v>0.76631484033111019</v>
      </c>
      <c r="E3350" s="86"/>
      <c r="F3350" s="14"/>
    </row>
    <row r="3351" spans="1:6" x14ac:dyDescent="0.25">
      <c r="A3351" s="86">
        <v>3350</v>
      </c>
      <c r="B3351" s="87">
        <v>28.362956067547202</v>
      </c>
      <c r="C3351" s="14">
        <v>5</v>
      </c>
      <c r="D3351" s="86">
        <v>5.677758993083093E-2</v>
      </c>
      <c r="E3351" s="86"/>
      <c r="F3351" s="14"/>
    </row>
    <row r="3352" spans="1:6" x14ac:dyDescent="0.25">
      <c r="A3352" s="86">
        <v>3351</v>
      </c>
      <c r="B3352" s="87">
        <v>39.962617387907812</v>
      </c>
      <c r="C3352" s="14">
        <v>1</v>
      </c>
      <c r="D3352" s="86">
        <v>0.38869192492622628</v>
      </c>
      <c r="E3352" s="86"/>
      <c r="F3352" s="14"/>
    </row>
    <row r="3353" spans="1:6" x14ac:dyDescent="0.25">
      <c r="A3353" s="86">
        <v>3352</v>
      </c>
      <c r="B3353" s="87">
        <v>39.088990883436054</v>
      </c>
      <c r="C3353" s="14">
        <v>1</v>
      </c>
      <c r="D3353" s="86">
        <v>0.52182665788599392</v>
      </c>
      <c r="E3353" s="86"/>
      <c r="F3353" s="14"/>
    </row>
    <row r="3354" spans="1:6" x14ac:dyDescent="0.25">
      <c r="A3354" s="86">
        <v>3353</v>
      </c>
      <c r="B3354" s="87">
        <v>51.885126590030268</v>
      </c>
      <c r="C3354" s="14">
        <v>2</v>
      </c>
      <c r="D3354" s="86">
        <v>0.36008987401792558</v>
      </c>
      <c r="E3354" s="86"/>
      <c r="F3354" s="14"/>
    </row>
    <row r="3355" spans="1:6" x14ac:dyDescent="0.25">
      <c r="A3355" s="86">
        <v>3354</v>
      </c>
      <c r="B3355" s="87">
        <v>50.867470230848994</v>
      </c>
      <c r="C3355" s="14">
        <v>2</v>
      </c>
      <c r="D3355" s="86">
        <v>0.12537002831351918</v>
      </c>
      <c r="E3355" s="86"/>
      <c r="F3355" s="14"/>
    </row>
    <row r="3356" spans="1:6" x14ac:dyDescent="0.25">
      <c r="A3356" s="86">
        <v>3355</v>
      </c>
      <c r="B3356" s="87">
        <v>53.31758074532263</v>
      </c>
      <c r="C3356" s="14">
        <v>2</v>
      </c>
      <c r="D3356" s="86">
        <v>0.77032499518590825</v>
      </c>
      <c r="E3356" s="86"/>
      <c r="F3356" s="14"/>
    </row>
    <row r="3357" spans="1:6" x14ac:dyDescent="0.25">
      <c r="A3357" s="86">
        <v>3356</v>
      </c>
      <c r="B3357" s="87">
        <v>43.72332113632001</v>
      </c>
      <c r="C3357" s="14">
        <v>2</v>
      </c>
      <c r="D3357" s="86">
        <v>0.59764241567819643</v>
      </c>
      <c r="E3357" s="86"/>
      <c r="F3357" s="14"/>
    </row>
    <row r="3358" spans="1:6" x14ac:dyDescent="0.25">
      <c r="A3358" s="86">
        <v>3357</v>
      </c>
      <c r="B3358" s="87">
        <v>41.360203790070955</v>
      </c>
      <c r="C3358" s="14">
        <v>1</v>
      </c>
      <c r="D3358" s="86">
        <v>0.69455159704959946</v>
      </c>
      <c r="E3358" s="86"/>
      <c r="F3358" s="14"/>
    </row>
    <row r="3359" spans="1:6" x14ac:dyDescent="0.25">
      <c r="A3359" s="86">
        <v>3358</v>
      </c>
      <c r="B3359" s="87">
        <v>50.463768270099536</v>
      </c>
      <c r="C3359" s="14">
        <v>4</v>
      </c>
      <c r="D3359" s="86">
        <v>0.55565522320676886</v>
      </c>
      <c r="E3359" s="86"/>
      <c r="F3359" s="14"/>
    </row>
    <row r="3360" spans="1:6" x14ac:dyDescent="0.25">
      <c r="A3360" s="86">
        <v>3359</v>
      </c>
      <c r="B3360" s="87">
        <v>47.723040092358133</v>
      </c>
      <c r="C3360" s="14">
        <v>4</v>
      </c>
      <c r="D3360" s="86">
        <v>5.8014317619683231E-2</v>
      </c>
      <c r="E3360" s="86"/>
      <c r="F3360" s="14"/>
    </row>
    <row r="3361" spans="1:6" x14ac:dyDescent="0.25">
      <c r="A3361" s="86">
        <v>3360</v>
      </c>
      <c r="B3361" s="87">
        <v>37.870518094103318</v>
      </c>
      <c r="C3361" s="14">
        <v>5</v>
      </c>
      <c r="D3361" s="86">
        <v>0.67437386432302293</v>
      </c>
      <c r="E3361" s="86"/>
      <c r="F3361" s="14"/>
    </row>
    <row r="3362" spans="1:6" x14ac:dyDescent="0.25">
      <c r="A3362" s="86">
        <v>3361</v>
      </c>
      <c r="B3362" s="87">
        <v>41.912670662321034</v>
      </c>
      <c r="C3362" s="14">
        <v>2</v>
      </c>
      <c r="D3362" s="86">
        <v>0.28700317573077316</v>
      </c>
      <c r="E3362" s="86"/>
      <c r="F3362" s="14"/>
    </row>
    <row r="3363" spans="1:6" x14ac:dyDescent="0.25">
      <c r="A3363" s="86">
        <v>3362</v>
      </c>
      <c r="B3363" s="87">
        <v>44.444038844056195</v>
      </c>
      <c r="C3363" s="14">
        <v>3</v>
      </c>
      <c r="D3363" s="86">
        <v>0.43482520737475716</v>
      </c>
      <c r="E3363" s="86"/>
      <c r="F3363" s="14"/>
    </row>
    <row r="3364" spans="1:6" x14ac:dyDescent="0.25">
      <c r="A3364" s="86">
        <v>3363</v>
      </c>
      <c r="B3364" s="87">
        <v>42.797796590428334</v>
      </c>
      <c r="C3364" s="14">
        <v>4</v>
      </c>
      <c r="D3364" s="86">
        <v>0.5481594912415545</v>
      </c>
      <c r="E3364" s="86"/>
      <c r="F3364" s="14"/>
    </row>
    <row r="3365" spans="1:6" x14ac:dyDescent="0.25">
      <c r="A3365" s="86">
        <v>3364</v>
      </c>
      <c r="B3365" s="87">
        <v>45.638296336954227</v>
      </c>
      <c r="C3365" s="14">
        <v>4</v>
      </c>
      <c r="D3365" s="86">
        <v>0.66882197224768969</v>
      </c>
      <c r="E3365" s="86"/>
      <c r="F3365" s="14"/>
    </row>
    <row r="3366" spans="1:6" x14ac:dyDescent="0.25">
      <c r="A3366" s="86">
        <v>3365</v>
      </c>
      <c r="B3366" s="87">
        <v>41.179487192828674</v>
      </c>
      <c r="C3366" s="14">
        <v>5</v>
      </c>
      <c r="D3366" s="86">
        <v>0.22992960606294333</v>
      </c>
      <c r="E3366" s="86"/>
      <c r="F3366" s="14"/>
    </row>
    <row r="3367" spans="1:6" x14ac:dyDescent="0.25">
      <c r="A3367" s="86">
        <v>3366</v>
      </c>
      <c r="B3367" s="87">
        <v>44.065018295776099</v>
      </c>
      <c r="C3367" s="14">
        <v>5</v>
      </c>
      <c r="D3367" s="86">
        <v>8.0904885177967012E-2</v>
      </c>
      <c r="E3367" s="86"/>
      <c r="F3367" s="14"/>
    </row>
    <row r="3368" spans="1:6" x14ac:dyDescent="0.25">
      <c r="A3368" s="86">
        <v>3367</v>
      </c>
      <c r="B3368" s="87">
        <v>42.33460799184104</v>
      </c>
      <c r="C3368" s="14">
        <v>3</v>
      </c>
      <c r="D3368" s="86">
        <v>0.60004543106587072</v>
      </c>
      <c r="E3368" s="86"/>
      <c r="F3368" s="14"/>
    </row>
    <row r="3369" spans="1:6" x14ac:dyDescent="0.25">
      <c r="A3369" s="86">
        <v>3368</v>
      </c>
      <c r="B3369" s="87">
        <v>40.880166802133317</v>
      </c>
      <c r="C3369" s="14">
        <v>2</v>
      </c>
      <c r="D3369" s="86">
        <v>0.16431700486296674</v>
      </c>
      <c r="E3369" s="86"/>
      <c r="F3369" s="14"/>
    </row>
    <row r="3370" spans="1:6" x14ac:dyDescent="0.25">
      <c r="A3370" s="86">
        <v>3369</v>
      </c>
      <c r="B3370" s="87">
        <v>42.115095761226257</v>
      </c>
      <c r="C3370" s="14">
        <v>5</v>
      </c>
      <c r="D3370" s="86">
        <v>0.29617598119049171</v>
      </c>
      <c r="E3370" s="86"/>
      <c r="F3370" s="14"/>
    </row>
    <row r="3371" spans="1:6" x14ac:dyDescent="0.25">
      <c r="A3371" s="86">
        <v>3370</v>
      </c>
      <c r="B3371" s="87">
        <v>47.111541329621105</v>
      </c>
      <c r="C3371" s="14">
        <v>4</v>
      </c>
      <c r="D3371" s="86">
        <v>9.5587329827673262E-2</v>
      </c>
      <c r="E3371" s="86"/>
      <c r="F3371" s="14"/>
    </row>
    <row r="3372" spans="1:6" x14ac:dyDescent="0.25">
      <c r="A3372" s="86">
        <v>3371</v>
      </c>
      <c r="B3372" s="87">
        <v>42.730022182120592</v>
      </c>
      <c r="C3372" s="14">
        <v>3</v>
      </c>
      <c r="D3372" s="86">
        <v>0.87568637058628673</v>
      </c>
      <c r="E3372" s="86"/>
      <c r="F3372" s="14"/>
    </row>
    <row r="3373" spans="1:6" x14ac:dyDescent="0.25">
      <c r="A3373" s="86">
        <v>3372</v>
      </c>
      <c r="B3373" s="87">
        <v>42.209740053629503</v>
      </c>
      <c r="C3373" s="14">
        <v>2</v>
      </c>
      <c r="D3373" s="86">
        <v>0.82323076625271296</v>
      </c>
      <c r="E3373" s="86"/>
      <c r="F3373" s="14"/>
    </row>
    <row r="3374" spans="1:6" x14ac:dyDescent="0.25">
      <c r="A3374" s="86">
        <v>3373</v>
      </c>
      <c r="B3374" s="87">
        <v>55.530472304206342</v>
      </c>
      <c r="C3374" s="14">
        <v>4</v>
      </c>
      <c r="D3374" s="86">
        <v>0.67346828164697425</v>
      </c>
      <c r="E3374" s="86"/>
      <c r="F3374" s="14"/>
    </row>
    <row r="3375" spans="1:6" x14ac:dyDescent="0.25">
      <c r="A3375" s="86">
        <v>3374</v>
      </c>
      <c r="B3375" s="87">
        <v>37.419886206742376</v>
      </c>
      <c r="C3375" s="14">
        <v>5</v>
      </c>
      <c r="D3375" s="86">
        <v>0.9978869483504984</v>
      </c>
      <c r="E3375" s="86"/>
      <c r="F3375" s="14"/>
    </row>
    <row r="3376" spans="1:6" x14ac:dyDescent="0.25">
      <c r="A3376" s="86">
        <v>3375</v>
      </c>
      <c r="B3376" s="87">
        <v>42.639192083122907</v>
      </c>
      <c r="C3376" s="14">
        <v>2</v>
      </c>
      <c r="D3376" s="86">
        <v>0.45627117116561144</v>
      </c>
      <c r="E3376" s="86"/>
      <c r="F3376" s="14"/>
    </row>
    <row r="3377" spans="1:6" x14ac:dyDescent="0.25">
      <c r="A3377" s="86">
        <v>3376</v>
      </c>
      <c r="B3377" s="87">
        <v>37.911138401221251</v>
      </c>
      <c r="C3377" s="14">
        <v>5</v>
      </c>
      <c r="D3377" s="86">
        <v>0.14536079118395639</v>
      </c>
      <c r="E3377" s="86"/>
      <c r="F3377" s="14"/>
    </row>
    <row r="3378" spans="1:6" x14ac:dyDescent="0.25">
      <c r="A3378" s="86">
        <v>3377</v>
      </c>
      <c r="B3378" s="87">
        <v>44.488359657741967</v>
      </c>
      <c r="C3378" s="14">
        <v>4</v>
      </c>
      <c r="D3378" s="86">
        <v>0.27328098802726353</v>
      </c>
      <c r="E3378" s="86"/>
      <c r="F3378" s="14"/>
    </row>
    <row r="3379" spans="1:6" x14ac:dyDescent="0.25">
      <c r="A3379" s="86">
        <v>3378</v>
      </c>
      <c r="B3379" s="87">
        <v>41.133222334217862</v>
      </c>
      <c r="C3379" s="14">
        <v>2</v>
      </c>
      <c r="D3379" s="86">
        <v>0.77204262156463677</v>
      </c>
      <c r="E3379" s="86"/>
      <c r="F3379" s="14"/>
    </row>
    <row r="3380" spans="1:6" x14ac:dyDescent="0.25">
      <c r="A3380" s="86">
        <v>3379</v>
      </c>
      <c r="B3380" s="87">
        <v>40.108989191474393</v>
      </c>
      <c r="C3380" s="14">
        <v>4</v>
      </c>
      <c r="D3380" s="86">
        <v>0.9466115560295606</v>
      </c>
      <c r="E3380" s="86"/>
      <c r="F3380" s="14"/>
    </row>
    <row r="3381" spans="1:6" x14ac:dyDescent="0.25">
      <c r="A3381" s="86">
        <v>3380</v>
      </c>
      <c r="B3381" s="87">
        <v>34.033951118879486</v>
      </c>
      <c r="C3381" s="14">
        <v>2</v>
      </c>
      <c r="D3381" s="86">
        <v>0.868379888899799</v>
      </c>
      <c r="E3381" s="86"/>
      <c r="F3381" s="14"/>
    </row>
    <row r="3382" spans="1:6" x14ac:dyDescent="0.25">
      <c r="A3382" s="86">
        <v>3381</v>
      </c>
      <c r="B3382" s="87">
        <v>47.191997504676692</v>
      </c>
      <c r="C3382" s="14">
        <v>4</v>
      </c>
      <c r="D3382" s="86">
        <v>3.6978210265447009E-2</v>
      </c>
      <c r="E3382" s="86"/>
      <c r="F3382" s="14"/>
    </row>
    <row r="3383" spans="1:6" x14ac:dyDescent="0.25">
      <c r="A3383" s="86">
        <v>3382</v>
      </c>
      <c r="B3383" s="87">
        <v>32.792468113591895</v>
      </c>
      <c r="C3383" s="14">
        <v>3</v>
      </c>
      <c r="D3383" s="86">
        <v>0.360660419482423</v>
      </c>
      <c r="E3383" s="86"/>
      <c r="F3383" s="14"/>
    </row>
    <row r="3384" spans="1:6" x14ac:dyDescent="0.25">
      <c r="A3384" s="86">
        <v>3383</v>
      </c>
      <c r="B3384" s="87">
        <v>43.680057610225049</v>
      </c>
      <c r="C3384" s="14">
        <v>5</v>
      </c>
      <c r="D3384" s="86">
        <v>0.84698621717671052</v>
      </c>
      <c r="E3384" s="86"/>
      <c r="F3384" s="14"/>
    </row>
    <row r="3385" spans="1:6" x14ac:dyDescent="0.25">
      <c r="A3385" s="86">
        <v>3384</v>
      </c>
      <c r="B3385" s="87">
        <v>45.357899120397633</v>
      </c>
      <c r="C3385" s="14">
        <v>1</v>
      </c>
      <c r="D3385" s="86">
        <v>0.49058739098319448</v>
      </c>
      <c r="E3385" s="86"/>
      <c r="F3385" s="14"/>
    </row>
    <row r="3386" spans="1:6" x14ac:dyDescent="0.25">
      <c r="A3386" s="86">
        <v>3385</v>
      </c>
      <c r="B3386" s="87">
        <v>44.939565663633402</v>
      </c>
      <c r="C3386" s="14">
        <v>1</v>
      </c>
      <c r="D3386" s="86">
        <v>0.24785800719344342</v>
      </c>
      <c r="E3386" s="86"/>
      <c r="F3386" s="14"/>
    </row>
    <row r="3387" spans="1:6" x14ac:dyDescent="0.25">
      <c r="A3387" s="86">
        <v>3386</v>
      </c>
      <c r="B3387" s="87">
        <v>44.058759835359524</v>
      </c>
      <c r="C3387" s="14">
        <v>2</v>
      </c>
      <c r="D3387" s="86">
        <v>0.64332588421101344</v>
      </c>
      <c r="E3387" s="86"/>
      <c r="F3387" s="14"/>
    </row>
    <row r="3388" spans="1:6" x14ac:dyDescent="0.25">
      <c r="A3388" s="86">
        <v>3387</v>
      </c>
      <c r="B3388" s="87">
        <v>35.708899299032055</v>
      </c>
      <c r="C3388" s="14">
        <v>2</v>
      </c>
      <c r="D3388" s="86">
        <v>0.45356155532015652</v>
      </c>
      <c r="E3388" s="86"/>
      <c r="F3388" s="14"/>
    </row>
    <row r="3389" spans="1:6" x14ac:dyDescent="0.25">
      <c r="A3389" s="86">
        <v>3388</v>
      </c>
      <c r="B3389" s="87">
        <v>47.370247097540414</v>
      </c>
      <c r="C3389" s="14">
        <v>1</v>
      </c>
      <c r="D3389" s="86">
        <v>0.78622635313612799</v>
      </c>
      <c r="E3389" s="86"/>
      <c r="F3389" s="14"/>
    </row>
    <row r="3390" spans="1:6" x14ac:dyDescent="0.25">
      <c r="A3390" s="86">
        <v>3389</v>
      </c>
      <c r="B3390" s="87">
        <v>40.388476913329214</v>
      </c>
      <c r="C3390" s="14">
        <v>5</v>
      </c>
      <c r="D3390" s="86">
        <v>0.68811882076897635</v>
      </c>
      <c r="E3390" s="86"/>
      <c r="F3390" s="14"/>
    </row>
    <row r="3391" spans="1:6" x14ac:dyDescent="0.25">
      <c r="A3391" s="86">
        <v>3390</v>
      </c>
      <c r="B3391" s="87">
        <v>40.333520695974585</v>
      </c>
      <c r="C3391" s="14">
        <v>2</v>
      </c>
      <c r="D3391" s="86">
        <v>0.46098221816003948</v>
      </c>
      <c r="E3391" s="86"/>
      <c r="F3391" s="14"/>
    </row>
    <row r="3392" spans="1:6" x14ac:dyDescent="0.25">
      <c r="A3392" s="86">
        <v>3391</v>
      </c>
      <c r="B3392" s="87">
        <v>45.153353761968901</v>
      </c>
      <c r="C3392" s="14">
        <v>1</v>
      </c>
      <c r="D3392" s="86">
        <v>0.64521367096837434</v>
      </c>
      <c r="E3392" s="86"/>
      <c r="F3392" s="14"/>
    </row>
    <row r="3393" spans="1:6" x14ac:dyDescent="0.25">
      <c r="A3393" s="86">
        <v>3392</v>
      </c>
      <c r="B3393" s="87">
        <v>45.11355768442445</v>
      </c>
      <c r="C3393" s="14">
        <v>4</v>
      </c>
      <c r="D3393" s="86">
        <v>0.8880363772257992</v>
      </c>
      <c r="E3393" s="86"/>
      <c r="F3393" s="14"/>
    </row>
    <row r="3394" spans="1:6" x14ac:dyDescent="0.25">
      <c r="A3394" s="86">
        <v>3393</v>
      </c>
      <c r="B3394" s="87">
        <v>40.52128019281372</v>
      </c>
      <c r="C3394" s="14">
        <v>4</v>
      </c>
      <c r="D3394" s="86">
        <v>0.80347469566341068</v>
      </c>
      <c r="E3394" s="86"/>
      <c r="F3394" s="14"/>
    </row>
    <row r="3395" spans="1:6" x14ac:dyDescent="0.25">
      <c r="A3395" s="86">
        <v>3394</v>
      </c>
      <c r="B3395" s="87">
        <v>36.258415997843258</v>
      </c>
      <c r="C3395" s="14">
        <v>1</v>
      </c>
      <c r="D3395" s="86">
        <v>0.77385921461934337</v>
      </c>
      <c r="E3395" s="86"/>
      <c r="F3395" s="14"/>
    </row>
    <row r="3396" spans="1:6" x14ac:dyDescent="0.25">
      <c r="A3396" s="86">
        <v>3395</v>
      </c>
      <c r="B3396" s="87">
        <v>38.94239170619403</v>
      </c>
      <c r="C3396" s="14">
        <v>2</v>
      </c>
      <c r="D3396" s="86">
        <v>4.3724080040801194E-2</v>
      </c>
      <c r="E3396" s="86"/>
      <c r="F3396" s="14"/>
    </row>
    <row r="3397" spans="1:6" x14ac:dyDescent="0.25">
      <c r="A3397" s="86">
        <v>3396</v>
      </c>
      <c r="B3397" s="87">
        <v>37.913059708778746</v>
      </c>
      <c r="C3397" s="14">
        <v>4</v>
      </c>
      <c r="D3397" s="86">
        <v>0.39134107713549637</v>
      </c>
      <c r="E3397" s="86"/>
      <c r="F3397" s="14"/>
    </row>
    <row r="3398" spans="1:6" x14ac:dyDescent="0.25">
      <c r="A3398" s="86">
        <v>3397</v>
      </c>
      <c r="B3398" s="87">
        <v>48.901745225855848</v>
      </c>
      <c r="C3398" s="14">
        <v>2</v>
      </c>
      <c r="D3398" s="86">
        <v>0.60297280242104245</v>
      </c>
      <c r="E3398" s="86"/>
      <c r="F3398" s="14"/>
    </row>
    <row r="3399" spans="1:6" x14ac:dyDescent="0.25">
      <c r="A3399" s="86">
        <v>3398</v>
      </c>
      <c r="B3399" s="87">
        <v>35.554830896551721</v>
      </c>
      <c r="C3399" s="14">
        <v>5</v>
      </c>
      <c r="D3399" s="86">
        <v>0.73218571920608544</v>
      </c>
      <c r="E3399" s="86"/>
      <c r="F3399" s="14"/>
    </row>
    <row r="3400" spans="1:6" x14ac:dyDescent="0.25">
      <c r="A3400" s="86">
        <v>3399</v>
      </c>
      <c r="B3400" s="87">
        <v>46.002492121595424</v>
      </c>
      <c r="C3400" s="14">
        <v>5</v>
      </c>
      <c r="D3400" s="86">
        <v>0.10859693837809514</v>
      </c>
      <c r="E3400" s="86"/>
      <c r="F3400" s="14"/>
    </row>
    <row r="3401" spans="1:6" x14ac:dyDescent="0.25">
      <c r="A3401" s="86">
        <v>3400</v>
      </c>
      <c r="B3401" s="87">
        <v>44.736168542265659</v>
      </c>
      <c r="C3401" s="14">
        <v>4</v>
      </c>
      <c r="D3401" s="86">
        <v>0.5468511381080281</v>
      </c>
      <c r="E3401" s="86"/>
      <c r="F3401" s="14"/>
    </row>
    <row r="3402" spans="1:6" x14ac:dyDescent="0.25">
      <c r="A3402" s="86">
        <v>3401</v>
      </c>
      <c r="B3402" s="87">
        <v>37.508141298865667</v>
      </c>
      <c r="C3402" s="14">
        <v>5</v>
      </c>
      <c r="D3402" s="86">
        <v>0.86247176318567487</v>
      </c>
      <c r="E3402" s="86"/>
      <c r="F3402" s="14"/>
    </row>
    <row r="3403" spans="1:6" x14ac:dyDescent="0.25">
      <c r="A3403" s="86">
        <v>3402</v>
      </c>
      <c r="B3403" s="87">
        <v>47.398327746457653</v>
      </c>
      <c r="C3403" s="14">
        <v>2</v>
      </c>
      <c r="D3403" s="86">
        <v>0.74900516444770093</v>
      </c>
      <c r="E3403" s="86"/>
      <c r="F3403" s="14"/>
    </row>
    <row r="3404" spans="1:6" x14ac:dyDescent="0.25">
      <c r="A3404" s="86">
        <v>3403</v>
      </c>
      <c r="B3404" s="87">
        <v>38.175596723129274</v>
      </c>
      <c r="C3404" s="14">
        <v>1</v>
      </c>
      <c r="D3404" s="86">
        <v>0.27181427630095423</v>
      </c>
      <c r="E3404" s="86"/>
      <c r="F3404" s="14"/>
    </row>
    <row r="3405" spans="1:6" x14ac:dyDescent="0.25">
      <c r="A3405" s="86">
        <v>3404</v>
      </c>
      <c r="B3405" s="87">
        <v>46.198601916665211</v>
      </c>
      <c r="C3405" s="14">
        <v>5</v>
      </c>
      <c r="D3405" s="86">
        <v>0.22358563469720594</v>
      </c>
      <c r="E3405" s="86"/>
      <c r="F3405" s="14"/>
    </row>
    <row r="3406" spans="1:6" x14ac:dyDescent="0.25">
      <c r="A3406" s="86">
        <v>3405</v>
      </c>
      <c r="B3406" s="87">
        <v>39.629117049451452</v>
      </c>
      <c r="C3406" s="14">
        <v>2</v>
      </c>
      <c r="D3406" s="86">
        <v>0.50453089628612857</v>
      </c>
      <c r="E3406" s="86"/>
      <c r="F3406" s="14"/>
    </row>
    <row r="3407" spans="1:6" x14ac:dyDescent="0.25">
      <c r="A3407" s="86">
        <v>3406</v>
      </c>
      <c r="B3407" s="87">
        <v>36.087430993909948</v>
      </c>
      <c r="C3407" s="14">
        <v>2</v>
      </c>
      <c r="D3407" s="86">
        <v>0.16625455278033729</v>
      </c>
      <c r="E3407" s="86"/>
      <c r="F3407" s="14"/>
    </row>
    <row r="3408" spans="1:6" x14ac:dyDescent="0.25">
      <c r="A3408" s="86">
        <v>3407</v>
      </c>
      <c r="B3408" s="87">
        <v>48.153492566023488</v>
      </c>
      <c r="C3408" s="14">
        <v>2</v>
      </c>
      <c r="D3408" s="86">
        <v>3.008761799654347E-2</v>
      </c>
      <c r="E3408" s="86"/>
      <c r="F3408" s="14"/>
    </row>
    <row r="3409" spans="1:6" x14ac:dyDescent="0.25">
      <c r="A3409" s="86">
        <v>3408</v>
      </c>
      <c r="B3409" s="87">
        <v>37.970494299195707</v>
      </c>
      <c r="C3409" s="14">
        <v>4</v>
      </c>
      <c r="D3409" s="86">
        <v>0.29530037075585969</v>
      </c>
      <c r="E3409" s="86"/>
      <c r="F3409" s="14"/>
    </row>
    <row r="3410" spans="1:6" x14ac:dyDescent="0.25">
      <c r="A3410" s="86">
        <v>3409</v>
      </c>
      <c r="B3410" s="87">
        <v>45.900958406826248</v>
      </c>
      <c r="C3410" s="14">
        <v>2</v>
      </c>
      <c r="D3410" s="86">
        <v>0.80138471969314495</v>
      </c>
      <c r="E3410" s="86"/>
      <c r="F3410" s="14"/>
    </row>
    <row r="3411" spans="1:6" x14ac:dyDescent="0.25">
      <c r="A3411" s="86">
        <v>3410</v>
      </c>
      <c r="B3411" s="87">
        <v>38.22169673582539</v>
      </c>
      <c r="C3411" s="14">
        <v>4</v>
      </c>
      <c r="D3411" s="86">
        <v>0.98531546557297667</v>
      </c>
      <c r="E3411" s="86"/>
      <c r="F3411" s="14"/>
    </row>
    <row r="3412" spans="1:6" x14ac:dyDescent="0.25">
      <c r="A3412" s="86">
        <v>3411</v>
      </c>
      <c r="B3412" s="87">
        <v>36.925871422106866</v>
      </c>
      <c r="C3412" s="14">
        <v>4</v>
      </c>
      <c r="D3412" s="86">
        <v>0.14493876437551245</v>
      </c>
      <c r="E3412" s="86"/>
      <c r="F3412" s="14"/>
    </row>
    <row r="3413" spans="1:6" x14ac:dyDescent="0.25">
      <c r="A3413" s="86">
        <v>3412</v>
      </c>
      <c r="B3413" s="87">
        <v>47.104037998331478</v>
      </c>
      <c r="C3413" s="14">
        <v>5</v>
      </c>
      <c r="D3413" s="86">
        <v>0.14525642562546015</v>
      </c>
      <c r="E3413" s="86"/>
      <c r="F3413" s="14"/>
    </row>
    <row r="3414" spans="1:6" x14ac:dyDescent="0.25">
      <c r="A3414" s="86">
        <v>3413</v>
      </c>
      <c r="B3414" s="87">
        <v>43.54363340495911</v>
      </c>
      <c r="C3414" s="14">
        <v>2</v>
      </c>
      <c r="D3414" s="86">
        <v>0.57256578401863123</v>
      </c>
      <c r="E3414" s="86"/>
      <c r="F3414" s="14"/>
    </row>
    <row r="3415" spans="1:6" x14ac:dyDescent="0.25">
      <c r="A3415" s="86">
        <v>3414</v>
      </c>
      <c r="B3415" s="87">
        <v>42.245744675135938</v>
      </c>
      <c r="C3415" s="14">
        <v>5</v>
      </c>
      <c r="D3415" s="86">
        <v>0.35475119524253573</v>
      </c>
      <c r="E3415" s="86"/>
      <c r="F3415" s="14"/>
    </row>
    <row r="3416" spans="1:6" x14ac:dyDescent="0.25">
      <c r="A3416" s="86">
        <v>3415</v>
      </c>
      <c r="B3416" s="87">
        <v>39.312089933780953</v>
      </c>
      <c r="C3416" s="14">
        <v>4</v>
      </c>
      <c r="D3416" s="86">
        <v>0.73499344928714327</v>
      </c>
      <c r="E3416" s="86"/>
      <c r="F3416" s="14"/>
    </row>
    <row r="3417" spans="1:6" x14ac:dyDescent="0.25">
      <c r="A3417" s="86">
        <v>3416</v>
      </c>
      <c r="B3417" s="87">
        <v>38.359382864990039</v>
      </c>
      <c r="C3417" s="14">
        <v>4</v>
      </c>
      <c r="D3417" s="86">
        <v>7.6966834540583506E-2</v>
      </c>
      <c r="E3417" s="86"/>
      <c r="F3417" s="14"/>
    </row>
    <row r="3418" spans="1:6" x14ac:dyDescent="0.25">
      <c r="A3418" s="86">
        <v>3417</v>
      </c>
      <c r="B3418" s="87">
        <v>44.372404767607804</v>
      </c>
      <c r="C3418" s="14">
        <v>2</v>
      </c>
      <c r="D3418" s="86">
        <v>0.76200305806327351</v>
      </c>
      <c r="E3418" s="86"/>
      <c r="F3418" s="14"/>
    </row>
    <row r="3419" spans="1:6" x14ac:dyDescent="0.25">
      <c r="A3419" s="86">
        <v>3418</v>
      </c>
      <c r="B3419" s="87">
        <v>40.885186076018726</v>
      </c>
      <c r="C3419" s="14">
        <v>2</v>
      </c>
      <c r="D3419" s="86">
        <v>0.43179736426965798</v>
      </c>
      <c r="E3419" s="86"/>
      <c r="F3419" s="14"/>
    </row>
    <row r="3420" spans="1:6" x14ac:dyDescent="0.25">
      <c r="A3420" s="86">
        <v>3419</v>
      </c>
      <c r="B3420" s="87">
        <v>36.115170582314022</v>
      </c>
      <c r="C3420" s="14">
        <v>5</v>
      </c>
      <c r="D3420" s="86">
        <v>0.386473071767089</v>
      </c>
      <c r="E3420" s="86"/>
      <c r="F3420" s="14"/>
    </row>
    <row r="3421" spans="1:6" x14ac:dyDescent="0.25">
      <c r="A3421" s="86">
        <v>3420</v>
      </c>
      <c r="B3421" s="87">
        <v>43.563261437491747</v>
      </c>
      <c r="C3421" s="14">
        <v>5</v>
      </c>
      <c r="D3421" s="86">
        <v>0.18689110422340749</v>
      </c>
      <c r="E3421" s="86"/>
      <c r="F3421" s="14"/>
    </row>
    <row r="3422" spans="1:6" x14ac:dyDescent="0.25">
      <c r="A3422" s="86">
        <v>3421</v>
      </c>
      <c r="B3422" s="87">
        <v>34.475124261341989</v>
      </c>
      <c r="C3422" s="14">
        <v>5</v>
      </c>
      <c r="D3422" s="86">
        <v>0.72629684254967619</v>
      </c>
      <c r="E3422" s="86"/>
      <c r="F3422" s="14"/>
    </row>
    <row r="3423" spans="1:6" x14ac:dyDescent="0.25">
      <c r="A3423" s="86">
        <v>3422</v>
      </c>
      <c r="B3423" s="87">
        <v>41.945543211448239</v>
      </c>
      <c r="C3423" s="14">
        <v>2</v>
      </c>
      <c r="D3423" s="86">
        <v>0.39478867546685281</v>
      </c>
      <c r="E3423" s="86"/>
      <c r="F3423" s="14"/>
    </row>
    <row r="3424" spans="1:6" x14ac:dyDescent="0.25">
      <c r="A3424" s="86">
        <v>3423</v>
      </c>
      <c r="B3424" s="87">
        <v>44.917317149491282</v>
      </c>
      <c r="C3424" s="14">
        <v>5</v>
      </c>
      <c r="D3424" s="86">
        <v>0.77808284588138199</v>
      </c>
      <c r="E3424" s="86"/>
      <c r="F3424" s="14"/>
    </row>
    <row r="3425" spans="1:6" x14ac:dyDescent="0.25">
      <c r="A3425" s="86">
        <v>3424</v>
      </c>
      <c r="B3425" s="87">
        <v>43.247763409788604</v>
      </c>
      <c r="C3425" s="14">
        <v>2</v>
      </c>
      <c r="D3425" s="86">
        <v>0.92819119336044387</v>
      </c>
      <c r="E3425" s="86"/>
      <c r="F3425" s="14"/>
    </row>
    <row r="3426" spans="1:6" x14ac:dyDescent="0.25">
      <c r="A3426" s="86">
        <v>3425</v>
      </c>
      <c r="B3426" s="87">
        <v>48.091430921311257</v>
      </c>
      <c r="C3426" s="14">
        <v>1</v>
      </c>
      <c r="D3426" s="86">
        <v>0.23847095471282231</v>
      </c>
      <c r="E3426" s="86"/>
      <c r="F3426" s="14"/>
    </row>
    <row r="3427" spans="1:6" x14ac:dyDescent="0.25">
      <c r="A3427" s="86">
        <v>3426</v>
      </c>
      <c r="B3427" s="87">
        <v>44.576154318172485</v>
      </c>
      <c r="C3427" s="14">
        <v>4</v>
      </c>
      <c r="D3427" s="86">
        <v>0.82489325563076776</v>
      </c>
      <c r="E3427" s="86"/>
      <c r="F3427" s="14"/>
    </row>
    <row r="3428" spans="1:6" x14ac:dyDescent="0.25">
      <c r="A3428" s="86">
        <v>3427</v>
      </c>
      <c r="B3428" s="87">
        <v>47.549019649857655</v>
      </c>
      <c r="C3428" s="14">
        <v>4</v>
      </c>
      <c r="D3428" s="86">
        <v>0.7919787118752124</v>
      </c>
      <c r="E3428" s="86"/>
      <c r="F3428" s="14"/>
    </row>
    <row r="3429" spans="1:6" x14ac:dyDescent="0.25">
      <c r="A3429" s="86">
        <v>3428</v>
      </c>
      <c r="B3429" s="87">
        <v>46.510479018586921</v>
      </c>
      <c r="C3429" s="14">
        <v>2</v>
      </c>
      <c r="D3429" s="86">
        <v>3.2111794724260068E-2</v>
      </c>
      <c r="E3429" s="86"/>
      <c r="F3429" s="14"/>
    </row>
    <row r="3430" spans="1:6" x14ac:dyDescent="0.25">
      <c r="A3430" s="86">
        <v>3429</v>
      </c>
      <c r="B3430" s="87">
        <v>43.399938926420873</v>
      </c>
      <c r="C3430" s="14">
        <v>2</v>
      </c>
      <c r="D3430" s="86">
        <v>0.97541640142898745</v>
      </c>
      <c r="E3430" s="86"/>
      <c r="F3430" s="14"/>
    </row>
    <row r="3431" spans="1:6" x14ac:dyDescent="0.25">
      <c r="A3431" s="86">
        <v>3430</v>
      </c>
      <c r="B3431" s="87">
        <v>42.104215930856299</v>
      </c>
      <c r="C3431" s="14">
        <v>4</v>
      </c>
      <c r="D3431" s="86">
        <v>0.46609242106691029</v>
      </c>
      <c r="E3431" s="86"/>
      <c r="F3431" s="14"/>
    </row>
    <row r="3432" spans="1:6" x14ac:dyDescent="0.25">
      <c r="A3432" s="86">
        <v>3431</v>
      </c>
      <c r="B3432" s="87">
        <v>44.203954980155686</v>
      </c>
      <c r="C3432" s="14">
        <v>4</v>
      </c>
      <c r="D3432" s="86">
        <v>0.93531833705775136</v>
      </c>
      <c r="E3432" s="86"/>
      <c r="F3432" s="14"/>
    </row>
    <row r="3433" spans="1:6" x14ac:dyDescent="0.25">
      <c r="A3433" s="86">
        <v>3432</v>
      </c>
      <c r="B3433" s="87">
        <v>43.031172930903267</v>
      </c>
      <c r="C3433" s="14">
        <v>2</v>
      </c>
      <c r="D3433" s="86">
        <v>0.24324488709113656</v>
      </c>
      <c r="E3433" s="86"/>
      <c r="F3433" s="14"/>
    </row>
    <row r="3434" spans="1:6" x14ac:dyDescent="0.25">
      <c r="A3434" s="86">
        <v>3433</v>
      </c>
      <c r="B3434" s="87">
        <v>37.329857599950628</v>
      </c>
      <c r="C3434" s="14">
        <v>5</v>
      </c>
      <c r="D3434" s="86">
        <v>0.52903095660505195</v>
      </c>
      <c r="E3434" s="86"/>
      <c r="F3434" s="14"/>
    </row>
    <row r="3435" spans="1:6" x14ac:dyDescent="0.25">
      <c r="A3435" s="86">
        <v>3434</v>
      </c>
      <c r="B3435" s="87">
        <v>31.166200637351722</v>
      </c>
      <c r="C3435" s="14">
        <v>4</v>
      </c>
      <c r="D3435" s="86">
        <v>0.13944511223446743</v>
      </c>
      <c r="E3435" s="86"/>
      <c r="F3435" s="14"/>
    </row>
    <row r="3436" spans="1:6" x14ac:dyDescent="0.25">
      <c r="A3436" s="86">
        <v>3435</v>
      </c>
      <c r="B3436" s="87">
        <v>38.524547102832003</v>
      </c>
      <c r="C3436" s="14">
        <v>1</v>
      </c>
      <c r="D3436" s="86">
        <v>0.30477855470629212</v>
      </c>
      <c r="E3436" s="86"/>
      <c r="F3436" s="14"/>
    </row>
    <row r="3437" spans="1:6" x14ac:dyDescent="0.25">
      <c r="A3437" s="86">
        <v>3436</v>
      </c>
      <c r="B3437" s="87">
        <v>42.016228002801654</v>
      </c>
      <c r="C3437" s="14">
        <v>4</v>
      </c>
      <c r="D3437" s="86">
        <v>0.89718668044825689</v>
      </c>
      <c r="E3437" s="86"/>
      <c r="F3437" s="14"/>
    </row>
    <row r="3438" spans="1:6" x14ac:dyDescent="0.25">
      <c r="A3438" s="86">
        <v>3437</v>
      </c>
      <c r="B3438" s="87">
        <v>39.692690729105379</v>
      </c>
      <c r="C3438" s="14">
        <v>5</v>
      </c>
      <c r="D3438" s="86">
        <v>0.26648470950779002</v>
      </c>
      <c r="E3438" s="86"/>
      <c r="F3438" s="14"/>
    </row>
    <row r="3439" spans="1:6" x14ac:dyDescent="0.25">
      <c r="A3439" s="86">
        <v>3438</v>
      </c>
      <c r="B3439" s="87">
        <v>36.956157595675904</v>
      </c>
      <c r="C3439" s="14">
        <v>2</v>
      </c>
      <c r="D3439" s="86">
        <v>0.48413640152267245</v>
      </c>
      <c r="E3439" s="86"/>
      <c r="F3439" s="14"/>
    </row>
    <row r="3440" spans="1:6" x14ac:dyDescent="0.25">
      <c r="A3440" s="86">
        <v>3439</v>
      </c>
      <c r="B3440" s="87">
        <v>33.024025464663282</v>
      </c>
      <c r="C3440" s="14">
        <v>2</v>
      </c>
      <c r="D3440" s="86">
        <v>0.94739383609890693</v>
      </c>
      <c r="E3440" s="86"/>
      <c r="F3440" s="14"/>
    </row>
    <row r="3441" spans="1:6" x14ac:dyDescent="0.25">
      <c r="A3441" s="86">
        <v>3440</v>
      </c>
      <c r="B3441" s="87">
        <v>45.192450665461365</v>
      </c>
      <c r="C3441" s="14">
        <v>1</v>
      </c>
      <c r="D3441" s="86">
        <v>0.34994540656666773</v>
      </c>
      <c r="E3441" s="86"/>
      <c r="F3441" s="14"/>
    </row>
    <row r="3442" spans="1:6" x14ac:dyDescent="0.25">
      <c r="A3442" s="86">
        <v>3441</v>
      </c>
      <c r="B3442" s="87">
        <v>44.160685769718839</v>
      </c>
      <c r="C3442" s="14">
        <v>2</v>
      </c>
      <c r="D3442" s="86">
        <v>0.55162653543469431</v>
      </c>
      <c r="E3442" s="86"/>
      <c r="F3442" s="14"/>
    </row>
    <row r="3443" spans="1:6" x14ac:dyDescent="0.25">
      <c r="A3443" s="86">
        <v>3442</v>
      </c>
      <c r="B3443" s="87">
        <v>46.803882009378867</v>
      </c>
      <c r="C3443" s="14">
        <v>2</v>
      </c>
      <c r="D3443" s="86">
        <v>0.97652994980638697</v>
      </c>
      <c r="E3443" s="86"/>
      <c r="F3443" s="14"/>
    </row>
    <row r="3444" spans="1:6" x14ac:dyDescent="0.25">
      <c r="A3444" s="86">
        <v>3443</v>
      </c>
      <c r="B3444" s="87">
        <v>39.736357843474252</v>
      </c>
      <c r="C3444" s="14">
        <v>2</v>
      </c>
      <c r="D3444" s="86">
        <v>0.86640895248177308</v>
      </c>
      <c r="E3444" s="86"/>
      <c r="F3444" s="14"/>
    </row>
    <row r="3445" spans="1:6" x14ac:dyDescent="0.25">
      <c r="A3445" s="86">
        <v>3444</v>
      </c>
      <c r="B3445" s="87">
        <v>43.515171905135503</v>
      </c>
      <c r="C3445" s="14">
        <v>4</v>
      </c>
      <c r="D3445" s="86">
        <v>0.648220164661235</v>
      </c>
      <c r="E3445" s="86"/>
      <c r="F3445" s="14"/>
    </row>
    <row r="3446" spans="1:6" x14ac:dyDescent="0.25">
      <c r="A3446" s="86">
        <v>3445</v>
      </c>
      <c r="B3446" s="87">
        <v>43.308676817439846</v>
      </c>
      <c r="C3446" s="14">
        <v>5</v>
      </c>
      <c r="D3446" s="86">
        <v>8.1586901879800111E-2</v>
      </c>
      <c r="E3446" s="86"/>
      <c r="F3446" s="14"/>
    </row>
    <row r="3447" spans="1:6" x14ac:dyDescent="0.25">
      <c r="A3447" s="86">
        <v>3446</v>
      </c>
      <c r="B3447" s="87">
        <v>43.411449718740187</v>
      </c>
      <c r="C3447" s="14">
        <v>1</v>
      </c>
      <c r="D3447" s="86">
        <v>0.47936583224806084</v>
      </c>
      <c r="E3447" s="86"/>
      <c r="F3447" s="14"/>
    </row>
    <row r="3448" spans="1:6" x14ac:dyDescent="0.25">
      <c r="A3448" s="86">
        <v>3447</v>
      </c>
      <c r="B3448" s="87">
        <v>46.102502432739129</v>
      </c>
      <c r="C3448" s="14">
        <v>2</v>
      </c>
      <c r="D3448" s="86">
        <v>0.24123601991061183</v>
      </c>
      <c r="E3448" s="86"/>
      <c r="F3448" s="14"/>
    </row>
    <row r="3449" spans="1:6" x14ac:dyDescent="0.25">
      <c r="A3449" s="86">
        <v>3448</v>
      </c>
      <c r="B3449" s="87">
        <v>45.025217327172868</v>
      </c>
      <c r="C3449" s="14">
        <v>2</v>
      </c>
      <c r="D3449" s="86">
        <v>2.8533428800825877E-2</v>
      </c>
      <c r="E3449" s="86"/>
      <c r="F3449" s="14"/>
    </row>
    <row r="3450" spans="1:6" x14ac:dyDescent="0.25">
      <c r="A3450" s="86">
        <v>3449</v>
      </c>
      <c r="B3450" s="87">
        <v>39.151530012866715</v>
      </c>
      <c r="C3450" s="14">
        <v>2</v>
      </c>
      <c r="D3450" s="86">
        <v>0.77555511894384399</v>
      </c>
      <c r="E3450" s="86"/>
      <c r="F3450" s="14"/>
    </row>
    <row r="3451" spans="1:6" x14ac:dyDescent="0.25">
      <c r="A3451" s="86">
        <v>3450</v>
      </c>
      <c r="B3451" s="87">
        <v>40.208334434617427</v>
      </c>
      <c r="C3451" s="14">
        <v>2</v>
      </c>
      <c r="D3451" s="86">
        <v>0.98635871268510711</v>
      </c>
      <c r="E3451" s="86"/>
      <c r="F3451" s="14"/>
    </row>
    <row r="3452" spans="1:6" x14ac:dyDescent="0.25">
      <c r="A3452" s="86">
        <v>3451</v>
      </c>
      <c r="B3452" s="87">
        <v>58.078694559633732</v>
      </c>
      <c r="C3452" s="14">
        <v>4</v>
      </c>
      <c r="D3452" s="86">
        <v>0.96359522992070912</v>
      </c>
      <c r="E3452" s="86"/>
      <c r="F3452" s="14"/>
    </row>
    <row r="3453" spans="1:6" x14ac:dyDescent="0.25">
      <c r="A3453" s="86">
        <v>3452</v>
      </c>
      <c r="B3453" s="87">
        <v>35.516359270666726</v>
      </c>
      <c r="C3453" s="14">
        <v>1</v>
      </c>
      <c r="D3453" s="86">
        <v>0.95503529396603504</v>
      </c>
      <c r="E3453" s="86"/>
      <c r="F3453" s="14"/>
    </row>
    <row r="3454" spans="1:6" x14ac:dyDescent="0.25">
      <c r="A3454" s="86">
        <v>3453</v>
      </c>
      <c r="B3454" s="87">
        <v>51.020151653909124</v>
      </c>
      <c r="C3454" s="14">
        <v>4</v>
      </c>
      <c r="D3454" s="86">
        <v>0.15538027845270641</v>
      </c>
      <c r="E3454" s="86"/>
      <c r="F3454" s="14"/>
    </row>
    <row r="3455" spans="1:6" x14ac:dyDescent="0.25">
      <c r="A3455" s="86">
        <v>3454</v>
      </c>
      <c r="B3455" s="87">
        <v>43.112271436591982</v>
      </c>
      <c r="C3455" s="14">
        <v>1</v>
      </c>
      <c r="D3455" s="86">
        <v>0.41325234532695909</v>
      </c>
      <c r="E3455" s="86"/>
      <c r="F3455" s="14"/>
    </row>
    <row r="3456" spans="1:6" x14ac:dyDescent="0.25">
      <c r="A3456" s="86">
        <v>3455</v>
      </c>
      <c r="B3456" s="87">
        <v>41.359800201797043</v>
      </c>
      <c r="C3456" s="14">
        <v>1</v>
      </c>
      <c r="D3456" s="86">
        <v>0.76664433477757532</v>
      </c>
      <c r="E3456" s="86"/>
      <c r="F3456" s="14"/>
    </row>
    <row r="3457" spans="1:6" x14ac:dyDescent="0.25">
      <c r="A3457" s="86">
        <v>3456</v>
      </c>
      <c r="B3457" s="87">
        <v>38.473501712694997</v>
      </c>
      <c r="C3457" s="14">
        <v>4</v>
      </c>
      <c r="D3457" s="86">
        <v>0.72187270879189391</v>
      </c>
      <c r="E3457" s="86"/>
      <c r="F3457" s="14"/>
    </row>
    <row r="3458" spans="1:6" x14ac:dyDescent="0.25">
      <c r="A3458" s="86">
        <v>3457</v>
      </c>
      <c r="B3458" s="87">
        <v>48.990182216919493</v>
      </c>
      <c r="C3458" s="14">
        <v>2</v>
      </c>
      <c r="D3458" s="86">
        <v>0.66557972396674037</v>
      </c>
      <c r="E3458" s="86"/>
      <c r="F3458" s="14"/>
    </row>
    <row r="3459" spans="1:6" x14ac:dyDescent="0.25">
      <c r="A3459" s="86">
        <v>3458</v>
      </c>
      <c r="B3459" s="87">
        <v>48.819640591653297</v>
      </c>
      <c r="C3459" s="14">
        <v>4</v>
      </c>
      <c r="D3459" s="86">
        <v>0.5557654814012547</v>
      </c>
      <c r="E3459" s="86"/>
      <c r="F3459" s="14"/>
    </row>
    <row r="3460" spans="1:6" x14ac:dyDescent="0.25">
      <c r="A3460" s="86">
        <v>3459</v>
      </c>
      <c r="B3460" s="87">
        <v>44.080286438082112</v>
      </c>
      <c r="C3460" s="14">
        <v>2</v>
      </c>
      <c r="D3460" s="86">
        <v>0.32884123856227332</v>
      </c>
      <c r="E3460" s="86"/>
      <c r="F3460" s="14"/>
    </row>
    <row r="3461" spans="1:6" x14ac:dyDescent="0.25">
      <c r="A3461" s="86">
        <v>3460</v>
      </c>
      <c r="B3461" s="87">
        <v>51.151687325153034</v>
      </c>
      <c r="C3461" s="14">
        <v>5</v>
      </c>
      <c r="D3461" s="86">
        <v>0.9221287027836661</v>
      </c>
      <c r="E3461" s="86"/>
      <c r="F3461" s="14"/>
    </row>
    <row r="3462" spans="1:6" x14ac:dyDescent="0.25">
      <c r="A3462" s="86">
        <v>3461</v>
      </c>
      <c r="B3462" s="87">
        <v>39.719782302534441</v>
      </c>
      <c r="C3462" s="14">
        <v>2</v>
      </c>
      <c r="D3462" s="86">
        <v>0.30320937598629161</v>
      </c>
      <c r="E3462" s="86"/>
      <c r="F3462" s="14"/>
    </row>
    <row r="3463" spans="1:6" x14ac:dyDescent="0.25">
      <c r="A3463" s="86">
        <v>3462</v>
      </c>
      <c r="B3463" s="87">
        <v>35.963989825511817</v>
      </c>
      <c r="C3463" s="14">
        <v>2</v>
      </c>
      <c r="D3463" s="86">
        <v>0.4849902905237975</v>
      </c>
      <c r="E3463" s="86"/>
      <c r="F3463" s="14"/>
    </row>
    <row r="3464" spans="1:6" x14ac:dyDescent="0.25">
      <c r="A3464" s="86">
        <v>3463</v>
      </c>
      <c r="B3464" s="87">
        <v>35.420021044381429</v>
      </c>
      <c r="C3464" s="14">
        <v>2</v>
      </c>
      <c r="D3464" s="86">
        <v>0.89295346892045591</v>
      </c>
      <c r="E3464" s="86"/>
      <c r="F3464" s="14"/>
    </row>
    <row r="3465" spans="1:6" x14ac:dyDescent="0.25">
      <c r="A3465" s="86">
        <v>3464</v>
      </c>
      <c r="B3465" s="87">
        <v>37.941856584773632</v>
      </c>
      <c r="C3465" s="14">
        <v>1</v>
      </c>
      <c r="D3465" s="86">
        <v>0.82213480505830683</v>
      </c>
      <c r="E3465" s="86"/>
      <c r="F3465" s="14"/>
    </row>
    <row r="3466" spans="1:6" x14ac:dyDescent="0.25">
      <c r="A3466" s="86">
        <v>3465</v>
      </c>
      <c r="B3466" s="87">
        <v>56.760654837824404</v>
      </c>
      <c r="C3466" s="14">
        <v>2</v>
      </c>
      <c r="D3466" s="86">
        <v>0.73022205351934877</v>
      </c>
      <c r="E3466" s="86"/>
      <c r="F3466" s="14"/>
    </row>
    <row r="3467" spans="1:6" x14ac:dyDescent="0.25">
      <c r="A3467" s="86">
        <v>3466</v>
      </c>
      <c r="B3467" s="87">
        <v>48.628862709272653</v>
      </c>
      <c r="C3467" s="14">
        <v>1</v>
      </c>
      <c r="D3467" s="86">
        <v>0.13078395536781195</v>
      </c>
      <c r="E3467" s="86"/>
      <c r="F3467" s="14"/>
    </row>
    <row r="3468" spans="1:6" x14ac:dyDescent="0.25">
      <c r="A3468" s="86">
        <v>3467</v>
      </c>
      <c r="B3468" s="87">
        <v>40.98350245328038</v>
      </c>
      <c r="C3468" s="14">
        <v>4</v>
      </c>
      <c r="D3468" s="86">
        <v>0.92792090925528203</v>
      </c>
      <c r="E3468" s="86"/>
      <c r="F3468" s="14"/>
    </row>
    <row r="3469" spans="1:6" x14ac:dyDescent="0.25">
      <c r="A3469" s="86">
        <v>3468</v>
      </c>
      <c r="B3469" s="87">
        <v>40.441381083262968</v>
      </c>
      <c r="C3469" s="14">
        <v>5</v>
      </c>
      <c r="D3469" s="86">
        <v>0.63795735974096457</v>
      </c>
      <c r="E3469" s="86"/>
      <c r="F3469" s="14"/>
    </row>
    <row r="3470" spans="1:6" x14ac:dyDescent="0.25">
      <c r="A3470" s="86">
        <v>3469</v>
      </c>
      <c r="B3470" s="87">
        <v>47.265280040272046</v>
      </c>
      <c r="C3470" s="14">
        <v>4</v>
      </c>
      <c r="D3470" s="86">
        <v>0.93687088140421904</v>
      </c>
      <c r="E3470" s="86"/>
      <c r="F3470" s="14"/>
    </row>
    <row r="3471" spans="1:6" x14ac:dyDescent="0.25">
      <c r="A3471" s="86">
        <v>3470</v>
      </c>
      <c r="B3471" s="87">
        <v>35.997800291050225</v>
      </c>
      <c r="C3471" s="14">
        <v>4</v>
      </c>
      <c r="D3471" s="86">
        <v>0.3811542932762878</v>
      </c>
      <c r="E3471" s="86"/>
      <c r="F3471" s="14"/>
    </row>
    <row r="3472" spans="1:6" x14ac:dyDescent="0.25">
      <c r="A3472" s="86">
        <v>3471</v>
      </c>
      <c r="B3472" s="87">
        <v>45.17898445953324</v>
      </c>
      <c r="C3472" s="14">
        <v>4</v>
      </c>
      <c r="D3472" s="86">
        <v>0.98275541035170322</v>
      </c>
      <c r="E3472" s="86"/>
      <c r="F3472" s="14"/>
    </row>
    <row r="3473" spans="1:6" x14ac:dyDescent="0.25">
      <c r="A3473" s="86">
        <v>3472</v>
      </c>
      <c r="B3473" s="87">
        <v>49.988966561038978</v>
      </c>
      <c r="C3473" s="14">
        <v>1</v>
      </c>
      <c r="D3473" s="86">
        <v>0.17049400890244715</v>
      </c>
      <c r="E3473" s="86"/>
      <c r="F3473" s="14"/>
    </row>
    <row r="3474" spans="1:6" x14ac:dyDescent="0.25">
      <c r="A3474" s="86">
        <v>3473</v>
      </c>
      <c r="B3474" s="87">
        <v>47.238381734467112</v>
      </c>
      <c r="C3474" s="14">
        <v>2</v>
      </c>
      <c r="D3474" s="86">
        <v>0.89678680447448977</v>
      </c>
      <c r="E3474" s="86"/>
      <c r="F3474" s="14"/>
    </row>
    <row r="3475" spans="1:6" x14ac:dyDescent="0.25">
      <c r="A3475" s="86">
        <v>3474</v>
      </c>
      <c r="B3475" s="87">
        <v>45.994715941895265</v>
      </c>
      <c r="C3475" s="14">
        <v>5</v>
      </c>
      <c r="D3475" s="86">
        <v>0.51825909401812065</v>
      </c>
      <c r="E3475" s="86"/>
      <c r="F3475" s="14"/>
    </row>
    <row r="3476" spans="1:6" x14ac:dyDescent="0.25">
      <c r="A3476" s="86">
        <v>3475</v>
      </c>
      <c r="B3476" s="87">
        <v>40.600980350398459</v>
      </c>
      <c r="C3476" s="14">
        <v>2</v>
      </c>
      <c r="D3476" s="86">
        <v>0.24777320462961416</v>
      </c>
      <c r="E3476" s="86"/>
      <c r="F3476" s="14"/>
    </row>
    <row r="3477" spans="1:6" x14ac:dyDescent="0.25">
      <c r="A3477" s="86">
        <v>3476</v>
      </c>
      <c r="B3477" s="87">
        <v>46.029566641998827</v>
      </c>
      <c r="C3477" s="14">
        <v>2</v>
      </c>
      <c r="D3477" s="86">
        <v>0.63282539766673906</v>
      </c>
      <c r="E3477" s="86"/>
      <c r="F3477" s="14"/>
    </row>
    <row r="3478" spans="1:6" x14ac:dyDescent="0.25">
      <c r="A3478" s="86">
        <v>3477</v>
      </c>
      <c r="B3478" s="87">
        <v>44.81643144969712</v>
      </c>
      <c r="C3478" s="14">
        <v>4</v>
      </c>
      <c r="D3478" s="86">
        <v>0.7033941417456232</v>
      </c>
      <c r="E3478" s="86"/>
      <c r="F3478" s="14"/>
    </row>
    <row r="3479" spans="1:6" x14ac:dyDescent="0.25">
      <c r="A3479" s="86">
        <v>3478</v>
      </c>
      <c r="B3479" s="87">
        <v>48.242122824711259</v>
      </c>
      <c r="C3479" s="14">
        <v>2</v>
      </c>
      <c r="D3479" s="86">
        <v>0.20950283050632756</v>
      </c>
      <c r="E3479" s="86"/>
      <c r="F3479" s="14"/>
    </row>
    <row r="3480" spans="1:6" x14ac:dyDescent="0.25">
      <c r="A3480" s="86">
        <v>3479</v>
      </c>
      <c r="B3480" s="87">
        <v>44.909086222440237</v>
      </c>
      <c r="C3480" s="14">
        <v>2</v>
      </c>
      <c r="D3480" s="86">
        <v>0.10158290098234823</v>
      </c>
      <c r="E3480" s="86"/>
      <c r="F3480" s="14"/>
    </row>
    <row r="3481" spans="1:6" x14ac:dyDescent="0.25">
      <c r="A3481" s="86">
        <v>3480</v>
      </c>
      <c r="B3481" s="87">
        <v>44.380749381496571</v>
      </c>
      <c r="C3481" s="14">
        <v>5</v>
      </c>
      <c r="D3481" s="86">
        <v>0.18834194081171662</v>
      </c>
      <c r="E3481" s="86"/>
      <c r="F3481" s="14"/>
    </row>
    <row r="3482" spans="1:6" x14ac:dyDescent="0.25">
      <c r="A3482" s="86">
        <v>3481</v>
      </c>
      <c r="B3482" s="87">
        <v>40.114866800984601</v>
      </c>
      <c r="C3482" s="14">
        <v>1</v>
      </c>
      <c r="D3482" s="86">
        <v>0.17958199379740702</v>
      </c>
      <c r="E3482" s="86"/>
      <c r="F3482" s="14"/>
    </row>
    <row r="3483" spans="1:6" x14ac:dyDescent="0.25">
      <c r="A3483" s="86">
        <v>3482</v>
      </c>
      <c r="B3483" s="87">
        <v>40.529494066839106</v>
      </c>
      <c r="C3483" s="14">
        <v>5</v>
      </c>
      <c r="D3483" s="86">
        <v>0.99090366961602949</v>
      </c>
      <c r="E3483" s="86"/>
      <c r="F3483" s="14"/>
    </row>
    <row r="3484" spans="1:6" x14ac:dyDescent="0.25">
      <c r="A3484" s="86">
        <v>3483</v>
      </c>
      <c r="B3484" s="87">
        <v>42.429422814500867</v>
      </c>
      <c r="C3484" s="14">
        <v>1</v>
      </c>
      <c r="D3484" s="86">
        <v>0.6144908226108361</v>
      </c>
      <c r="E3484" s="86"/>
      <c r="F3484" s="14"/>
    </row>
    <row r="3485" spans="1:6" x14ac:dyDescent="0.25">
      <c r="A3485" s="86">
        <v>3484</v>
      </c>
      <c r="B3485" s="87">
        <v>45.758201844699215</v>
      </c>
      <c r="C3485" s="14">
        <v>4</v>
      </c>
      <c r="D3485" s="86">
        <v>0.93177333097701431</v>
      </c>
      <c r="E3485" s="86"/>
      <c r="F3485" s="14"/>
    </row>
    <row r="3486" spans="1:6" x14ac:dyDescent="0.25">
      <c r="A3486" s="86">
        <v>3485</v>
      </c>
      <c r="B3486" s="87">
        <v>39.713609107246157</v>
      </c>
      <c r="C3486" s="14">
        <v>2</v>
      </c>
      <c r="D3486" s="86">
        <v>0.80915343375327109</v>
      </c>
      <c r="E3486" s="86"/>
      <c r="F3486" s="14"/>
    </row>
    <row r="3487" spans="1:6" x14ac:dyDescent="0.25">
      <c r="A3487" s="86">
        <v>3486</v>
      </c>
      <c r="B3487" s="87">
        <v>35.752918842597865</v>
      </c>
      <c r="C3487" s="14">
        <v>5</v>
      </c>
      <c r="D3487" s="86">
        <v>0.11760835101178724</v>
      </c>
      <c r="E3487" s="86"/>
      <c r="F3487" s="14"/>
    </row>
    <row r="3488" spans="1:6" x14ac:dyDescent="0.25">
      <c r="A3488" s="86">
        <v>3487</v>
      </c>
      <c r="B3488" s="87">
        <v>44.077540900951135</v>
      </c>
      <c r="C3488" s="14">
        <v>4</v>
      </c>
      <c r="D3488" s="86">
        <v>0.91735065233512592</v>
      </c>
      <c r="E3488" s="86"/>
      <c r="F3488" s="14"/>
    </row>
    <row r="3489" spans="1:6" x14ac:dyDescent="0.25">
      <c r="A3489" s="86">
        <v>3488</v>
      </c>
      <c r="B3489" s="87">
        <v>44.871291033239686</v>
      </c>
      <c r="C3489" s="14">
        <v>4</v>
      </c>
      <c r="D3489" s="86">
        <v>0.31943374887576514</v>
      </c>
      <c r="E3489" s="86"/>
      <c r="F3489" s="14"/>
    </row>
    <row r="3490" spans="1:6" x14ac:dyDescent="0.25">
      <c r="A3490" s="86">
        <v>3489</v>
      </c>
      <c r="B3490" s="87">
        <v>45.568651780165965</v>
      </c>
      <c r="C3490" s="14">
        <v>2</v>
      </c>
      <c r="D3490" s="86">
        <v>0.75247428398922322</v>
      </c>
      <c r="E3490" s="86"/>
      <c r="F3490" s="14"/>
    </row>
    <row r="3491" spans="1:6" x14ac:dyDescent="0.25">
      <c r="A3491" s="86">
        <v>3490</v>
      </c>
      <c r="B3491" s="87">
        <v>40.256480810392532</v>
      </c>
      <c r="C3491" s="14">
        <v>2</v>
      </c>
      <c r="D3491" s="86">
        <v>0.23467458171207034</v>
      </c>
      <c r="E3491" s="86"/>
      <c r="F3491" s="14"/>
    </row>
    <row r="3492" spans="1:6" x14ac:dyDescent="0.25">
      <c r="A3492" s="86">
        <v>3491</v>
      </c>
      <c r="B3492" s="87">
        <v>42.213230239547556</v>
      </c>
      <c r="C3492" s="14">
        <v>4</v>
      </c>
      <c r="D3492" s="86">
        <v>0.46232246725800508</v>
      </c>
      <c r="E3492" s="86"/>
      <c r="F3492" s="14"/>
    </row>
    <row r="3493" spans="1:6" x14ac:dyDescent="0.25">
      <c r="A3493" s="86">
        <v>3492</v>
      </c>
      <c r="B3493" s="87">
        <v>38.608982317207847</v>
      </c>
      <c r="C3493" s="14">
        <v>1</v>
      </c>
      <c r="D3493" s="86">
        <v>0.46538660508529539</v>
      </c>
      <c r="E3493" s="86"/>
      <c r="F3493" s="14"/>
    </row>
    <row r="3494" spans="1:6" x14ac:dyDescent="0.25">
      <c r="A3494" s="86">
        <v>3493</v>
      </c>
      <c r="B3494" s="87">
        <v>49.552772902068682</v>
      </c>
      <c r="C3494" s="14">
        <v>2</v>
      </c>
      <c r="D3494" s="86">
        <v>7.9259522662465276E-2</v>
      </c>
      <c r="E3494" s="86"/>
      <c r="F3494" s="14"/>
    </row>
    <row r="3495" spans="1:6" x14ac:dyDescent="0.25">
      <c r="A3495" s="86">
        <v>3494</v>
      </c>
      <c r="B3495" s="87">
        <v>45.842773483280325</v>
      </c>
      <c r="C3495" s="14">
        <v>5</v>
      </c>
      <c r="D3495" s="86">
        <v>0.86630659782049613</v>
      </c>
      <c r="E3495" s="86"/>
      <c r="F3495" s="14"/>
    </row>
    <row r="3496" spans="1:6" x14ac:dyDescent="0.25">
      <c r="A3496" s="86">
        <v>3495</v>
      </c>
      <c r="B3496" s="87">
        <v>40.392865225265268</v>
      </c>
      <c r="C3496" s="14">
        <v>2</v>
      </c>
      <c r="D3496" s="86">
        <v>0.71497329505617535</v>
      </c>
      <c r="E3496" s="86"/>
      <c r="F3496" s="14"/>
    </row>
    <row r="3497" spans="1:6" x14ac:dyDescent="0.25">
      <c r="A3497" s="86">
        <v>3496</v>
      </c>
      <c r="B3497" s="87">
        <v>41.03525270181126</v>
      </c>
      <c r="C3497" s="14">
        <v>3</v>
      </c>
      <c r="D3497" s="86">
        <v>0.66234284038601243</v>
      </c>
      <c r="E3497" s="86"/>
      <c r="F3497" s="14"/>
    </row>
    <row r="3498" spans="1:6" x14ac:dyDescent="0.25">
      <c r="A3498" s="86">
        <v>3497</v>
      </c>
      <c r="B3498" s="87">
        <v>46.189217068211292</v>
      </c>
      <c r="C3498" s="14">
        <v>4</v>
      </c>
      <c r="D3498" s="86">
        <v>0.90825414231646517</v>
      </c>
      <c r="E3498" s="86"/>
      <c r="F3498" s="14"/>
    </row>
    <row r="3499" spans="1:6" x14ac:dyDescent="0.25">
      <c r="A3499" s="86">
        <v>3498</v>
      </c>
      <c r="B3499" s="87">
        <v>44.980868091777666</v>
      </c>
      <c r="C3499" s="14">
        <v>4</v>
      </c>
      <c r="D3499" s="86">
        <v>0.40334028808486033</v>
      </c>
      <c r="E3499" s="86"/>
      <c r="F3499" s="14"/>
    </row>
    <row r="3500" spans="1:6" x14ac:dyDescent="0.25">
      <c r="A3500" s="86">
        <v>3499</v>
      </c>
      <c r="B3500" s="87">
        <v>36.824633293115767</v>
      </c>
      <c r="C3500" s="14">
        <v>2</v>
      </c>
      <c r="D3500" s="86">
        <v>0.18576745758239055</v>
      </c>
      <c r="E3500" s="86"/>
      <c r="F3500" s="14"/>
    </row>
    <row r="3501" spans="1:6" x14ac:dyDescent="0.25">
      <c r="A3501" s="86">
        <v>3500</v>
      </c>
      <c r="B3501" s="87">
        <v>39.385997746983776</v>
      </c>
      <c r="C3501" s="14">
        <v>1</v>
      </c>
      <c r="D3501" s="86">
        <v>0.7690068974279205</v>
      </c>
      <c r="E3501" s="86"/>
      <c r="F3501" s="14"/>
    </row>
    <row r="3502" spans="1:6" x14ac:dyDescent="0.25">
      <c r="A3502" s="86">
        <v>3501</v>
      </c>
      <c r="B3502" s="87">
        <v>44.27377006720053</v>
      </c>
      <c r="C3502" s="14">
        <v>5</v>
      </c>
      <c r="D3502" s="86">
        <v>0.89385755804697609</v>
      </c>
      <c r="E3502" s="86"/>
      <c r="F3502" s="14"/>
    </row>
    <row r="3503" spans="1:6" x14ac:dyDescent="0.25">
      <c r="A3503" s="86">
        <v>3502</v>
      </c>
      <c r="B3503" s="87">
        <v>37.255745150439907</v>
      </c>
      <c r="C3503" s="14">
        <v>1</v>
      </c>
      <c r="D3503" s="86">
        <v>0.79411129290242688</v>
      </c>
      <c r="E3503" s="86"/>
      <c r="F3503" s="14"/>
    </row>
    <row r="3504" spans="1:6" x14ac:dyDescent="0.25">
      <c r="A3504" s="86">
        <v>3503</v>
      </c>
      <c r="B3504" s="87">
        <v>44.466383992010378</v>
      </c>
      <c r="C3504" s="14">
        <v>2</v>
      </c>
      <c r="D3504" s="86">
        <v>0.10553840086662536</v>
      </c>
      <c r="E3504" s="86"/>
      <c r="F3504" s="14"/>
    </row>
    <row r="3505" spans="1:6" x14ac:dyDescent="0.25">
      <c r="A3505" s="86">
        <v>3504</v>
      </c>
      <c r="B3505" s="87">
        <v>45.124852471752092</v>
      </c>
      <c r="C3505" s="14">
        <v>5</v>
      </c>
      <c r="D3505" s="86">
        <v>0.91959337661405482</v>
      </c>
      <c r="E3505" s="86"/>
      <c r="F3505" s="14"/>
    </row>
    <row r="3506" spans="1:6" x14ac:dyDescent="0.25">
      <c r="A3506" s="86">
        <v>3505</v>
      </c>
      <c r="B3506" s="87">
        <v>40.68560883239843</v>
      </c>
      <c r="C3506" s="14">
        <v>4</v>
      </c>
      <c r="D3506" s="86">
        <v>0.25210856509060264</v>
      </c>
      <c r="E3506" s="86"/>
      <c r="F3506" s="14"/>
    </row>
    <row r="3507" spans="1:6" x14ac:dyDescent="0.25">
      <c r="A3507" s="86">
        <v>3506</v>
      </c>
      <c r="B3507" s="87">
        <v>41.037321802257793</v>
      </c>
      <c r="C3507" s="14">
        <v>2</v>
      </c>
      <c r="D3507" s="86">
        <v>0.24880488308807547</v>
      </c>
      <c r="E3507" s="86"/>
      <c r="F3507" s="14"/>
    </row>
    <row r="3508" spans="1:6" x14ac:dyDescent="0.25">
      <c r="A3508" s="86">
        <v>3507</v>
      </c>
      <c r="B3508" s="87">
        <v>43.558259216631996</v>
      </c>
      <c r="C3508" s="14">
        <v>2</v>
      </c>
      <c r="D3508" s="86">
        <v>0.90450479512300808</v>
      </c>
      <c r="E3508" s="86"/>
      <c r="F3508" s="14"/>
    </row>
    <row r="3509" spans="1:6" x14ac:dyDescent="0.25">
      <c r="A3509" s="86">
        <v>3508</v>
      </c>
      <c r="B3509" s="87">
        <v>47.886919668933842</v>
      </c>
      <c r="C3509" s="14">
        <v>4</v>
      </c>
      <c r="D3509" s="86">
        <v>0.74199100775072369</v>
      </c>
      <c r="E3509" s="86"/>
      <c r="F3509" s="14"/>
    </row>
    <row r="3510" spans="1:6" x14ac:dyDescent="0.25">
      <c r="A3510" s="86">
        <v>3509</v>
      </c>
      <c r="B3510" s="87">
        <v>45.61853756455821</v>
      </c>
      <c r="C3510" s="14">
        <v>4</v>
      </c>
      <c r="D3510" s="86">
        <v>0.51200027319056041</v>
      </c>
      <c r="E3510" s="86"/>
      <c r="F3510" s="14"/>
    </row>
    <row r="3511" spans="1:6" x14ac:dyDescent="0.25">
      <c r="A3511" s="86">
        <v>3510</v>
      </c>
      <c r="B3511" s="87">
        <v>39.38996541762026</v>
      </c>
      <c r="C3511" s="14">
        <v>5</v>
      </c>
      <c r="D3511" s="86">
        <v>0.68129218527438773</v>
      </c>
      <c r="E3511" s="86"/>
      <c r="F3511" s="14"/>
    </row>
    <row r="3512" spans="1:6" x14ac:dyDescent="0.25">
      <c r="A3512" s="86">
        <v>3511</v>
      </c>
      <c r="B3512" s="87">
        <v>45.962281087093288</v>
      </c>
      <c r="C3512" s="14">
        <v>5</v>
      </c>
      <c r="D3512" s="86">
        <v>0.76941886141520865</v>
      </c>
      <c r="E3512" s="86"/>
      <c r="F3512" s="14"/>
    </row>
    <row r="3513" spans="1:6" x14ac:dyDescent="0.25">
      <c r="A3513" s="86">
        <v>3512</v>
      </c>
      <c r="B3513" s="87">
        <v>34.677464095118921</v>
      </c>
      <c r="C3513" s="14">
        <v>2</v>
      </c>
      <c r="D3513" s="86">
        <v>0.99732168692081735</v>
      </c>
      <c r="E3513" s="86"/>
      <c r="F3513" s="14"/>
    </row>
    <row r="3514" spans="1:6" x14ac:dyDescent="0.25">
      <c r="A3514" s="86">
        <v>3513</v>
      </c>
      <c r="B3514" s="87">
        <v>54.884731065947562</v>
      </c>
      <c r="C3514" s="14">
        <v>2</v>
      </c>
      <c r="D3514" s="86">
        <v>0.91531540725342198</v>
      </c>
      <c r="E3514" s="86"/>
      <c r="F3514" s="14"/>
    </row>
    <row r="3515" spans="1:6" x14ac:dyDescent="0.25">
      <c r="A3515" s="86">
        <v>3514</v>
      </c>
      <c r="B3515" s="87">
        <v>34.995036907610483</v>
      </c>
      <c r="C3515" s="14">
        <v>5</v>
      </c>
      <c r="D3515" s="86">
        <v>0.566873921320317</v>
      </c>
      <c r="E3515" s="86"/>
      <c r="F3515" s="14"/>
    </row>
    <row r="3516" spans="1:6" x14ac:dyDescent="0.25">
      <c r="A3516" s="86">
        <v>3515</v>
      </c>
      <c r="B3516" s="87">
        <v>46.326852038298966</v>
      </c>
      <c r="C3516" s="14">
        <v>4</v>
      </c>
      <c r="D3516" s="86">
        <v>0.95332461882456287</v>
      </c>
      <c r="E3516" s="86"/>
      <c r="F3516" s="14"/>
    </row>
    <row r="3517" spans="1:6" x14ac:dyDescent="0.25">
      <c r="A3517" s="86">
        <v>3516</v>
      </c>
      <c r="B3517" s="87">
        <v>47.886305760010146</v>
      </c>
      <c r="C3517" s="14">
        <v>4</v>
      </c>
      <c r="D3517" s="86">
        <v>0.34350913685370976</v>
      </c>
      <c r="E3517" s="86"/>
      <c r="F3517" s="14"/>
    </row>
    <row r="3518" spans="1:6" x14ac:dyDescent="0.25">
      <c r="A3518" s="86">
        <v>3517</v>
      </c>
      <c r="B3518" s="87">
        <v>37.373297340644058</v>
      </c>
      <c r="C3518" s="14">
        <v>5</v>
      </c>
      <c r="D3518" s="86">
        <v>0.17637101017385393</v>
      </c>
      <c r="E3518" s="86"/>
      <c r="F3518" s="14"/>
    </row>
    <row r="3519" spans="1:6" x14ac:dyDescent="0.25">
      <c r="A3519" s="86">
        <v>3518</v>
      </c>
      <c r="B3519" s="87">
        <v>49.158177257020725</v>
      </c>
      <c r="C3519" s="14">
        <v>2</v>
      </c>
      <c r="D3519" s="86">
        <v>0.73002179554228264</v>
      </c>
      <c r="E3519" s="86"/>
      <c r="F3519" s="14"/>
    </row>
    <row r="3520" spans="1:6" x14ac:dyDescent="0.25">
      <c r="A3520" s="86">
        <v>3519</v>
      </c>
      <c r="B3520" s="87">
        <v>38.779126038542017</v>
      </c>
      <c r="C3520" s="14">
        <v>4</v>
      </c>
      <c r="D3520" s="86">
        <v>0.84607871088841646</v>
      </c>
      <c r="E3520" s="86"/>
      <c r="F3520" s="14"/>
    </row>
    <row r="3521" spans="1:6" x14ac:dyDescent="0.25">
      <c r="A3521" s="86">
        <v>3520</v>
      </c>
      <c r="B3521" s="87">
        <v>42.169824604905443</v>
      </c>
      <c r="C3521" s="14">
        <v>2</v>
      </c>
      <c r="D3521" s="86">
        <v>4.8799194216723851E-2</v>
      </c>
      <c r="E3521" s="86"/>
      <c r="F3521" s="14"/>
    </row>
    <row r="3522" spans="1:6" x14ac:dyDescent="0.25">
      <c r="A3522" s="86">
        <v>3521</v>
      </c>
      <c r="B3522" s="87">
        <v>51.579399946029298</v>
      </c>
      <c r="C3522" s="14">
        <v>2</v>
      </c>
      <c r="D3522" s="86">
        <v>5.3580494334379725E-2</v>
      </c>
      <c r="E3522" s="86"/>
      <c r="F3522" s="14"/>
    </row>
    <row r="3523" spans="1:6" x14ac:dyDescent="0.25">
      <c r="A3523" s="86">
        <v>3522</v>
      </c>
      <c r="B3523" s="87">
        <v>36.209689819195773</v>
      </c>
      <c r="C3523" s="14">
        <v>2</v>
      </c>
      <c r="D3523" s="86">
        <v>0.53965411321798007</v>
      </c>
      <c r="E3523" s="86"/>
      <c r="F3523" s="14"/>
    </row>
    <row r="3524" spans="1:6" x14ac:dyDescent="0.25">
      <c r="A3524" s="86">
        <v>3523</v>
      </c>
      <c r="B3524" s="87">
        <v>51.677716323290952</v>
      </c>
      <c r="C3524" s="14">
        <v>2</v>
      </c>
      <c r="D3524" s="86">
        <v>3.9130438284167512E-2</v>
      </c>
      <c r="E3524" s="86"/>
      <c r="F3524" s="14"/>
    </row>
    <row r="3525" spans="1:6" x14ac:dyDescent="0.25">
      <c r="A3525" s="86">
        <v>3524</v>
      </c>
      <c r="B3525" s="87">
        <v>53.314352039131336</v>
      </c>
      <c r="C3525" s="14">
        <v>4</v>
      </c>
      <c r="D3525" s="86">
        <v>7.6935087647407419E-2</v>
      </c>
      <c r="E3525" s="86"/>
      <c r="F3525" s="14"/>
    </row>
    <row r="3526" spans="1:6" x14ac:dyDescent="0.25">
      <c r="A3526" s="86">
        <v>3525</v>
      </c>
      <c r="B3526" s="87">
        <v>39.422161530063022</v>
      </c>
      <c r="C3526" s="14">
        <v>2</v>
      </c>
      <c r="D3526" s="86">
        <v>2.988962816930274E-2</v>
      </c>
      <c r="E3526" s="86"/>
      <c r="F3526" s="14"/>
    </row>
    <row r="3527" spans="1:6" x14ac:dyDescent="0.25">
      <c r="A3527" s="86">
        <v>3526</v>
      </c>
      <c r="B3527" s="87">
        <v>40.536406226572581</v>
      </c>
      <c r="C3527" s="14">
        <v>5</v>
      </c>
      <c r="D3527" s="86">
        <v>0.5372642978849721</v>
      </c>
      <c r="E3527" s="86"/>
      <c r="F3527" s="14"/>
    </row>
    <row r="3528" spans="1:6" x14ac:dyDescent="0.25">
      <c r="A3528" s="86">
        <v>3527</v>
      </c>
      <c r="B3528" s="87">
        <v>44.612778532944503</v>
      </c>
      <c r="C3528" s="14">
        <v>5</v>
      </c>
      <c r="D3528" s="86">
        <v>0.16490091336037882</v>
      </c>
      <c r="E3528" s="86"/>
      <c r="F3528" s="14"/>
    </row>
    <row r="3529" spans="1:6" x14ac:dyDescent="0.25">
      <c r="A3529" s="86">
        <v>3528</v>
      </c>
      <c r="B3529" s="87">
        <v>41.192964767440571</v>
      </c>
      <c r="C3529" s="14">
        <v>2</v>
      </c>
      <c r="D3529" s="86">
        <v>0.96963769798664301</v>
      </c>
      <c r="E3529" s="86"/>
      <c r="F3529" s="14"/>
    </row>
    <row r="3530" spans="1:6" x14ac:dyDescent="0.25">
      <c r="A3530" s="86">
        <v>3529</v>
      </c>
      <c r="B3530" s="87">
        <v>46.444222329562763</v>
      </c>
      <c r="C3530" s="14">
        <v>1</v>
      </c>
      <c r="D3530" s="86">
        <v>0.23535401765093789</v>
      </c>
      <c r="E3530" s="86"/>
      <c r="F3530" s="14"/>
    </row>
    <row r="3531" spans="1:6" x14ac:dyDescent="0.25">
      <c r="A3531" s="86">
        <v>3530</v>
      </c>
      <c r="B3531" s="87">
        <v>41.781078147658263</v>
      </c>
      <c r="C3531" s="14">
        <v>2</v>
      </c>
      <c r="D3531" s="86">
        <v>0.58060271916681316</v>
      </c>
      <c r="E3531" s="86"/>
      <c r="F3531" s="14"/>
    </row>
    <row r="3532" spans="1:6" x14ac:dyDescent="0.25">
      <c r="A3532" s="86">
        <v>3531</v>
      </c>
      <c r="B3532" s="87">
        <v>44.315697772952262</v>
      </c>
      <c r="C3532" s="14">
        <v>3</v>
      </c>
      <c r="D3532" s="86">
        <v>0.45421402458112281</v>
      </c>
      <c r="E3532" s="86"/>
      <c r="F3532" s="14"/>
    </row>
    <row r="3533" spans="1:6" x14ac:dyDescent="0.25">
      <c r="A3533" s="86">
        <v>3532</v>
      </c>
      <c r="B3533" s="87">
        <v>36.405469922436168</v>
      </c>
      <c r="C3533" s="14">
        <v>2</v>
      </c>
      <c r="D3533" s="86">
        <v>0.73421713254967358</v>
      </c>
      <c r="E3533" s="86"/>
      <c r="F3533" s="14"/>
    </row>
    <row r="3534" spans="1:6" x14ac:dyDescent="0.25">
      <c r="A3534" s="86">
        <v>3533</v>
      </c>
      <c r="B3534" s="87">
        <v>39.718827333097579</v>
      </c>
      <c r="C3534" s="14">
        <v>2</v>
      </c>
      <c r="D3534" s="86">
        <v>0.58222188506582762</v>
      </c>
      <c r="E3534" s="86"/>
      <c r="F3534" s="14"/>
    </row>
    <row r="3535" spans="1:6" x14ac:dyDescent="0.25">
      <c r="A3535" s="86">
        <v>3534</v>
      </c>
      <c r="B3535" s="87">
        <v>45.17646061173582</v>
      </c>
      <c r="C3535" s="14">
        <v>4</v>
      </c>
      <c r="D3535" s="86">
        <v>0.36352481322563868</v>
      </c>
      <c r="E3535" s="86"/>
      <c r="F3535" s="14"/>
    </row>
    <row r="3536" spans="1:6" x14ac:dyDescent="0.25">
      <c r="A3536" s="86">
        <v>3535</v>
      </c>
      <c r="B3536" s="87">
        <v>48.185472673474578</v>
      </c>
      <c r="C3536" s="14">
        <v>4</v>
      </c>
      <c r="D3536" s="86">
        <v>0.75649019102360637</v>
      </c>
      <c r="E3536" s="86"/>
      <c r="F3536" s="14"/>
    </row>
    <row r="3537" spans="1:6" x14ac:dyDescent="0.25">
      <c r="A3537" s="86">
        <v>3536</v>
      </c>
      <c r="B3537" s="87">
        <v>38.733617197402054</v>
      </c>
      <c r="C3537" s="14">
        <v>2</v>
      </c>
      <c r="D3537" s="86">
        <v>0.3437874841947498</v>
      </c>
      <c r="E3537" s="86"/>
      <c r="F3537" s="14"/>
    </row>
    <row r="3538" spans="1:6" x14ac:dyDescent="0.25">
      <c r="A3538" s="86">
        <v>3537</v>
      </c>
      <c r="B3538" s="87">
        <v>43.38919552025618</v>
      </c>
      <c r="C3538" s="14">
        <v>5</v>
      </c>
      <c r="D3538" s="86">
        <v>0.58544758575219857</v>
      </c>
      <c r="E3538" s="86"/>
      <c r="F3538" s="14"/>
    </row>
    <row r="3539" spans="1:6" x14ac:dyDescent="0.25">
      <c r="A3539" s="86">
        <v>3538</v>
      </c>
      <c r="B3539" s="87">
        <v>46.450531949056312</v>
      </c>
      <c r="C3539" s="14">
        <v>3</v>
      </c>
      <c r="D3539" s="86">
        <v>0.17885209481725906</v>
      </c>
      <c r="E3539" s="86"/>
      <c r="F3539" s="14"/>
    </row>
    <row r="3540" spans="1:6" x14ac:dyDescent="0.25">
      <c r="A3540" s="86">
        <v>3539</v>
      </c>
      <c r="B3540" s="87">
        <v>48.30550323674106</v>
      </c>
      <c r="C3540" s="14">
        <v>5</v>
      </c>
      <c r="D3540" s="86">
        <v>0.16649239935135685</v>
      </c>
      <c r="E3540" s="86"/>
      <c r="F3540" s="14"/>
    </row>
    <row r="3541" spans="1:6" x14ac:dyDescent="0.25">
      <c r="A3541" s="86">
        <v>3540</v>
      </c>
      <c r="B3541" s="87">
        <v>41.449953864110284</v>
      </c>
      <c r="C3541" s="14">
        <v>4</v>
      </c>
      <c r="D3541" s="86">
        <v>0.8868846003867833</v>
      </c>
      <c r="E3541" s="86"/>
      <c r="F3541" s="14"/>
    </row>
    <row r="3542" spans="1:6" x14ac:dyDescent="0.25">
      <c r="A3542" s="86">
        <v>3541</v>
      </c>
      <c r="B3542" s="87">
        <v>41.858163507975405</v>
      </c>
      <c r="C3542" s="14">
        <v>2</v>
      </c>
      <c r="D3542" s="86">
        <v>0.37834520735271815</v>
      </c>
      <c r="E3542" s="86"/>
      <c r="F3542" s="14"/>
    </row>
    <row r="3543" spans="1:6" x14ac:dyDescent="0.25">
      <c r="A3543" s="86">
        <v>3542</v>
      </c>
      <c r="B3543" s="87">
        <v>47.145431375945918</v>
      </c>
      <c r="C3543" s="14">
        <v>2</v>
      </c>
      <c r="D3543" s="86">
        <v>0.33654823058880801</v>
      </c>
      <c r="E3543" s="86"/>
      <c r="F3543" s="14"/>
    </row>
    <row r="3544" spans="1:6" x14ac:dyDescent="0.25">
      <c r="A3544" s="86">
        <v>3543</v>
      </c>
      <c r="B3544" s="87">
        <v>48.330423391569639</v>
      </c>
      <c r="C3544" s="14">
        <v>2</v>
      </c>
      <c r="D3544" s="86">
        <v>0.16725885994195944</v>
      </c>
      <c r="E3544" s="86"/>
      <c r="F3544" s="14"/>
    </row>
    <row r="3545" spans="1:6" x14ac:dyDescent="0.25">
      <c r="A3545" s="86">
        <v>3544</v>
      </c>
      <c r="B3545" s="87">
        <v>43.289901436190121</v>
      </c>
      <c r="C3545" s="14">
        <v>2</v>
      </c>
      <c r="D3545" s="86">
        <v>0.78312412788197205</v>
      </c>
      <c r="E3545" s="86"/>
      <c r="F3545" s="14"/>
    </row>
    <row r="3546" spans="1:6" x14ac:dyDescent="0.25">
      <c r="A3546" s="86">
        <v>3545</v>
      </c>
      <c r="B3546" s="87">
        <v>51.444203558610752</v>
      </c>
      <c r="C3546" s="14">
        <v>1</v>
      </c>
      <c r="D3546" s="86">
        <v>0.93659641007690464</v>
      </c>
      <c r="E3546" s="86"/>
      <c r="F3546" s="14"/>
    </row>
    <row r="3547" spans="1:6" x14ac:dyDescent="0.25">
      <c r="A3547" s="86">
        <v>3546</v>
      </c>
      <c r="B3547" s="87">
        <v>51.393681127927266</v>
      </c>
      <c r="C3547" s="14">
        <v>2</v>
      </c>
      <c r="D3547" s="86">
        <v>0.1632290327131245</v>
      </c>
      <c r="E3547" s="86"/>
      <c r="F3547" s="14"/>
    </row>
    <row r="3548" spans="1:6" x14ac:dyDescent="0.25">
      <c r="A3548" s="86">
        <v>3547</v>
      </c>
      <c r="B3548" s="87">
        <v>47.724836344394134</v>
      </c>
      <c r="C3548" s="14">
        <v>2</v>
      </c>
      <c r="D3548" s="86">
        <v>0.88455760072186473</v>
      </c>
      <c r="E3548" s="86"/>
      <c r="F3548" s="14"/>
    </row>
    <row r="3549" spans="1:6" x14ac:dyDescent="0.25">
      <c r="A3549" s="86">
        <v>3548</v>
      </c>
      <c r="B3549" s="87">
        <v>48.016204340790864</v>
      </c>
      <c r="C3549" s="14">
        <v>2</v>
      </c>
      <c r="D3549" s="86">
        <v>0.7610465444593475</v>
      </c>
      <c r="E3549" s="86"/>
      <c r="F3549" s="14"/>
    </row>
    <row r="3550" spans="1:6" x14ac:dyDescent="0.25">
      <c r="A3550" s="86">
        <v>3549</v>
      </c>
      <c r="B3550" s="87">
        <v>44.693575768513256</v>
      </c>
      <c r="C3550" s="14">
        <v>2</v>
      </c>
      <c r="D3550" s="86">
        <v>0.45037237874349123</v>
      </c>
      <c r="E3550" s="86"/>
      <c r="F3550" s="14"/>
    </row>
    <row r="3551" spans="1:6" x14ac:dyDescent="0.25">
      <c r="A3551" s="86">
        <v>3550</v>
      </c>
      <c r="B3551" s="87">
        <v>32.998741511953995</v>
      </c>
      <c r="C3551" s="14">
        <v>2</v>
      </c>
      <c r="D3551" s="86">
        <v>0.59586280200435437</v>
      </c>
      <c r="E3551" s="86"/>
      <c r="F3551" s="14"/>
    </row>
    <row r="3552" spans="1:6" x14ac:dyDescent="0.25">
      <c r="A3552" s="86">
        <v>3551</v>
      </c>
      <c r="B3552" s="87">
        <v>40.057750533713261</v>
      </c>
      <c r="C3552" s="14">
        <v>3</v>
      </c>
      <c r="D3552" s="86">
        <v>0.32598477550703797</v>
      </c>
      <c r="E3552" s="86"/>
      <c r="F3552" s="14"/>
    </row>
    <row r="3553" spans="1:6" x14ac:dyDescent="0.25">
      <c r="A3553" s="86">
        <v>3552</v>
      </c>
      <c r="B3553" s="87">
        <v>44.307381580772926</v>
      </c>
      <c r="C3553" s="14">
        <v>4</v>
      </c>
      <c r="D3553" s="86">
        <v>0.39305713656513752</v>
      </c>
      <c r="E3553" s="86"/>
      <c r="F3553" s="14"/>
    </row>
    <row r="3554" spans="1:6" x14ac:dyDescent="0.25">
      <c r="A3554" s="86">
        <v>3553</v>
      </c>
      <c r="B3554" s="87">
        <v>46.352670319145545</v>
      </c>
      <c r="C3554" s="14">
        <v>2</v>
      </c>
      <c r="D3554" s="86">
        <v>0.83407549427254757</v>
      </c>
      <c r="E3554" s="86"/>
      <c r="F3554" s="14"/>
    </row>
    <row r="3555" spans="1:6" x14ac:dyDescent="0.25">
      <c r="A3555" s="86">
        <v>3554</v>
      </c>
      <c r="B3555" s="87">
        <v>39.902135990239913</v>
      </c>
      <c r="C3555" s="14">
        <v>2</v>
      </c>
      <c r="D3555" s="86">
        <v>0.5124530123014811</v>
      </c>
      <c r="E3555" s="86"/>
      <c r="F3555" s="14"/>
    </row>
    <row r="3556" spans="1:6" x14ac:dyDescent="0.25">
      <c r="A3556" s="86">
        <v>3555</v>
      </c>
      <c r="B3556" s="87">
        <v>41.597388639609562</v>
      </c>
      <c r="C3556" s="14">
        <v>2</v>
      </c>
      <c r="D3556" s="86">
        <v>5.9118748871708093E-2</v>
      </c>
      <c r="E3556" s="86"/>
      <c r="F3556" s="14"/>
    </row>
    <row r="3557" spans="1:6" x14ac:dyDescent="0.25">
      <c r="A3557" s="86">
        <v>3556</v>
      </c>
      <c r="B3557" s="87">
        <v>48.148933723830851</v>
      </c>
      <c r="C3557" s="14">
        <v>2</v>
      </c>
      <c r="D3557" s="86">
        <v>0.19857408018886291</v>
      </c>
      <c r="E3557" s="86"/>
      <c r="F3557" s="14"/>
    </row>
    <row r="3558" spans="1:6" x14ac:dyDescent="0.25">
      <c r="A3558" s="86">
        <v>3557</v>
      </c>
      <c r="B3558" s="87">
        <v>49.915547601238359</v>
      </c>
      <c r="C3558" s="14">
        <v>2</v>
      </c>
      <c r="D3558" s="86">
        <v>0.67082425870992701</v>
      </c>
      <c r="E3558" s="86"/>
      <c r="F3558" s="14"/>
    </row>
    <row r="3559" spans="1:6" x14ac:dyDescent="0.25">
      <c r="A3559" s="86">
        <v>3558</v>
      </c>
      <c r="B3559" s="87">
        <v>37.240181422355818</v>
      </c>
      <c r="C3559" s="14">
        <v>1</v>
      </c>
      <c r="D3559" s="86">
        <v>0.97623961384018121</v>
      </c>
      <c r="E3559" s="86"/>
      <c r="F3559" s="14"/>
    </row>
    <row r="3560" spans="1:6" x14ac:dyDescent="0.25">
      <c r="A3560" s="86">
        <v>3559</v>
      </c>
      <c r="B3560" s="87">
        <v>43.248911646849592</v>
      </c>
      <c r="C3560" s="14">
        <v>1</v>
      </c>
      <c r="D3560" s="86">
        <v>0.23885324385161</v>
      </c>
      <c r="E3560" s="86"/>
      <c r="F3560" s="14"/>
    </row>
    <row r="3561" spans="1:6" x14ac:dyDescent="0.25">
      <c r="A3561" s="86">
        <v>3560</v>
      </c>
      <c r="B3561" s="87">
        <v>30.014234648086131</v>
      </c>
      <c r="C3561" s="14">
        <v>5</v>
      </c>
      <c r="D3561" s="86">
        <v>0.23724414516063108</v>
      </c>
      <c r="E3561" s="86"/>
      <c r="F3561" s="14"/>
    </row>
    <row r="3562" spans="1:6" x14ac:dyDescent="0.25">
      <c r="A3562" s="86">
        <v>3561</v>
      </c>
      <c r="B3562" s="87">
        <v>48.288075044518337</v>
      </c>
      <c r="C3562" s="14">
        <v>5</v>
      </c>
      <c r="D3562" s="86">
        <v>0.31091582652121197</v>
      </c>
      <c r="E3562" s="86"/>
      <c r="F3562" s="14"/>
    </row>
    <row r="3563" spans="1:6" x14ac:dyDescent="0.25">
      <c r="A3563" s="86">
        <v>3562</v>
      </c>
      <c r="B3563" s="87">
        <v>50.879361874074675</v>
      </c>
      <c r="C3563" s="14">
        <v>4</v>
      </c>
      <c r="D3563" s="86">
        <v>0.86503195050079884</v>
      </c>
      <c r="E3563" s="86"/>
      <c r="F3563" s="14"/>
    </row>
    <row r="3564" spans="1:6" x14ac:dyDescent="0.25">
      <c r="A3564" s="86">
        <v>3563</v>
      </c>
      <c r="B3564" s="87">
        <v>44.383131120746839</v>
      </c>
      <c r="C3564" s="14">
        <v>2</v>
      </c>
      <c r="D3564" s="86">
        <v>0.26887781008060907</v>
      </c>
      <c r="E3564" s="86"/>
      <c r="F3564" s="14"/>
    </row>
    <row r="3565" spans="1:6" x14ac:dyDescent="0.25">
      <c r="A3565" s="86">
        <v>3564</v>
      </c>
      <c r="B3565" s="87">
        <v>47.065589109814027</v>
      </c>
      <c r="C3565" s="14">
        <v>2</v>
      </c>
      <c r="D3565" s="86">
        <v>0.3256379906903174</v>
      </c>
      <c r="E3565" s="86"/>
      <c r="F3565" s="14"/>
    </row>
    <row r="3566" spans="1:6" x14ac:dyDescent="0.25">
      <c r="A3566" s="86">
        <v>3565</v>
      </c>
      <c r="B3566" s="87">
        <v>40.159022768755676</v>
      </c>
      <c r="C3566" s="14">
        <v>4</v>
      </c>
      <c r="D3566" s="86">
        <v>0.15841765698806454</v>
      </c>
      <c r="E3566" s="86"/>
      <c r="F3566" s="14"/>
    </row>
    <row r="3567" spans="1:6" x14ac:dyDescent="0.25">
      <c r="A3567" s="86">
        <v>3566</v>
      </c>
      <c r="B3567" s="87">
        <v>41.889938979118597</v>
      </c>
      <c r="C3567" s="14">
        <v>2</v>
      </c>
      <c r="D3567" s="86">
        <v>0.62313109142799428</v>
      </c>
      <c r="E3567" s="86"/>
      <c r="F3567" s="14"/>
    </row>
    <row r="3568" spans="1:6" x14ac:dyDescent="0.25">
      <c r="A3568" s="86">
        <v>3567</v>
      </c>
      <c r="B3568" s="87">
        <v>43.197223926079459</v>
      </c>
      <c r="C3568" s="14">
        <v>3</v>
      </c>
      <c r="D3568" s="86">
        <v>0.1616154838249656</v>
      </c>
      <c r="E3568" s="86"/>
      <c r="F3568" s="14"/>
    </row>
    <row r="3569" spans="1:6" x14ac:dyDescent="0.25">
      <c r="A3569" s="86">
        <v>3568</v>
      </c>
      <c r="B3569" s="87">
        <v>40.896475179004483</v>
      </c>
      <c r="C3569" s="14">
        <v>2</v>
      </c>
      <c r="D3569" s="86">
        <v>0.94786839584941984</v>
      </c>
      <c r="E3569" s="86"/>
      <c r="F3569" s="14"/>
    </row>
    <row r="3570" spans="1:6" x14ac:dyDescent="0.25">
      <c r="A3570" s="86">
        <v>3569</v>
      </c>
      <c r="B3570" s="87">
        <v>39.054089024255518</v>
      </c>
      <c r="C3570" s="14">
        <v>5</v>
      </c>
      <c r="D3570" s="86">
        <v>0.85931307938163859</v>
      </c>
      <c r="E3570" s="86"/>
      <c r="F3570" s="14"/>
    </row>
    <row r="3571" spans="1:6" x14ac:dyDescent="0.25">
      <c r="A3571" s="86">
        <v>3570</v>
      </c>
      <c r="B3571" s="87">
        <v>48.013680492993444</v>
      </c>
      <c r="C3571" s="14">
        <v>2</v>
      </c>
      <c r="D3571" s="86">
        <v>0.76535210464074155</v>
      </c>
      <c r="E3571" s="86"/>
      <c r="F3571" s="14"/>
    </row>
    <row r="3572" spans="1:6" x14ac:dyDescent="0.25">
      <c r="A3572" s="86">
        <v>3571</v>
      </c>
      <c r="B3572" s="87">
        <v>47.536877895588987</v>
      </c>
      <c r="C3572" s="14">
        <v>1</v>
      </c>
      <c r="D3572" s="86">
        <v>0.45807893602303718</v>
      </c>
      <c r="E3572" s="86"/>
      <c r="F3572" s="14"/>
    </row>
    <row r="3573" spans="1:6" x14ac:dyDescent="0.25">
      <c r="A3573" s="86">
        <v>3572</v>
      </c>
      <c r="B3573" s="87">
        <v>49.389291229424998</v>
      </c>
      <c r="C3573" s="14">
        <v>2</v>
      </c>
      <c r="D3573" s="86">
        <v>0.28624847500223316</v>
      </c>
      <c r="E3573" s="86"/>
      <c r="F3573" s="14"/>
    </row>
    <row r="3574" spans="1:6" x14ac:dyDescent="0.25">
      <c r="A3574" s="86">
        <v>3573</v>
      </c>
      <c r="B3574" s="87">
        <v>41.5902263688331</v>
      </c>
      <c r="C3574" s="14">
        <v>4</v>
      </c>
      <c r="D3574" s="86">
        <v>0.78397351303693019</v>
      </c>
      <c r="E3574" s="86"/>
      <c r="F3574" s="14"/>
    </row>
    <row r="3575" spans="1:6" x14ac:dyDescent="0.25">
      <c r="A3575" s="86">
        <v>3574</v>
      </c>
      <c r="B3575" s="87">
        <v>50.546350389020517</v>
      </c>
      <c r="C3575" s="14">
        <v>5</v>
      </c>
      <c r="D3575" s="86">
        <v>1.4152973814747116E-2</v>
      </c>
      <c r="E3575" s="86"/>
      <c r="F3575" s="14"/>
    </row>
    <row r="3576" spans="1:6" x14ac:dyDescent="0.25">
      <c r="A3576" s="86">
        <v>3575</v>
      </c>
      <c r="B3576" s="87">
        <v>36.765982253535185</v>
      </c>
      <c r="C3576" s="14">
        <v>2</v>
      </c>
      <c r="D3576" s="86">
        <v>0.76685026841156589</v>
      </c>
      <c r="E3576" s="86"/>
      <c r="F3576" s="14"/>
    </row>
    <row r="3577" spans="1:6" x14ac:dyDescent="0.25">
      <c r="A3577" s="86">
        <v>3576</v>
      </c>
      <c r="B3577" s="87">
        <v>36.956953403539956</v>
      </c>
      <c r="C3577" s="14">
        <v>4</v>
      </c>
      <c r="D3577" s="86">
        <v>0.86016085168174961</v>
      </c>
      <c r="E3577" s="86"/>
      <c r="F3577" s="14"/>
    </row>
    <row r="3578" spans="1:6" x14ac:dyDescent="0.25">
      <c r="A3578" s="86">
        <v>3577</v>
      </c>
      <c r="B3578" s="87">
        <v>38.483290149422828</v>
      </c>
      <c r="C3578" s="14">
        <v>5</v>
      </c>
      <c r="D3578" s="86">
        <v>6.3603111916990085E-2</v>
      </c>
      <c r="E3578" s="86"/>
      <c r="F3578" s="14"/>
    </row>
    <row r="3579" spans="1:6" x14ac:dyDescent="0.25">
      <c r="A3579" s="86">
        <v>3578</v>
      </c>
      <c r="B3579" s="87">
        <v>39.153064785175957</v>
      </c>
      <c r="C3579" s="14">
        <v>4</v>
      </c>
      <c r="D3579" s="86">
        <v>0.14743740310929865</v>
      </c>
      <c r="E3579" s="86"/>
      <c r="F3579" s="14"/>
    </row>
    <row r="3580" spans="1:6" x14ac:dyDescent="0.25">
      <c r="A3580" s="86">
        <v>3579</v>
      </c>
      <c r="B3580" s="87">
        <v>40.434406395768747</v>
      </c>
      <c r="C3580" s="14">
        <v>1</v>
      </c>
      <c r="D3580" s="86">
        <v>0.435157694275496</v>
      </c>
      <c r="E3580" s="86"/>
      <c r="F3580" s="14"/>
    </row>
    <row r="3581" spans="1:6" x14ac:dyDescent="0.25">
      <c r="A3581" s="86">
        <v>3580</v>
      </c>
      <c r="B3581" s="87">
        <v>37.934194091911195</v>
      </c>
      <c r="C3581" s="14">
        <v>4</v>
      </c>
      <c r="D3581" s="86">
        <v>0.67330246812319361</v>
      </c>
      <c r="E3581" s="86"/>
      <c r="F3581" s="14"/>
    </row>
    <row r="3582" spans="1:6" x14ac:dyDescent="0.25">
      <c r="A3582" s="86">
        <v>3581</v>
      </c>
      <c r="B3582" s="87">
        <v>46.087211553065572</v>
      </c>
      <c r="C3582" s="14">
        <v>1</v>
      </c>
      <c r="D3582" s="86">
        <v>1.6576273854852719E-2</v>
      </c>
      <c r="E3582" s="86"/>
      <c r="F3582" s="14"/>
    </row>
    <row r="3583" spans="1:6" x14ac:dyDescent="0.25">
      <c r="A3583" s="86">
        <v>3582</v>
      </c>
      <c r="B3583" s="87">
        <v>47.426567556947703</v>
      </c>
      <c r="C3583" s="14">
        <v>5</v>
      </c>
      <c r="D3583" s="86">
        <v>0.4305597269800493</v>
      </c>
      <c r="E3583" s="86"/>
      <c r="F3583" s="14"/>
    </row>
    <row r="3584" spans="1:6" x14ac:dyDescent="0.25">
      <c r="A3584" s="86">
        <v>3583</v>
      </c>
      <c r="B3584" s="87">
        <v>34.398863130598329</v>
      </c>
      <c r="C3584" s="14">
        <v>2</v>
      </c>
      <c r="D3584" s="86">
        <v>0.40369251626864167</v>
      </c>
      <c r="E3584" s="86"/>
      <c r="F3584" s="14"/>
    </row>
    <row r="3585" spans="1:6" x14ac:dyDescent="0.25">
      <c r="A3585" s="86">
        <v>3584</v>
      </c>
      <c r="B3585" s="87">
        <v>46.220691269234521</v>
      </c>
      <c r="C3585" s="14">
        <v>4</v>
      </c>
      <c r="D3585" s="86">
        <v>0.54053563827408913</v>
      </c>
      <c r="E3585" s="86"/>
      <c r="F3585" s="14"/>
    </row>
    <row r="3586" spans="1:6" x14ac:dyDescent="0.25">
      <c r="A3586" s="86">
        <v>3585</v>
      </c>
      <c r="B3586" s="87">
        <v>43.758512896936736</v>
      </c>
      <c r="C3586" s="14">
        <v>2</v>
      </c>
      <c r="D3586" s="86">
        <v>0.65849394329556776</v>
      </c>
      <c r="E3586" s="86"/>
      <c r="F3586" s="14"/>
    </row>
    <row r="3587" spans="1:6" x14ac:dyDescent="0.25">
      <c r="A3587" s="86">
        <v>3586</v>
      </c>
      <c r="B3587" s="87">
        <v>44.496755430707708</v>
      </c>
      <c r="C3587" s="14">
        <v>2</v>
      </c>
      <c r="D3587" s="86">
        <v>0.95447665571201079</v>
      </c>
      <c r="E3587" s="86"/>
      <c r="F3587" s="14"/>
    </row>
    <row r="3588" spans="1:6" x14ac:dyDescent="0.25">
      <c r="A3588" s="86">
        <v>3587</v>
      </c>
      <c r="B3588" s="87">
        <v>44.617615907889558</v>
      </c>
      <c r="C3588" s="14">
        <v>5</v>
      </c>
      <c r="D3588" s="86">
        <v>0.24675670453430609</v>
      </c>
      <c r="E3588" s="86"/>
      <c r="F3588" s="14"/>
    </row>
    <row r="3589" spans="1:6" x14ac:dyDescent="0.25">
      <c r="A3589" s="86">
        <v>3588</v>
      </c>
      <c r="B3589" s="87">
        <v>41.125429101492045</v>
      </c>
      <c r="C3589" s="14">
        <v>1</v>
      </c>
      <c r="D3589" s="86">
        <v>9.7117650081589346E-2</v>
      </c>
      <c r="E3589" s="86"/>
      <c r="F3589" s="14"/>
    </row>
    <row r="3590" spans="1:6" x14ac:dyDescent="0.25">
      <c r="A3590" s="86">
        <v>3589</v>
      </c>
      <c r="B3590" s="87">
        <v>43.177703896042658</v>
      </c>
      <c r="C3590" s="14">
        <v>5</v>
      </c>
      <c r="D3590" s="86">
        <v>0.46450783566443499</v>
      </c>
      <c r="E3590" s="86"/>
      <c r="F3590" s="14"/>
    </row>
    <row r="3591" spans="1:6" x14ac:dyDescent="0.25">
      <c r="A3591" s="86">
        <v>3590</v>
      </c>
      <c r="B3591" s="87">
        <v>45.538581611588597</v>
      </c>
      <c r="C3591" s="14">
        <v>2</v>
      </c>
      <c r="D3591" s="86">
        <v>0.95383525249198309</v>
      </c>
      <c r="E3591" s="86"/>
      <c r="F3591" s="14"/>
    </row>
    <row r="3592" spans="1:6" x14ac:dyDescent="0.25">
      <c r="A3592" s="86">
        <v>3591</v>
      </c>
      <c r="B3592" s="87">
        <v>44.477167188568274</v>
      </c>
      <c r="C3592" s="14">
        <v>4</v>
      </c>
      <c r="D3592" s="86">
        <v>0.69618533551947837</v>
      </c>
      <c r="E3592" s="86"/>
      <c r="F3592" s="14"/>
    </row>
    <row r="3593" spans="1:6" x14ac:dyDescent="0.25">
      <c r="A3593" s="86">
        <v>3592</v>
      </c>
      <c r="B3593" s="87">
        <v>44.65433675647364</v>
      </c>
      <c r="C3593" s="14">
        <v>2</v>
      </c>
      <c r="D3593" s="86">
        <v>0.80206882236831101</v>
      </c>
      <c r="E3593" s="86"/>
      <c r="F3593" s="14"/>
    </row>
    <row r="3594" spans="1:6" x14ac:dyDescent="0.25">
      <c r="A3594" s="86">
        <v>3593</v>
      </c>
      <c r="B3594" s="87">
        <v>39.694600667979103</v>
      </c>
      <c r="C3594" s="14">
        <v>4</v>
      </c>
      <c r="D3594" s="86">
        <v>0.2315509370412967</v>
      </c>
      <c r="E3594" s="86"/>
      <c r="F3594" s="14"/>
    </row>
    <row r="3595" spans="1:6" x14ac:dyDescent="0.25">
      <c r="A3595" s="86">
        <v>3594</v>
      </c>
      <c r="B3595" s="87">
        <v>48.75091689825058</v>
      </c>
      <c r="C3595" s="14">
        <v>4</v>
      </c>
      <c r="D3595" s="86">
        <v>6.2806957746072589E-2</v>
      </c>
      <c r="E3595" s="86"/>
      <c r="F3595" s="14"/>
    </row>
    <row r="3596" spans="1:6" x14ac:dyDescent="0.25">
      <c r="A3596" s="86">
        <v>3595</v>
      </c>
      <c r="B3596" s="87">
        <v>43.752322648622794</v>
      </c>
      <c r="C3596" s="14">
        <v>2</v>
      </c>
      <c r="D3596" s="86">
        <v>0.60739172272663344</v>
      </c>
      <c r="E3596" s="86"/>
      <c r="F3596" s="14"/>
    </row>
    <row r="3597" spans="1:6" x14ac:dyDescent="0.25">
      <c r="A3597" s="86">
        <v>3596</v>
      </c>
      <c r="B3597" s="87">
        <v>39.971814653079491</v>
      </c>
      <c r="C3597" s="14">
        <v>2</v>
      </c>
      <c r="D3597" s="86">
        <v>0.27773421804781639</v>
      </c>
      <c r="E3597" s="86"/>
      <c r="F3597" s="14"/>
    </row>
    <row r="3598" spans="1:6" x14ac:dyDescent="0.25">
      <c r="A3598" s="86">
        <v>3597</v>
      </c>
      <c r="B3598" s="87">
        <v>36.867868397501297</v>
      </c>
      <c r="C3598" s="14">
        <v>2</v>
      </c>
      <c r="D3598" s="86">
        <v>0.65410301678021576</v>
      </c>
      <c r="E3598" s="86"/>
      <c r="F3598" s="14"/>
    </row>
    <row r="3599" spans="1:6" x14ac:dyDescent="0.25">
      <c r="A3599" s="86">
        <v>3598</v>
      </c>
      <c r="B3599" s="87">
        <v>40.943189100624295</v>
      </c>
      <c r="C3599" s="14">
        <v>4</v>
      </c>
      <c r="D3599" s="86">
        <v>0.94457668178820287</v>
      </c>
      <c r="E3599" s="86"/>
      <c r="F3599" s="14"/>
    </row>
    <row r="3600" spans="1:6" x14ac:dyDescent="0.25">
      <c r="A3600" s="86">
        <v>3599</v>
      </c>
      <c r="B3600" s="87">
        <v>49.739685431966791</v>
      </c>
      <c r="C3600" s="14">
        <v>2</v>
      </c>
      <c r="D3600" s="86">
        <v>0.1115946521243405</v>
      </c>
      <c r="E3600" s="86"/>
      <c r="F3600" s="14"/>
    </row>
    <row r="3601" spans="1:6" x14ac:dyDescent="0.25">
      <c r="A3601" s="86">
        <v>3600</v>
      </c>
      <c r="B3601" s="87">
        <v>42.220585777948145</v>
      </c>
      <c r="C3601" s="14">
        <v>1</v>
      </c>
      <c r="D3601" s="86">
        <v>0.15714840255852791</v>
      </c>
      <c r="E3601" s="86"/>
      <c r="F3601" s="14"/>
    </row>
    <row r="3602" spans="1:6" x14ac:dyDescent="0.25">
      <c r="A3602" s="86">
        <v>3601</v>
      </c>
      <c r="B3602" s="87">
        <v>43.822808488010196</v>
      </c>
      <c r="C3602" s="14">
        <v>1</v>
      </c>
      <c r="D3602" s="86">
        <v>0.97550561946569814</v>
      </c>
      <c r="E3602" s="86"/>
      <c r="F3602" s="14"/>
    </row>
    <row r="3603" spans="1:6" x14ac:dyDescent="0.25">
      <c r="A3603" s="86">
        <v>3602</v>
      </c>
      <c r="B3603" s="87">
        <v>40.139229890308343</v>
      </c>
      <c r="C3603" s="14">
        <v>1</v>
      </c>
      <c r="D3603" s="86">
        <v>0.7158360753686176</v>
      </c>
      <c r="E3603" s="86"/>
      <c r="F3603" s="14"/>
    </row>
    <row r="3604" spans="1:6" x14ac:dyDescent="0.25">
      <c r="A3604" s="86">
        <v>3603</v>
      </c>
      <c r="B3604" s="87">
        <v>45.007789134950144</v>
      </c>
      <c r="C3604" s="14">
        <v>5</v>
      </c>
      <c r="D3604" s="86">
        <v>0.57515638328028573</v>
      </c>
      <c r="E3604" s="86"/>
      <c r="F3604" s="14"/>
    </row>
    <row r="3605" spans="1:6" x14ac:dyDescent="0.25">
      <c r="A3605" s="86">
        <v>3604</v>
      </c>
      <c r="B3605" s="87">
        <v>52.748555385158397</v>
      </c>
      <c r="C3605" s="14">
        <v>2</v>
      </c>
      <c r="D3605" s="86">
        <v>0.52260628002410525</v>
      </c>
      <c r="E3605" s="86"/>
      <c r="F3605" s="14"/>
    </row>
    <row r="3606" spans="1:6" x14ac:dyDescent="0.25">
      <c r="A3606" s="86">
        <v>3605</v>
      </c>
      <c r="B3606" s="87">
        <v>38.055406998289982</v>
      </c>
      <c r="C3606" s="14">
        <v>4</v>
      </c>
      <c r="D3606" s="86">
        <v>0.57288810188783523</v>
      </c>
      <c r="E3606" s="86"/>
      <c r="F3606" s="14"/>
    </row>
    <row r="3607" spans="1:6" x14ac:dyDescent="0.25">
      <c r="A3607" s="86">
        <v>3606</v>
      </c>
      <c r="B3607" s="87">
        <v>40.770430582022527</v>
      </c>
      <c r="C3607" s="14">
        <v>2</v>
      </c>
      <c r="D3607" s="86">
        <v>0.37792365169983066</v>
      </c>
      <c r="E3607" s="86"/>
      <c r="F3607" s="14"/>
    </row>
    <row r="3608" spans="1:6" x14ac:dyDescent="0.25">
      <c r="A3608" s="86">
        <v>3607</v>
      </c>
      <c r="B3608" s="87">
        <v>45.404601673333673</v>
      </c>
      <c r="C3608" s="14">
        <v>2</v>
      </c>
      <c r="D3608" s="86">
        <v>0.45021785174896245</v>
      </c>
      <c r="E3608" s="86"/>
      <c r="F3608" s="14"/>
    </row>
    <row r="3609" spans="1:6" x14ac:dyDescent="0.25">
      <c r="A3609" s="86">
        <v>3608</v>
      </c>
      <c r="B3609" s="87">
        <v>42.111594206624432</v>
      </c>
      <c r="C3609" s="14">
        <v>3</v>
      </c>
      <c r="D3609" s="86">
        <v>0.59525423575620462</v>
      </c>
      <c r="E3609" s="86"/>
      <c r="F3609" s="14"/>
    </row>
    <row r="3610" spans="1:6" x14ac:dyDescent="0.25">
      <c r="A3610" s="86">
        <v>3609</v>
      </c>
      <c r="B3610" s="87">
        <v>36.47689936257666</v>
      </c>
      <c r="C3610" s="14">
        <v>2</v>
      </c>
      <c r="D3610" s="86">
        <v>1.9601863749857618E-2</v>
      </c>
      <c r="E3610" s="86"/>
      <c r="F3610" s="14"/>
    </row>
    <row r="3611" spans="1:6" x14ac:dyDescent="0.25">
      <c r="A3611" s="86">
        <v>3610</v>
      </c>
      <c r="B3611" s="87">
        <v>48.234187483438291</v>
      </c>
      <c r="C3611" s="14">
        <v>4</v>
      </c>
      <c r="D3611" s="86">
        <v>0.21267193956350905</v>
      </c>
      <c r="E3611" s="86"/>
      <c r="F3611" s="14"/>
    </row>
    <row r="3612" spans="1:6" x14ac:dyDescent="0.25">
      <c r="A3612" s="86">
        <v>3611</v>
      </c>
      <c r="B3612" s="87">
        <v>42.243033244056278</v>
      </c>
      <c r="C3612" s="14">
        <v>3</v>
      </c>
      <c r="D3612" s="86">
        <v>0.32658017472012457</v>
      </c>
      <c r="E3612" s="86"/>
      <c r="F3612" s="14"/>
    </row>
    <row r="3613" spans="1:6" x14ac:dyDescent="0.25">
      <c r="A3613" s="86">
        <v>3612</v>
      </c>
      <c r="B3613" s="87">
        <v>39.372571331448853</v>
      </c>
      <c r="C3613" s="14">
        <v>5</v>
      </c>
      <c r="D3613" s="86">
        <v>0.55777149651871005</v>
      </c>
      <c r="E3613" s="86"/>
      <c r="F3613" s="14"/>
    </row>
    <row r="3614" spans="1:6" x14ac:dyDescent="0.25">
      <c r="A3614" s="86">
        <v>3613</v>
      </c>
      <c r="B3614" s="87">
        <v>40.410816376941511</v>
      </c>
      <c r="C3614" s="14">
        <v>2</v>
      </c>
      <c r="D3614" s="86">
        <v>0.74126112078012885</v>
      </c>
      <c r="E3614" s="86"/>
      <c r="F3614" s="14"/>
    </row>
    <row r="3615" spans="1:6" x14ac:dyDescent="0.25">
      <c r="A3615" s="86">
        <v>3614</v>
      </c>
      <c r="B3615" s="87">
        <v>48.951164894213434</v>
      </c>
      <c r="C3615" s="14">
        <v>2</v>
      </c>
      <c r="D3615" s="86">
        <v>0.86453087963192743</v>
      </c>
      <c r="E3615" s="86"/>
      <c r="F3615" s="14"/>
    </row>
    <row r="3616" spans="1:6" x14ac:dyDescent="0.25">
      <c r="A3616" s="86">
        <v>3615</v>
      </c>
      <c r="B3616" s="87">
        <v>48.639685696223751</v>
      </c>
      <c r="C3616" s="14">
        <v>5</v>
      </c>
      <c r="D3616" s="86">
        <v>0.34341016410836467</v>
      </c>
      <c r="E3616" s="86"/>
      <c r="F3616" s="14"/>
    </row>
    <row r="3617" spans="1:6" x14ac:dyDescent="0.25">
      <c r="A3617" s="86">
        <v>3616</v>
      </c>
      <c r="B3617" s="87">
        <v>51.983283805719111</v>
      </c>
      <c r="C3617" s="14">
        <v>2</v>
      </c>
      <c r="D3617" s="86">
        <v>0.39968757837375413</v>
      </c>
      <c r="E3617" s="86"/>
      <c r="F3617" s="14"/>
    </row>
    <row r="3618" spans="1:6" x14ac:dyDescent="0.25">
      <c r="A3618" s="86">
        <v>3617</v>
      </c>
      <c r="B3618" s="87">
        <v>40.179679667169694</v>
      </c>
      <c r="C3618" s="14">
        <v>4</v>
      </c>
      <c r="D3618" s="86">
        <v>0.12026475144467907</v>
      </c>
      <c r="E3618" s="86"/>
      <c r="F3618" s="14"/>
    </row>
    <row r="3619" spans="1:6" x14ac:dyDescent="0.25">
      <c r="A3619" s="86">
        <v>3618</v>
      </c>
      <c r="B3619" s="87">
        <v>45.658987341419561</v>
      </c>
      <c r="C3619" s="14">
        <v>5</v>
      </c>
      <c r="D3619" s="86">
        <v>0.56520076718305889</v>
      </c>
      <c r="E3619" s="86"/>
      <c r="F3619" s="14"/>
    </row>
    <row r="3620" spans="1:6" x14ac:dyDescent="0.25">
      <c r="A3620" s="86">
        <v>3619</v>
      </c>
      <c r="B3620" s="87">
        <v>39.198164353700122</v>
      </c>
      <c r="C3620" s="14">
        <v>2</v>
      </c>
      <c r="D3620" s="86">
        <v>6.8554441044969661E-2</v>
      </c>
      <c r="E3620" s="86"/>
      <c r="F3620" s="14"/>
    </row>
    <row r="3621" spans="1:6" x14ac:dyDescent="0.25">
      <c r="A3621" s="86">
        <v>3620</v>
      </c>
      <c r="B3621" s="87">
        <v>36.22408257285133</v>
      </c>
      <c r="C3621" s="14">
        <v>1</v>
      </c>
      <c r="D3621" s="86">
        <v>0.62698493266075062</v>
      </c>
      <c r="E3621" s="86"/>
      <c r="F3621" s="14"/>
    </row>
    <row r="3622" spans="1:6" x14ac:dyDescent="0.25">
      <c r="A3622" s="86">
        <v>3621</v>
      </c>
      <c r="B3622" s="87">
        <v>43.080137851909967</v>
      </c>
      <c r="C3622" s="14">
        <v>3</v>
      </c>
      <c r="D3622" s="86">
        <v>9.8378272164479585E-2</v>
      </c>
      <c r="E3622" s="86"/>
      <c r="F3622" s="14"/>
    </row>
    <row r="3623" spans="1:6" x14ac:dyDescent="0.25">
      <c r="A3623" s="86">
        <v>3622</v>
      </c>
      <c r="B3623" s="87">
        <v>47.955211352353217</v>
      </c>
      <c r="C3623" s="14">
        <v>4</v>
      </c>
      <c r="D3623" s="86">
        <v>0.4560574057746678</v>
      </c>
      <c r="E3623" s="86"/>
      <c r="F3623" s="14"/>
    </row>
    <row r="3624" spans="1:6" x14ac:dyDescent="0.25">
      <c r="A3624" s="86">
        <v>3623</v>
      </c>
      <c r="B3624" s="87">
        <v>45.718650193855865</v>
      </c>
      <c r="C3624" s="14">
        <v>1</v>
      </c>
      <c r="D3624" s="86">
        <v>0.26861705778451306</v>
      </c>
      <c r="E3624" s="86"/>
      <c r="F3624" s="14"/>
    </row>
    <row r="3625" spans="1:6" x14ac:dyDescent="0.25">
      <c r="A3625" s="86">
        <v>3624</v>
      </c>
      <c r="B3625" s="87">
        <v>36.863002600846812</v>
      </c>
      <c r="C3625" s="14">
        <v>4</v>
      </c>
      <c r="D3625" s="86">
        <v>0.45965183449074187</v>
      </c>
      <c r="E3625" s="86"/>
      <c r="F3625" s="14"/>
    </row>
    <row r="3626" spans="1:6" x14ac:dyDescent="0.25">
      <c r="A3626" s="86">
        <v>3625</v>
      </c>
      <c r="B3626" s="87">
        <v>43.934289801080013</v>
      </c>
      <c r="C3626" s="14">
        <v>4</v>
      </c>
      <c r="D3626" s="86">
        <v>0.9722391981469386</v>
      </c>
      <c r="E3626" s="86"/>
      <c r="F3626" s="14"/>
    </row>
    <row r="3627" spans="1:6" x14ac:dyDescent="0.25">
      <c r="A3627" s="86">
        <v>3626</v>
      </c>
      <c r="B3627" s="87">
        <v>44.101830093830358</v>
      </c>
      <c r="C3627" s="14">
        <v>4</v>
      </c>
      <c r="D3627" s="86">
        <v>0.82983130457501031</v>
      </c>
      <c r="E3627" s="86"/>
      <c r="F3627" s="14"/>
    </row>
    <row r="3628" spans="1:6" x14ac:dyDescent="0.25">
      <c r="A3628" s="86">
        <v>3627</v>
      </c>
      <c r="B3628" s="87">
        <v>43.607167294219835</v>
      </c>
      <c r="C3628" s="14">
        <v>5</v>
      </c>
      <c r="D3628" s="86">
        <v>0.17139723369581417</v>
      </c>
      <c r="E3628" s="86"/>
      <c r="F3628" s="14"/>
    </row>
    <row r="3629" spans="1:6" x14ac:dyDescent="0.25">
      <c r="A3629" s="86">
        <v>3628</v>
      </c>
      <c r="B3629" s="87">
        <v>43.112652287498349</v>
      </c>
      <c r="C3629" s="14">
        <v>4</v>
      </c>
      <c r="D3629" s="86">
        <v>0.66794136122114345</v>
      </c>
      <c r="E3629" s="86"/>
      <c r="F3629" s="14"/>
    </row>
    <row r="3630" spans="1:6" x14ac:dyDescent="0.25">
      <c r="A3630" s="86">
        <v>3629</v>
      </c>
      <c r="B3630" s="87">
        <v>35.200378073903266</v>
      </c>
      <c r="C3630" s="14">
        <v>2</v>
      </c>
      <c r="D3630" s="86">
        <v>0.69234235369265662</v>
      </c>
      <c r="E3630" s="86"/>
      <c r="F3630" s="14"/>
    </row>
    <row r="3631" spans="1:6" x14ac:dyDescent="0.25">
      <c r="A3631" s="86">
        <v>3630</v>
      </c>
      <c r="B3631" s="87">
        <v>45.885133199015399</v>
      </c>
      <c r="C3631" s="14">
        <v>4</v>
      </c>
      <c r="D3631" s="86">
        <v>0.15129143663681055</v>
      </c>
      <c r="E3631" s="86"/>
      <c r="F3631" s="14"/>
    </row>
    <row r="3632" spans="1:6" x14ac:dyDescent="0.25">
      <c r="A3632" s="86">
        <v>3631</v>
      </c>
      <c r="B3632" s="87">
        <v>42.896908775554039</v>
      </c>
      <c r="C3632" s="14">
        <v>3</v>
      </c>
      <c r="D3632" s="86">
        <v>0.8484715018885457</v>
      </c>
      <c r="E3632" s="86"/>
      <c r="F3632" s="14"/>
    </row>
    <row r="3633" spans="1:6" x14ac:dyDescent="0.25">
      <c r="A3633" s="86">
        <v>3632</v>
      </c>
      <c r="B3633" s="87">
        <v>41.524828015433741</v>
      </c>
      <c r="C3633" s="14">
        <v>2</v>
      </c>
      <c r="D3633" s="86">
        <v>0.7410613101839395</v>
      </c>
      <c r="E3633" s="86"/>
      <c r="F3633" s="14"/>
    </row>
    <row r="3634" spans="1:6" x14ac:dyDescent="0.25">
      <c r="A3634" s="86">
        <v>3633</v>
      </c>
      <c r="B3634" s="87">
        <v>38.4208192320948</v>
      </c>
      <c r="C3634" s="14">
        <v>4</v>
      </c>
      <c r="D3634" s="86">
        <v>0.48806703587972844</v>
      </c>
      <c r="E3634" s="86"/>
      <c r="F3634" s="14"/>
    </row>
    <row r="3635" spans="1:6" x14ac:dyDescent="0.25">
      <c r="A3635" s="86">
        <v>3634</v>
      </c>
      <c r="B3635" s="87">
        <v>43.452143922302639</v>
      </c>
      <c r="C3635" s="14">
        <v>5</v>
      </c>
      <c r="D3635" s="86">
        <v>0.87036303485351063</v>
      </c>
      <c r="E3635" s="86"/>
      <c r="F3635" s="14"/>
    </row>
    <row r="3636" spans="1:6" x14ac:dyDescent="0.25">
      <c r="A3636" s="86">
        <v>3635</v>
      </c>
      <c r="B3636" s="87">
        <v>39.644459088201984</v>
      </c>
      <c r="C3636" s="14">
        <v>2</v>
      </c>
      <c r="D3636" s="86">
        <v>0.97031912376316398</v>
      </c>
      <c r="E3636" s="86"/>
      <c r="F3636" s="14"/>
    </row>
    <row r="3637" spans="1:6" x14ac:dyDescent="0.25">
      <c r="A3637" s="86">
        <v>3636</v>
      </c>
      <c r="B3637" s="87">
        <v>38.969972133025294</v>
      </c>
      <c r="C3637" s="14">
        <v>4</v>
      </c>
      <c r="D3637" s="86">
        <v>0.60694518731937652</v>
      </c>
      <c r="E3637" s="86"/>
      <c r="F3637" s="14"/>
    </row>
    <row r="3638" spans="1:6" x14ac:dyDescent="0.25">
      <c r="A3638" s="86">
        <v>3637</v>
      </c>
      <c r="B3638" s="87">
        <v>37.960330695903394</v>
      </c>
      <c r="C3638" s="14">
        <v>5</v>
      </c>
      <c r="D3638" s="86">
        <v>0.31539275549023982</v>
      </c>
      <c r="E3638" s="86"/>
      <c r="F3638" s="14"/>
    </row>
    <row r="3639" spans="1:6" x14ac:dyDescent="0.25">
      <c r="A3639" s="86">
        <v>3638</v>
      </c>
      <c r="B3639" s="87">
        <v>50.653193279111292</v>
      </c>
      <c r="C3639" s="14">
        <v>2</v>
      </c>
      <c r="D3639" s="86">
        <v>0.42424277864267423</v>
      </c>
      <c r="E3639" s="86"/>
      <c r="F3639" s="14"/>
    </row>
    <row r="3640" spans="1:6" x14ac:dyDescent="0.25">
      <c r="A3640" s="86">
        <v>3639</v>
      </c>
      <c r="B3640" s="87">
        <v>51.85011104401201</v>
      </c>
      <c r="C3640" s="14">
        <v>2</v>
      </c>
      <c r="D3640" s="86">
        <v>0.34975294862288409</v>
      </c>
      <c r="E3640" s="86"/>
      <c r="F3640" s="14"/>
    </row>
    <row r="3641" spans="1:6" x14ac:dyDescent="0.25">
      <c r="A3641" s="86">
        <v>3640</v>
      </c>
      <c r="B3641" s="87">
        <v>44.438456820324063</v>
      </c>
      <c r="C3641" s="14">
        <v>4</v>
      </c>
      <c r="D3641" s="86">
        <v>0.76560629488317156</v>
      </c>
      <c r="E3641" s="86"/>
      <c r="F3641" s="14"/>
    </row>
    <row r="3642" spans="1:6" x14ac:dyDescent="0.25">
      <c r="A3642" s="86">
        <v>3641</v>
      </c>
      <c r="B3642" s="87">
        <v>43.21636878955178</v>
      </c>
      <c r="C3642" s="14">
        <v>4</v>
      </c>
      <c r="D3642" s="86">
        <v>0.97475396323403263</v>
      </c>
      <c r="E3642" s="86"/>
      <c r="F3642" s="14"/>
    </row>
    <row r="3643" spans="1:6" x14ac:dyDescent="0.25">
      <c r="A3643" s="86">
        <v>3642</v>
      </c>
      <c r="B3643" s="87">
        <v>44.589023668202572</v>
      </c>
      <c r="C3643" s="14">
        <v>4</v>
      </c>
      <c r="D3643" s="86">
        <v>0.93769392191690437</v>
      </c>
      <c r="E3643" s="86"/>
      <c r="F3643" s="14"/>
    </row>
    <row r="3644" spans="1:6" x14ac:dyDescent="0.25">
      <c r="A3644" s="86">
        <v>3643</v>
      </c>
      <c r="B3644" s="87">
        <v>37.935478753177449</v>
      </c>
      <c r="C3644" s="14">
        <v>2</v>
      </c>
      <c r="D3644" s="86">
        <v>0.39046171560095522</v>
      </c>
      <c r="E3644" s="86"/>
      <c r="F3644" s="14"/>
    </row>
    <row r="3645" spans="1:6" x14ac:dyDescent="0.25">
      <c r="A3645" s="86">
        <v>3644</v>
      </c>
      <c r="B3645" s="87">
        <v>43.849570369609864</v>
      </c>
      <c r="C3645" s="14">
        <v>5</v>
      </c>
      <c r="D3645" s="86">
        <v>0.54023019253682381</v>
      </c>
      <c r="E3645" s="86"/>
      <c r="F3645" s="14"/>
    </row>
    <row r="3646" spans="1:6" x14ac:dyDescent="0.25">
      <c r="A3646" s="86">
        <v>3645</v>
      </c>
      <c r="B3646" s="87">
        <v>37.282302395731676</v>
      </c>
      <c r="C3646" s="14">
        <v>2</v>
      </c>
      <c r="D3646" s="86">
        <v>9.5457989628042639E-2</v>
      </c>
      <c r="E3646" s="86"/>
      <c r="F3646" s="14"/>
    </row>
    <row r="3647" spans="1:6" x14ac:dyDescent="0.25">
      <c r="A3647" s="86">
        <v>3646</v>
      </c>
      <c r="B3647" s="87">
        <v>37.626853094814578</v>
      </c>
      <c r="C3647" s="14">
        <v>4</v>
      </c>
      <c r="D3647" s="86">
        <v>0.66572755314943166</v>
      </c>
      <c r="E3647" s="86"/>
      <c r="F3647" s="14"/>
    </row>
    <row r="3648" spans="1:6" x14ac:dyDescent="0.25">
      <c r="A3648" s="86">
        <v>3647</v>
      </c>
      <c r="B3648" s="87">
        <v>40.295969933475135</v>
      </c>
      <c r="C3648" s="14">
        <v>4</v>
      </c>
      <c r="D3648" s="86">
        <v>0.81989255922614668</v>
      </c>
      <c r="E3648" s="86"/>
      <c r="F3648" s="14"/>
    </row>
    <row r="3649" spans="1:6" x14ac:dyDescent="0.25">
      <c r="A3649" s="86">
        <v>3648</v>
      </c>
      <c r="B3649" s="87">
        <v>50.14260295353597</v>
      </c>
      <c r="C3649" s="14">
        <v>2</v>
      </c>
      <c r="D3649" s="86">
        <v>0.3726946160292115</v>
      </c>
      <c r="E3649" s="86"/>
      <c r="F3649" s="14"/>
    </row>
    <row r="3650" spans="1:6" x14ac:dyDescent="0.25">
      <c r="A3650" s="86">
        <v>3649</v>
      </c>
      <c r="B3650" s="87">
        <v>39.271810687176185</v>
      </c>
      <c r="C3650" s="14">
        <v>4</v>
      </c>
      <c r="D3650" s="86">
        <v>0.76615769414999668</v>
      </c>
      <c r="E3650" s="86"/>
      <c r="F3650" s="14"/>
    </row>
    <row r="3651" spans="1:6" x14ac:dyDescent="0.25">
      <c r="A3651" s="86">
        <v>3650</v>
      </c>
      <c r="B3651" s="87">
        <v>48.618062459689099</v>
      </c>
      <c r="C3651" s="14">
        <v>2</v>
      </c>
      <c r="D3651" s="86">
        <v>3.2316076473416611E-2</v>
      </c>
      <c r="E3651" s="86"/>
      <c r="F3651" s="14"/>
    </row>
    <row r="3652" spans="1:6" x14ac:dyDescent="0.25">
      <c r="A3652" s="86">
        <v>3651</v>
      </c>
      <c r="B3652" s="87">
        <v>41.588236849172972</v>
      </c>
      <c r="C3652" s="14">
        <v>4</v>
      </c>
      <c r="D3652" s="86">
        <v>0.76573804935084555</v>
      </c>
      <c r="E3652" s="86"/>
      <c r="F3652" s="14"/>
    </row>
    <row r="3653" spans="1:6" x14ac:dyDescent="0.25">
      <c r="A3653" s="86">
        <v>3652</v>
      </c>
      <c r="B3653" s="87">
        <v>45.231683993159095</v>
      </c>
      <c r="C3653" s="14">
        <v>1</v>
      </c>
      <c r="D3653" s="86">
        <v>3.0742175397791116E-2</v>
      </c>
      <c r="E3653" s="86"/>
      <c r="F3653" s="14"/>
    </row>
    <row r="3654" spans="1:6" x14ac:dyDescent="0.25">
      <c r="A3654" s="86">
        <v>3653</v>
      </c>
      <c r="B3654" s="87">
        <v>40.033160070714075</v>
      </c>
      <c r="C3654" s="14">
        <v>4</v>
      </c>
      <c r="D3654" s="86">
        <v>0.88054781315051123</v>
      </c>
      <c r="E3654" s="86"/>
      <c r="F3654" s="14"/>
    </row>
    <row r="3655" spans="1:6" x14ac:dyDescent="0.25">
      <c r="A3655" s="86">
        <v>3654</v>
      </c>
      <c r="B3655" s="87">
        <v>45.068890125883627</v>
      </c>
      <c r="C3655" s="14">
        <v>4</v>
      </c>
      <c r="D3655" s="86">
        <v>0.76440724040967423</v>
      </c>
      <c r="E3655" s="86"/>
      <c r="F3655" s="14"/>
    </row>
    <row r="3656" spans="1:6" x14ac:dyDescent="0.25">
      <c r="A3656" s="86">
        <v>3655</v>
      </c>
      <c r="B3656" s="87">
        <v>46.199534148734529</v>
      </c>
      <c r="C3656" s="14">
        <v>4</v>
      </c>
      <c r="D3656" s="86">
        <v>0.47832808600094312</v>
      </c>
      <c r="E3656" s="86"/>
      <c r="F3656" s="14"/>
    </row>
    <row r="3657" spans="1:6" x14ac:dyDescent="0.25">
      <c r="A3657" s="86">
        <v>3656</v>
      </c>
      <c r="B3657" s="87">
        <v>48.243452960712602</v>
      </c>
      <c r="C3657" s="14">
        <v>4</v>
      </c>
      <c r="D3657" s="86">
        <v>0.78027043847515654</v>
      </c>
      <c r="E3657" s="86"/>
      <c r="F3657" s="14"/>
    </row>
    <row r="3658" spans="1:6" x14ac:dyDescent="0.25">
      <c r="A3658" s="86">
        <v>3657</v>
      </c>
      <c r="B3658" s="87">
        <v>48.013043846702203</v>
      </c>
      <c r="C3658" s="14">
        <v>4</v>
      </c>
      <c r="D3658" s="86">
        <v>1.5939710049313827E-2</v>
      </c>
      <c r="E3658" s="86"/>
      <c r="F3658" s="14"/>
    </row>
    <row r="3659" spans="1:6" x14ac:dyDescent="0.25">
      <c r="A3659" s="86">
        <v>3658</v>
      </c>
      <c r="B3659" s="87">
        <v>39.571762039820896</v>
      </c>
      <c r="C3659" s="14">
        <v>2</v>
      </c>
      <c r="D3659" s="86">
        <v>0.79360983478480962</v>
      </c>
      <c r="E3659" s="86"/>
      <c r="F3659" s="14"/>
    </row>
    <row r="3660" spans="1:6" x14ac:dyDescent="0.25">
      <c r="A3660" s="86">
        <v>3659</v>
      </c>
      <c r="B3660" s="87">
        <v>40.700928133781417</v>
      </c>
      <c r="C3660" s="14">
        <v>4</v>
      </c>
      <c r="D3660" s="86">
        <v>0.28416695576993534</v>
      </c>
      <c r="E3660" s="86"/>
      <c r="F3660" s="14"/>
    </row>
    <row r="3661" spans="1:6" x14ac:dyDescent="0.25">
      <c r="A3661" s="86">
        <v>3660</v>
      </c>
      <c r="B3661" s="87">
        <v>43.085105966718402</v>
      </c>
      <c r="C3661" s="14">
        <v>2</v>
      </c>
      <c r="D3661" s="86">
        <v>0.55569524335736764</v>
      </c>
      <c r="E3661" s="86"/>
      <c r="F3661" s="14"/>
    </row>
    <row r="3662" spans="1:6" x14ac:dyDescent="0.25">
      <c r="A3662" s="86">
        <v>3661</v>
      </c>
      <c r="B3662" s="87">
        <v>41.310067894635722</v>
      </c>
      <c r="C3662" s="14">
        <v>4</v>
      </c>
      <c r="D3662" s="86">
        <v>0.82907100864823968</v>
      </c>
      <c r="E3662" s="86"/>
      <c r="F3662" s="14"/>
    </row>
    <row r="3663" spans="1:6" x14ac:dyDescent="0.25">
      <c r="A3663" s="86">
        <v>3662</v>
      </c>
      <c r="B3663" s="87">
        <v>36.330800407420611</v>
      </c>
      <c r="C3663" s="14">
        <v>1</v>
      </c>
      <c r="D3663" s="86">
        <v>0.7079601432494147</v>
      </c>
      <c r="E3663" s="86"/>
      <c r="F3663" s="14"/>
    </row>
    <row r="3664" spans="1:6" x14ac:dyDescent="0.25">
      <c r="A3664" s="86">
        <v>3663</v>
      </c>
      <c r="B3664" s="87">
        <v>48.611593678622739</v>
      </c>
      <c r="C3664" s="14">
        <v>2</v>
      </c>
      <c r="D3664" s="86">
        <v>0.51020964216158027</v>
      </c>
      <c r="E3664" s="86"/>
      <c r="F3664" s="14"/>
    </row>
    <row r="3665" spans="1:6" x14ac:dyDescent="0.25">
      <c r="A3665" s="86">
        <v>3664</v>
      </c>
      <c r="B3665" s="87">
        <v>44.138698735303478</v>
      </c>
      <c r="C3665" s="14">
        <v>2</v>
      </c>
      <c r="D3665" s="86">
        <v>0.51119458725244094</v>
      </c>
      <c r="E3665" s="86"/>
      <c r="F3665" s="14"/>
    </row>
    <row r="3666" spans="1:6" x14ac:dyDescent="0.25">
      <c r="A3666" s="86">
        <v>3665</v>
      </c>
      <c r="B3666" s="87">
        <v>35.341849974764045</v>
      </c>
      <c r="C3666" s="14">
        <v>2</v>
      </c>
      <c r="D3666" s="86">
        <v>7.5181291391258953E-2</v>
      </c>
      <c r="E3666" s="86"/>
      <c r="F3666" s="14"/>
    </row>
    <row r="3667" spans="1:6" x14ac:dyDescent="0.25">
      <c r="A3667" s="86">
        <v>3666</v>
      </c>
      <c r="B3667" s="87">
        <v>47.907928996544797</v>
      </c>
      <c r="C3667" s="14">
        <v>2</v>
      </c>
      <c r="D3667" s="86">
        <v>0.32738297762101864</v>
      </c>
      <c r="E3667" s="86"/>
      <c r="F3667" s="14"/>
    </row>
    <row r="3668" spans="1:6" x14ac:dyDescent="0.25">
      <c r="A3668" s="86">
        <v>3667</v>
      </c>
      <c r="B3668" s="87">
        <v>37.609788700472564</v>
      </c>
      <c r="C3668" s="14">
        <v>3</v>
      </c>
      <c r="D3668" s="86">
        <v>0.51483742597788429</v>
      </c>
      <c r="E3668" s="86"/>
      <c r="F3668" s="14"/>
    </row>
    <row r="3669" spans="1:6" x14ac:dyDescent="0.25">
      <c r="A3669" s="86">
        <v>3668</v>
      </c>
      <c r="B3669" s="87">
        <v>39.540242364062578</v>
      </c>
      <c r="C3669" s="14">
        <v>4</v>
      </c>
      <c r="D3669" s="86">
        <v>0.24632910369474381</v>
      </c>
      <c r="E3669" s="86"/>
      <c r="F3669" s="14"/>
    </row>
    <row r="3670" spans="1:6" x14ac:dyDescent="0.25">
      <c r="A3670" s="86">
        <v>3669</v>
      </c>
      <c r="B3670" s="87">
        <v>45.785856167974998</v>
      </c>
      <c r="C3670" s="14">
        <v>2</v>
      </c>
      <c r="D3670" s="86">
        <v>2.0755723824048777E-2</v>
      </c>
      <c r="E3670" s="86"/>
      <c r="F3670" s="14"/>
    </row>
    <row r="3671" spans="1:6" x14ac:dyDescent="0.25">
      <c r="A3671" s="86">
        <v>3670</v>
      </c>
      <c r="B3671" s="87">
        <v>29.505827109795064</v>
      </c>
      <c r="C3671" s="14">
        <v>5</v>
      </c>
      <c r="D3671" s="86">
        <v>0.48567950952945882</v>
      </c>
      <c r="E3671" s="86"/>
      <c r="F3671" s="14"/>
    </row>
    <row r="3672" spans="1:6" x14ac:dyDescent="0.25">
      <c r="A3672" s="86">
        <v>3671</v>
      </c>
      <c r="B3672" s="87">
        <v>42.530183458773536</v>
      </c>
      <c r="C3672" s="14">
        <v>1</v>
      </c>
      <c r="D3672" s="86">
        <v>0.68690918338155027</v>
      </c>
      <c r="E3672" s="86"/>
      <c r="F3672" s="14"/>
    </row>
    <row r="3673" spans="1:6" x14ac:dyDescent="0.25">
      <c r="A3673" s="86">
        <v>3672</v>
      </c>
      <c r="B3673" s="87">
        <v>40.905251802876592</v>
      </c>
      <c r="C3673" s="14">
        <v>1</v>
      </c>
      <c r="D3673" s="86">
        <v>0.77776092604533853</v>
      </c>
      <c r="E3673" s="86"/>
      <c r="F3673" s="14"/>
    </row>
    <row r="3674" spans="1:6" x14ac:dyDescent="0.25">
      <c r="A3674" s="86">
        <v>3673</v>
      </c>
      <c r="B3674" s="87">
        <v>45.305876023456221</v>
      </c>
      <c r="C3674" s="14">
        <v>4</v>
      </c>
      <c r="D3674" s="86">
        <v>0.82012872244812896</v>
      </c>
      <c r="E3674" s="86"/>
      <c r="F3674" s="14"/>
    </row>
    <row r="3675" spans="1:6" x14ac:dyDescent="0.25">
      <c r="A3675" s="86">
        <v>3674</v>
      </c>
      <c r="B3675" s="87">
        <v>36.46254071497242</v>
      </c>
      <c r="C3675" s="14">
        <v>4</v>
      </c>
      <c r="D3675" s="86">
        <v>0.36474346919933109</v>
      </c>
      <c r="E3675" s="86"/>
      <c r="F3675" s="14"/>
    </row>
    <row r="3676" spans="1:6" x14ac:dyDescent="0.25">
      <c r="A3676" s="86">
        <v>3675</v>
      </c>
      <c r="B3676" s="87">
        <v>33.403011906892061</v>
      </c>
      <c r="C3676" s="14">
        <v>1</v>
      </c>
      <c r="D3676" s="86">
        <v>0.34863204598234965</v>
      </c>
      <c r="E3676" s="86"/>
      <c r="F3676" s="14"/>
    </row>
    <row r="3677" spans="1:6" x14ac:dyDescent="0.25">
      <c r="A3677" s="86">
        <v>3676</v>
      </c>
      <c r="B3677" s="87">
        <v>45.28674821300956</v>
      </c>
      <c r="C3677" s="14">
        <v>1</v>
      </c>
      <c r="D3677" s="86">
        <v>0.87991526541667175</v>
      </c>
      <c r="E3677" s="86"/>
      <c r="F3677" s="14"/>
    </row>
    <row r="3678" spans="1:6" x14ac:dyDescent="0.25">
      <c r="A3678" s="86">
        <v>3677</v>
      </c>
      <c r="B3678" s="87">
        <v>49.176185252115829</v>
      </c>
      <c r="C3678" s="14">
        <v>2</v>
      </c>
      <c r="D3678" s="86">
        <v>0.55687452539673354</v>
      </c>
      <c r="E3678" s="86"/>
      <c r="F3678" s="14"/>
    </row>
    <row r="3679" spans="1:6" x14ac:dyDescent="0.25">
      <c r="A3679" s="86">
        <v>3678</v>
      </c>
      <c r="B3679" s="87">
        <v>46.753496002900647</v>
      </c>
      <c r="C3679" s="14">
        <v>2</v>
      </c>
      <c r="D3679" s="86">
        <v>2.8590120838651201E-2</v>
      </c>
      <c r="E3679" s="86"/>
      <c r="F3679" s="14"/>
    </row>
    <row r="3680" spans="1:6" x14ac:dyDescent="0.25">
      <c r="A3680" s="86">
        <v>3679</v>
      </c>
      <c r="B3680" s="87">
        <v>29.922921380028129</v>
      </c>
      <c r="C3680" s="14">
        <v>2</v>
      </c>
      <c r="D3680" s="86">
        <v>0.15223269429857034</v>
      </c>
      <c r="E3680" s="86"/>
      <c r="F3680" s="14"/>
    </row>
    <row r="3681" spans="1:6" x14ac:dyDescent="0.25">
      <c r="A3681" s="86">
        <v>3680</v>
      </c>
      <c r="B3681" s="87">
        <v>47.209414328215644</v>
      </c>
      <c r="C3681" s="14">
        <v>2</v>
      </c>
      <c r="D3681" s="86">
        <v>0.20673067406787471</v>
      </c>
      <c r="E3681" s="86"/>
      <c r="F3681" s="14"/>
    </row>
    <row r="3682" spans="1:6" x14ac:dyDescent="0.25">
      <c r="A3682" s="86">
        <v>3681</v>
      </c>
      <c r="B3682" s="87">
        <v>36.366941453132313</v>
      </c>
      <c r="C3682" s="14">
        <v>2</v>
      </c>
      <c r="D3682" s="86">
        <v>0.11456294633762054</v>
      </c>
      <c r="E3682" s="86"/>
      <c r="F3682" s="14"/>
    </row>
    <row r="3683" spans="1:6" x14ac:dyDescent="0.25">
      <c r="A3683" s="86">
        <v>3682</v>
      </c>
      <c r="B3683" s="87">
        <v>39.569823679237743</v>
      </c>
      <c r="C3683" s="14">
        <v>2</v>
      </c>
      <c r="D3683" s="86">
        <v>0.80027561390667834</v>
      </c>
      <c r="E3683" s="86"/>
      <c r="F3683" s="14"/>
    </row>
    <row r="3684" spans="1:6" x14ac:dyDescent="0.25">
      <c r="A3684" s="86">
        <v>3683</v>
      </c>
      <c r="B3684" s="87">
        <v>54.336032912367955</v>
      </c>
      <c r="C3684" s="14">
        <v>2</v>
      </c>
      <c r="D3684" s="86">
        <v>0.82325303971463615</v>
      </c>
      <c r="E3684" s="86"/>
      <c r="F3684" s="14"/>
    </row>
    <row r="3685" spans="1:6" x14ac:dyDescent="0.25">
      <c r="A3685" s="86">
        <v>3684</v>
      </c>
      <c r="B3685" s="87">
        <v>46.551701865944779</v>
      </c>
      <c r="C3685" s="14">
        <v>5</v>
      </c>
      <c r="D3685" s="86">
        <v>0.70286101135169154</v>
      </c>
      <c r="E3685" s="86"/>
      <c r="F3685" s="14"/>
    </row>
    <row r="3686" spans="1:6" x14ac:dyDescent="0.25">
      <c r="A3686" s="86">
        <v>3685</v>
      </c>
      <c r="B3686" s="87">
        <v>36.962512689904543</v>
      </c>
      <c r="C3686" s="14">
        <v>5</v>
      </c>
      <c r="D3686" s="86">
        <v>0.54575493223086302</v>
      </c>
      <c r="E3686" s="86"/>
      <c r="F3686" s="14"/>
    </row>
    <row r="3687" spans="1:6" x14ac:dyDescent="0.25">
      <c r="A3687" s="86">
        <v>3686</v>
      </c>
      <c r="B3687" s="87">
        <v>43.504792296851519</v>
      </c>
      <c r="C3687" s="14">
        <v>4</v>
      </c>
      <c r="D3687" s="86">
        <v>0.8608283922638118</v>
      </c>
      <c r="E3687" s="86"/>
      <c r="F3687" s="14"/>
    </row>
    <row r="3688" spans="1:6" x14ac:dyDescent="0.25">
      <c r="A3688" s="86">
        <v>3687</v>
      </c>
      <c r="B3688" s="87">
        <v>47.512116902333219</v>
      </c>
      <c r="C3688" s="14">
        <v>4</v>
      </c>
      <c r="D3688" s="86">
        <v>0.48158601378712795</v>
      </c>
      <c r="E3688" s="86"/>
      <c r="F3688" s="14"/>
    </row>
    <row r="3689" spans="1:6" x14ac:dyDescent="0.25">
      <c r="A3689" s="86">
        <v>3688</v>
      </c>
      <c r="B3689" s="87">
        <v>47.160006028541829</v>
      </c>
      <c r="C3689" s="14">
        <v>2</v>
      </c>
      <c r="D3689" s="86">
        <v>0.31756737822241554</v>
      </c>
      <c r="E3689" s="86"/>
      <c r="F3689" s="14"/>
    </row>
    <row r="3690" spans="1:6" x14ac:dyDescent="0.25">
      <c r="A3690" s="86">
        <v>3689</v>
      </c>
      <c r="B3690" s="87">
        <v>42.895379687586683</v>
      </c>
      <c r="C3690" s="14">
        <v>1</v>
      </c>
      <c r="D3690" s="86">
        <v>0.89323689152645058</v>
      </c>
      <c r="E3690" s="86"/>
      <c r="F3690" s="14"/>
    </row>
    <row r="3691" spans="1:6" x14ac:dyDescent="0.25">
      <c r="A3691" s="86">
        <v>3690</v>
      </c>
      <c r="B3691" s="87">
        <v>47.230162176099839</v>
      </c>
      <c r="C3691" s="14">
        <v>2</v>
      </c>
      <c r="D3691" s="86">
        <v>0.73567436399581088</v>
      </c>
      <c r="E3691" s="86"/>
      <c r="F3691" s="14"/>
    </row>
    <row r="3692" spans="1:6" x14ac:dyDescent="0.25">
      <c r="A3692" s="86">
        <v>3691</v>
      </c>
      <c r="B3692" s="87">
        <v>40.201626911191852</v>
      </c>
      <c r="C3692" s="14">
        <v>5</v>
      </c>
      <c r="D3692" s="86">
        <v>0.23738166634569113</v>
      </c>
      <c r="E3692" s="86"/>
      <c r="F3692" s="14"/>
    </row>
    <row r="3693" spans="1:6" x14ac:dyDescent="0.25">
      <c r="A3693" s="86">
        <v>3692</v>
      </c>
      <c r="B3693" s="87">
        <v>40.409497609623941</v>
      </c>
      <c r="C3693" s="14">
        <v>5</v>
      </c>
      <c r="D3693" s="86">
        <v>0.40058847676002762</v>
      </c>
      <c r="E3693" s="86"/>
      <c r="F3693" s="14"/>
    </row>
    <row r="3694" spans="1:6" x14ac:dyDescent="0.25">
      <c r="A3694" s="86">
        <v>3693</v>
      </c>
      <c r="B3694" s="87">
        <v>38.341704561724328</v>
      </c>
      <c r="C3694" s="14">
        <v>2</v>
      </c>
      <c r="D3694" s="86">
        <v>0.46431143640214356</v>
      </c>
      <c r="E3694" s="86"/>
      <c r="F3694" s="14"/>
    </row>
    <row r="3695" spans="1:6" x14ac:dyDescent="0.25">
      <c r="A3695" s="86">
        <v>3694</v>
      </c>
      <c r="B3695" s="87">
        <v>40.190883505027159</v>
      </c>
      <c r="C3695" s="14">
        <v>4</v>
      </c>
      <c r="D3695" s="86">
        <v>0.75214283356538281</v>
      </c>
      <c r="E3695" s="86"/>
      <c r="F3695" s="14"/>
    </row>
    <row r="3696" spans="1:6" x14ac:dyDescent="0.25">
      <c r="A3696" s="86">
        <v>3695</v>
      </c>
      <c r="B3696" s="87">
        <v>47.409048415254802</v>
      </c>
      <c r="C3696" s="14">
        <v>2</v>
      </c>
      <c r="D3696" s="86">
        <v>0.78241127989174575</v>
      </c>
      <c r="E3696" s="86"/>
      <c r="F3696" s="14"/>
    </row>
    <row r="3697" spans="1:6" x14ac:dyDescent="0.25">
      <c r="A3697" s="86">
        <v>3696</v>
      </c>
      <c r="B3697" s="87">
        <v>29.152761266566813</v>
      </c>
      <c r="C3697" s="14">
        <v>4</v>
      </c>
      <c r="D3697" s="86">
        <v>0.61590372492837631</v>
      </c>
      <c r="E3697" s="86"/>
      <c r="F3697" s="14"/>
    </row>
    <row r="3698" spans="1:6" x14ac:dyDescent="0.25">
      <c r="A3698" s="86">
        <v>3697</v>
      </c>
      <c r="B3698" s="87">
        <v>44.587414999448811</v>
      </c>
      <c r="C3698" s="14">
        <v>2</v>
      </c>
      <c r="D3698" s="86">
        <v>0.51596710774287335</v>
      </c>
      <c r="E3698" s="86"/>
      <c r="F3698" s="14"/>
    </row>
    <row r="3699" spans="1:6" x14ac:dyDescent="0.25">
      <c r="A3699" s="86">
        <v>3698</v>
      </c>
      <c r="B3699" s="87">
        <v>38.877180936076911</v>
      </c>
      <c r="C3699" s="14">
        <v>4</v>
      </c>
      <c r="D3699" s="86">
        <v>0.66840280705180533</v>
      </c>
      <c r="E3699" s="86"/>
      <c r="F3699" s="14"/>
    </row>
    <row r="3700" spans="1:6" x14ac:dyDescent="0.25">
      <c r="A3700" s="86">
        <v>3699</v>
      </c>
      <c r="B3700" s="87">
        <v>43.224019913730444</v>
      </c>
      <c r="C3700" s="14">
        <v>5</v>
      </c>
      <c r="D3700" s="86">
        <v>0.79437406260491039</v>
      </c>
      <c r="E3700" s="86"/>
      <c r="F3700" s="14"/>
    </row>
    <row r="3701" spans="1:6" x14ac:dyDescent="0.25">
      <c r="A3701" s="86">
        <v>3700</v>
      </c>
      <c r="B3701" s="87">
        <v>46.320644736959366</v>
      </c>
      <c r="C3701" s="14">
        <v>5</v>
      </c>
      <c r="D3701" s="86">
        <v>0.46562193611775526</v>
      </c>
      <c r="E3701" s="86"/>
      <c r="F3701" s="14"/>
    </row>
    <row r="3702" spans="1:6" x14ac:dyDescent="0.25">
      <c r="A3702" s="86">
        <v>3701</v>
      </c>
      <c r="B3702" s="87">
        <v>35.525727066094987</v>
      </c>
      <c r="C3702" s="14">
        <v>4</v>
      </c>
      <c r="D3702" s="86">
        <v>0.11590462151688319</v>
      </c>
      <c r="E3702" s="86"/>
      <c r="F3702" s="14"/>
    </row>
    <row r="3703" spans="1:6" x14ac:dyDescent="0.25">
      <c r="A3703" s="86">
        <v>3702</v>
      </c>
      <c r="B3703" s="87">
        <v>34.767799656372517</v>
      </c>
      <c r="C3703" s="14">
        <v>4</v>
      </c>
      <c r="D3703" s="86">
        <v>0.742287605026556</v>
      </c>
      <c r="E3703" s="86"/>
      <c r="F3703" s="14"/>
    </row>
    <row r="3704" spans="1:6" x14ac:dyDescent="0.25">
      <c r="A3704" s="86">
        <v>3703</v>
      </c>
      <c r="B3704" s="87">
        <v>48.62022250960581</v>
      </c>
      <c r="C3704" s="14">
        <v>5</v>
      </c>
      <c r="D3704" s="86">
        <v>0.74291052109970868</v>
      </c>
      <c r="E3704" s="86"/>
      <c r="F3704" s="14"/>
    </row>
    <row r="3705" spans="1:6" x14ac:dyDescent="0.25">
      <c r="A3705" s="86">
        <v>3704</v>
      </c>
      <c r="B3705" s="87">
        <v>47.337277914601145</v>
      </c>
      <c r="C3705" s="14">
        <v>4</v>
      </c>
      <c r="D3705" s="86">
        <v>9.6886517079878276E-3</v>
      </c>
      <c r="E3705" s="86"/>
      <c r="F3705" s="14"/>
    </row>
    <row r="3706" spans="1:6" x14ac:dyDescent="0.25">
      <c r="A3706" s="86">
        <v>3705</v>
      </c>
      <c r="B3706" s="87">
        <v>39.039457528240746</v>
      </c>
      <c r="C3706" s="14">
        <v>3</v>
      </c>
      <c r="D3706" s="86">
        <v>0.55470506925570318</v>
      </c>
      <c r="E3706" s="86"/>
      <c r="F3706" s="14"/>
    </row>
    <row r="3707" spans="1:6" x14ac:dyDescent="0.25">
      <c r="A3707" s="86">
        <v>3706</v>
      </c>
      <c r="B3707" s="87">
        <v>44.320051978837</v>
      </c>
      <c r="C3707" s="14">
        <v>2</v>
      </c>
      <c r="D3707" s="86">
        <v>0.71173383773314292</v>
      </c>
      <c r="E3707" s="86"/>
      <c r="F3707" s="14"/>
    </row>
    <row r="3708" spans="1:6" x14ac:dyDescent="0.25">
      <c r="A3708" s="86">
        <v>3707</v>
      </c>
      <c r="B3708" s="87">
        <v>40.207885371608427</v>
      </c>
      <c r="C3708" s="14">
        <v>4</v>
      </c>
      <c r="D3708" s="86">
        <v>0.15353008353061925</v>
      </c>
      <c r="E3708" s="86"/>
      <c r="F3708" s="14"/>
    </row>
    <row r="3709" spans="1:6" x14ac:dyDescent="0.25">
      <c r="A3709" s="86">
        <v>3708</v>
      </c>
      <c r="B3709" s="87">
        <v>36.937058206938673</v>
      </c>
      <c r="C3709" s="14">
        <v>5</v>
      </c>
      <c r="D3709" s="86">
        <v>0.59776620751920229</v>
      </c>
      <c r="E3709" s="86"/>
      <c r="F3709" s="14"/>
    </row>
    <row r="3710" spans="1:6" x14ac:dyDescent="0.25">
      <c r="A3710" s="86">
        <v>3709</v>
      </c>
      <c r="B3710" s="87">
        <v>38.644873251876561</v>
      </c>
      <c r="C3710" s="14">
        <v>2</v>
      </c>
      <c r="D3710" s="86">
        <v>0.8878760960028611</v>
      </c>
      <c r="E3710" s="86"/>
      <c r="F3710" s="14"/>
    </row>
    <row r="3711" spans="1:6" x14ac:dyDescent="0.25">
      <c r="A3711" s="86">
        <v>3710</v>
      </c>
      <c r="B3711" s="87">
        <v>39.594465301313903</v>
      </c>
      <c r="C3711" s="14">
        <v>4</v>
      </c>
      <c r="D3711" s="86">
        <v>0.14073256246890076</v>
      </c>
      <c r="E3711" s="86"/>
      <c r="F3711" s="14"/>
    </row>
    <row r="3712" spans="1:6" x14ac:dyDescent="0.25">
      <c r="A3712" s="86">
        <v>3711</v>
      </c>
      <c r="B3712" s="87">
        <v>48.112030976306414</v>
      </c>
      <c r="C3712" s="14">
        <v>4</v>
      </c>
      <c r="D3712" s="86">
        <v>0.41731613274649493</v>
      </c>
      <c r="E3712" s="86"/>
      <c r="F3712" s="14"/>
    </row>
    <row r="3713" spans="1:6" x14ac:dyDescent="0.25">
      <c r="A3713" s="86">
        <v>3712</v>
      </c>
      <c r="B3713" s="87">
        <v>40.462282408378087</v>
      </c>
      <c r="C3713" s="14">
        <v>2</v>
      </c>
      <c r="D3713" s="86">
        <v>0.5361228146701511</v>
      </c>
      <c r="E3713" s="86"/>
      <c r="F3713" s="14"/>
    </row>
    <row r="3714" spans="1:6" x14ac:dyDescent="0.25">
      <c r="A3714" s="86">
        <v>3713</v>
      </c>
      <c r="B3714" s="87">
        <v>55.297095963731408</v>
      </c>
      <c r="C3714" s="14">
        <v>4</v>
      </c>
      <c r="D3714" s="86">
        <v>0.63896210469431114</v>
      </c>
      <c r="E3714" s="86"/>
      <c r="F3714" s="14"/>
    </row>
    <row r="3715" spans="1:6" x14ac:dyDescent="0.25">
      <c r="A3715" s="86">
        <v>3714</v>
      </c>
      <c r="B3715" s="87">
        <v>46.260799985582707</v>
      </c>
      <c r="C3715" s="14">
        <v>4</v>
      </c>
      <c r="D3715" s="86">
        <v>8.0523244201541E-2</v>
      </c>
      <c r="E3715" s="86"/>
      <c r="F3715" s="14"/>
    </row>
    <row r="3716" spans="1:6" x14ac:dyDescent="0.25">
      <c r="A3716" s="86">
        <v>3715</v>
      </c>
      <c r="B3716" s="87">
        <v>43.547095169167733</v>
      </c>
      <c r="C3716" s="14">
        <v>1</v>
      </c>
      <c r="D3716" s="86">
        <v>0.6245218293595628</v>
      </c>
      <c r="E3716" s="86"/>
      <c r="F3716" s="14"/>
    </row>
    <row r="3717" spans="1:6" x14ac:dyDescent="0.25">
      <c r="A3717" s="86">
        <v>3716</v>
      </c>
      <c r="B3717" s="87">
        <v>34.206141203292646</v>
      </c>
      <c r="C3717" s="14">
        <v>4</v>
      </c>
      <c r="D3717" s="86">
        <v>0.26301141993775679</v>
      </c>
      <c r="E3717" s="86"/>
      <c r="F3717" s="14"/>
    </row>
    <row r="3718" spans="1:6" x14ac:dyDescent="0.25">
      <c r="A3718" s="86">
        <v>3717</v>
      </c>
      <c r="B3718" s="87">
        <v>39.027929682895774</v>
      </c>
      <c r="C3718" s="14">
        <v>5</v>
      </c>
      <c r="D3718" s="86">
        <v>0.9479550636660905</v>
      </c>
      <c r="E3718" s="86"/>
      <c r="F3718" s="14"/>
    </row>
    <row r="3719" spans="1:6" x14ac:dyDescent="0.25">
      <c r="A3719" s="86">
        <v>3718</v>
      </c>
      <c r="B3719" s="87">
        <v>37.63569793078932</v>
      </c>
      <c r="C3719" s="14">
        <v>5</v>
      </c>
      <c r="D3719" s="86">
        <v>0.30696270379718937</v>
      </c>
      <c r="E3719" s="86"/>
      <c r="F3719" s="14"/>
    </row>
    <row r="3720" spans="1:6" x14ac:dyDescent="0.25">
      <c r="A3720" s="86">
        <v>3719</v>
      </c>
      <c r="B3720" s="87">
        <v>38.78676579403691</v>
      </c>
      <c r="C3720" s="14">
        <v>4</v>
      </c>
      <c r="D3720" s="86">
        <v>0.44777151122073555</v>
      </c>
      <c r="E3720" s="86"/>
      <c r="F3720" s="14"/>
    </row>
    <row r="3721" spans="1:6" x14ac:dyDescent="0.25">
      <c r="A3721" s="86">
        <v>3720</v>
      </c>
      <c r="B3721" s="87">
        <v>41.903660980431596</v>
      </c>
      <c r="C3721" s="14">
        <v>5</v>
      </c>
      <c r="D3721" s="86">
        <v>0.98392655753440927</v>
      </c>
      <c r="E3721" s="86"/>
      <c r="F3721" s="14"/>
    </row>
    <row r="3722" spans="1:6" x14ac:dyDescent="0.25">
      <c r="A3722" s="86">
        <v>3721</v>
      </c>
      <c r="B3722" s="87">
        <v>41.251234956114786</v>
      </c>
      <c r="C3722" s="14">
        <v>2</v>
      </c>
      <c r="D3722" s="86">
        <v>0.96963546349214913</v>
      </c>
      <c r="E3722" s="86"/>
      <c r="F3722" s="14"/>
    </row>
    <row r="3723" spans="1:6" x14ac:dyDescent="0.25">
      <c r="A3723" s="86">
        <v>3722</v>
      </c>
      <c r="B3723" s="87">
        <v>53.392705007689074</v>
      </c>
      <c r="C3723" s="14">
        <v>2</v>
      </c>
      <c r="D3723" s="86">
        <v>0.85916488762592724</v>
      </c>
      <c r="E3723" s="86"/>
      <c r="F3723" s="14"/>
    </row>
    <row r="3724" spans="1:6" x14ac:dyDescent="0.25">
      <c r="A3724" s="86">
        <v>3723</v>
      </c>
      <c r="B3724" s="87">
        <v>43.052210680223652</v>
      </c>
      <c r="C3724" s="14">
        <v>2</v>
      </c>
      <c r="D3724" s="86">
        <v>0.69240884403800473</v>
      </c>
      <c r="E3724" s="86"/>
      <c r="F3724" s="14"/>
    </row>
    <row r="3725" spans="1:6" x14ac:dyDescent="0.25">
      <c r="A3725" s="86">
        <v>3724</v>
      </c>
      <c r="B3725" s="87">
        <v>51.922461347538047</v>
      </c>
      <c r="C3725" s="14">
        <v>5</v>
      </c>
      <c r="D3725" s="86">
        <v>0.54304306148245707</v>
      </c>
      <c r="E3725" s="86"/>
      <c r="F3725" s="14"/>
    </row>
    <row r="3726" spans="1:6" x14ac:dyDescent="0.25">
      <c r="A3726" s="86">
        <v>3725</v>
      </c>
      <c r="B3726" s="87">
        <v>43.386125975637697</v>
      </c>
      <c r="C3726" s="14">
        <v>1</v>
      </c>
      <c r="D3726" s="86">
        <v>0.16657483153498243</v>
      </c>
      <c r="E3726" s="86"/>
      <c r="F3726" s="14"/>
    </row>
    <row r="3727" spans="1:6" x14ac:dyDescent="0.25">
      <c r="A3727" s="86">
        <v>3726</v>
      </c>
      <c r="B3727" s="87">
        <v>41.921282440278446</v>
      </c>
      <c r="C3727" s="14">
        <v>4</v>
      </c>
      <c r="D3727" s="86">
        <v>0.63199279965338906</v>
      </c>
      <c r="E3727" s="86"/>
      <c r="F3727" s="14"/>
    </row>
    <row r="3728" spans="1:6" x14ac:dyDescent="0.25">
      <c r="A3728" s="86">
        <v>3727</v>
      </c>
      <c r="B3728" s="87">
        <v>39.494420884118881</v>
      </c>
      <c r="C3728" s="14">
        <v>4</v>
      </c>
      <c r="D3728" s="86">
        <v>0.59131013327914961</v>
      </c>
      <c r="E3728" s="86"/>
      <c r="F3728" s="14"/>
    </row>
    <row r="3729" spans="1:6" x14ac:dyDescent="0.25">
      <c r="A3729" s="86">
        <v>3728</v>
      </c>
      <c r="B3729" s="87">
        <v>36.593371527822455</v>
      </c>
      <c r="C3729" s="14">
        <v>3</v>
      </c>
      <c r="D3729" s="86">
        <v>0.76527204502135338</v>
      </c>
      <c r="E3729" s="86"/>
      <c r="F3729" s="14"/>
    </row>
    <row r="3730" spans="1:6" x14ac:dyDescent="0.25">
      <c r="A3730" s="86">
        <v>3729</v>
      </c>
      <c r="B3730" s="87">
        <v>45.362173745495966</v>
      </c>
      <c r="C3730" s="14">
        <v>1</v>
      </c>
      <c r="D3730" s="86">
        <v>0.23794304610824257</v>
      </c>
      <c r="E3730" s="86"/>
      <c r="F3730" s="14"/>
    </row>
    <row r="3731" spans="1:6" x14ac:dyDescent="0.25">
      <c r="A3731" s="86">
        <v>3730</v>
      </c>
      <c r="B3731" s="87">
        <v>42.244971604639431</v>
      </c>
      <c r="C3731" s="14">
        <v>4</v>
      </c>
      <c r="D3731" s="86">
        <v>0.27968856779395002</v>
      </c>
      <c r="E3731" s="86"/>
      <c r="F3731" s="14"/>
    </row>
    <row r="3732" spans="1:6" x14ac:dyDescent="0.25">
      <c r="A3732" s="86">
        <v>3731</v>
      </c>
      <c r="B3732" s="87">
        <v>39.355631992628332</v>
      </c>
      <c r="C3732" s="14">
        <v>4</v>
      </c>
      <c r="D3732" s="86">
        <v>0.11443525734827364</v>
      </c>
      <c r="E3732" s="86"/>
      <c r="F3732" s="14"/>
    </row>
    <row r="3733" spans="1:6" x14ac:dyDescent="0.25">
      <c r="A3733" s="86">
        <v>3732</v>
      </c>
      <c r="B3733" s="87">
        <v>41.953757085473626</v>
      </c>
      <c r="C3733" s="14">
        <v>2</v>
      </c>
      <c r="D3733" s="86">
        <v>0.34211731499674713</v>
      </c>
      <c r="E3733" s="86"/>
      <c r="F3733" s="14"/>
    </row>
    <row r="3734" spans="1:6" x14ac:dyDescent="0.25">
      <c r="A3734" s="86">
        <v>3733</v>
      </c>
      <c r="B3734" s="87">
        <v>41.392866018548375</v>
      </c>
      <c r="C3734" s="14">
        <v>5</v>
      </c>
      <c r="D3734" s="86">
        <v>0.35991928227849634</v>
      </c>
      <c r="E3734" s="86"/>
      <c r="F3734" s="14"/>
    </row>
    <row r="3735" spans="1:6" x14ac:dyDescent="0.25">
      <c r="A3735" s="86">
        <v>3734</v>
      </c>
      <c r="B3735" s="87">
        <v>48.877257081010612</v>
      </c>
      <c r="C3735" s="14">
        <v>4</v>
      </c>
      <c r="D3735" s="86">
        <v>0.49550587017681369</v>
      </c>
      <c r="E3735" s="86"/>
      <c r="F3735" s="14"/>
    </row>
    <row r="3736" spans="1:6" x14ac:dyDescent="0.25">
      <c r="A3736" s="86">
        <v>3735</v>
      </c>
      <c r="B3736" s="87">
        <v>32.777006703661755</v>
      </c>
      <c r="C3736" s="14">
        <v>2</v>
      </c>
      <c r="D3736" s="86">
        <v>0.21554202826072288</v>
      </c>
      <c r="E3736" s="86"/>
      <c r="F3736" s="14"/>
    </row>
    <row r="3737" spans="1:6" x14ac:dyDescent="0.25">
      <c r="A3737" s="86">
        <v>3736</v>
      </c>
      <c r="B3737" s="87">
        <v>46.488486299829674</v>
      </c>
      <c r="C3737" s="14">
        <v>2</v>
      </c>
      <c r="D3737" s="86">
        <v>0.56525581527477764</v>
      </c>
      <c r="E3737" s="86"/>
      <c r="F3737" s="14"/>
    </row>
    <row r="3738" spans="1:6" x14ac:dyDescent="0.25">
      <c r="A3738" s="86">
        <v>3737</v>
      </c>
      <c r="B3738" s="87">
        <v>38.228336047148332</v>
      </c>
      <c r="C3738" s="14">
        <v>5</v>
      </c>
      <c r="D3738" s="86">
        <v>0.11261296430402301</v>
      </c>
      <c r="E3738" s="86"/>
      <c r="F3738" s="14"/>
    </row>
    <row r="3739" spans="1:6" x14ac:dyDescent="0.25">
      <c r="A3739" s="86">
        <v>3738</v>
      </c>
      <c r="B3739" s="87">
        <v>39.946502278660773</v>
      </c>
      <c r="C3739" s="14">
        <v>2</v>
      </c>
      <c r="D3739" s="86">
        <v>0.82093010104037523</v>
      </c>
      <c r="E3739" s="86"/>
      <c r="F3739" s="14"/>
    </row>
    <row r="3740" spans="1:6" x14ac:dyDescent="0.25">
      <c r="A3740" s="86">
        <v>3739</v>
      </c>
      <c r="B3740" s="87">
        <v>47.709909262601286</v>
      </c>
      <c r="C3740" s="14">
        <v>1</v>
      </c>
      <c r="D3740" s="86">
        <v>0.60268305117608345</v>
      </c>
      <c r="E3740" s="86"/>
      <c r="F3740" s="14"/>
    </row>
    <row r="3741" spans="1:6" x14ac:dyDescent="0.25">
      <c r="A3741" s="86">
        <v>3740</v>
      </c>
      <c r="B3741" s="87">
        <v>42.494826852242113</v>
      </c>
      <c r="C3741" s="14">
        <v>1</v>
      </c>
      <c r="D3741" s="86">
        <v>0.12675554430514058</v>
      </c>
      <c r="E3741" s="86"/>
      <c r="F3741" s="14"/>
    </row>
    <row r="3742" spans="1:6" x14ac:dyDescent="0.25">
      <c r="A3742" s="86">
        <v>3741</v>
      </c>
      <c r="B3742" s="87">
        <v>43.344709860655712</v>
      </c>
      <c r="C3742" s="14">
        <v>1</v>
      </c>
      <c r="D3742" s="86">
        <v>0.51848262241396048</v>
      </c>
      <c r="E3742" s="86"/>
      <c r="F3742" s="14"/>
    </row>
    <row r="3743" spans="1:6" x14ac:dyDescent="0.25">
      <c r="A3743" s="86">
        <v>3742</v>
      </c>
      <c r="B3743" s="87">
        <v>40.570466803153977</v>
      </c>
      <c r="C3743" s="14">
        <v>4</v>
      </c>
      <c r="D3743" s="86">
        <v>0.63519915350730982</v>
      </c>
      <c r="E3743" s="86"/>
      <c r="F3743" s="14"/>
    </row>
    <row r="3744" spans="1:6" x14ac:dyDescent="0.25">
      <c r="A3744" s="86">
        <v>3743</v>
      </c>
      <c r="B3744" s="87">
        <v>47.638263817469124</v>
      </c>
      <c r="C3744" s="14">
        <v>4</v>
      </c>
      <c r="D3744" s="86">
        <v>0.57110008835102233</v>
      </c>
      <c r="E3744" s="86"/>
      <c r="F3744" s="14"/>
    </row>
    <row r="3745" spans="1:6" x14ac:dyDescent="0.25">
      <c r="A3745" s="86">
        <v>3744</v>
      </c>
      <c r="B3745" s="87">
        <v>45.398587639618199</v>
      </c>
      <c r="C3745" s="14">
        <v>2</v>
      </c>
      <c r="D3745" s="86">
        <v>0.13980134473428751</v>
      </c>
      <c r="E3745" s="86"/>
      <c r="F3745" s="14"/>
    </row>
    <row r="3746" spans="1:6" x14ac:dyDescent="0.25">
      <c r="A3746" s="86">
        <v>3745</v>
      </c>
      <c r="B3746" s="87">
        <v>42.369708802987589</v>
      </c>
      <c r="C3746" s="14">
        <v>4</v>
      </c>
      <c r="D3746" s="86">
        <v>0.99544841741353496</v>
      </c>
      <c r="E3746" s="86"/>
      <c r="F3746" s="14"/>
    </row>
    <row r="3747" spans="1:6" x14ac:dyDescent="0.25">
      <c r="A3747" s="86">
        <v>3746</v>
      </c>
      <c r="B3747" s="87">
        <v>34.754430084256455</v>
      </c>
      <c r="C3747" s="14">
        <v>2</v>
      </c>
      <c r="D3747" s="86">
        <v>5.2263836307604117E-2</v>
      </c>
      <c r="E3747" s="86"/>
      <c r="F3747" s="14"/>
    </row>
    <row r="3748" spans="1:6" x14ac:dyDescent="0.25">
      <c r="A3748" s="86">
        <v>3747</v>
      </c>
      <c r="B3748" s="87">
        <v>39.348640252108453</v>
      </c>
      <c r="C3748" s="14">
        <v>4</v>
      </c>
      <c r="D3748" s="86">
        <v>4.7022788082481393E-2</v>
      </c>
      <c r="E3748" s="86"/>
      <c r="F3748" s="14"/>
    </row>
    <row r="3749" spans="1:6" x14ac:dyDescent="0.25">
      <c r="A3749" s="86">
        <v>3748</v>
      </c>
      <c r="B3749" s="87">
        <v>39.182316408521729</v>
      </c>
      <c r="C3749" s="14">
        <v>5</v>
      </c>
      <c r="D3749" s="86">
        <v>0.9649957654360265</v>
      </c>
      <c r="E3749" s="86"/>
      <c r="F3749" s="14"/>
    </row>
    <row r="3750" spans="1:6" x14ac:dyDescent="0.25">
      <c r="A3750" s="86">
        <v>3749</v>
      </c>
      <c r="B3750" s="87">
        <v>45.308001967321616</v>
      </c>
      <c r="C3750" s="14">
        <v>5</v>
      </c>
      <c r="D3750" s="86">
        <v>0.73324628231077527</v>
      </c>
      <c r="E3750" s="86"/>
      <c r="F3750" s="14"/>
    </row>
    <row r="3751" spans="1:6" x14ac:dyDescent="0.25">
      <c r="A3751" s="86">
        <v>3750</v>
      </c>
      <c r="B3751" s="87">
        <v>41.855412286502542</v>
      </c>
      <c r="C3751" s="14">
        <v>1</v>
      </c>
      <c r="D3751" s="86">
        <v>0.28351883202326789</v>
      </c>
      <c r="E3751" s="86"/>
      <c r="F3751" s="14"/>
    </row>
    <row r="3752" spans="1:6" x14ac:dyDescent="0.25">
      <c r="A3752" s="86">
        <v>3751</v>
      </c>
      <c r="B3752" s="87">
        <v>40.443995880530565</v>
      </c>
      <c r="C3752" s="14">
        <v>5</v>
      </c>
      <c r="D3752" s="86">
        <v>0.55032196623573859</v>
      </c>
      <c r="E3752" s="86"/>
      <c r="F3752" s="14"/>
    </row>
    <row r="3753" spans="1:6" x14ac:dyDescent="0.25">
      <c r="A3753" s="86">
        <v>3752</v>
      </c>
      <c r="B3753" s="87">
        <v>45.648857844178565</v>
      </c>
      <c r="C3753" s="14">
        <v>4</v>
      </c>
      <c r="D3753" s="86">
        <v>0.23685511020259953</v>
      </c>
      <c r="E3753" s="86"/>
      <c r="F3753" s="14"/>
    </row>
    <row r="3754" spans="1:6" x14ac:dyDescent="0.25">
      <c r="A3754" s="86">
        <v>3753</v>
      </c>
      <c r="B3754" s="87">
        <v>45.667798071342986</v>
      </c>
      <c r="C3754" s="14">
        <v>5</v>
      </c>
      <c r="D3754" s="86">
        <v>0.8271598295854482</v>
      </c>
      <c r="E3754" s="86"/>
      <c r="F3754" s="14"/>
    </row>
    <row r="3755" spans="1:6" x14ac:dyDescent="0.25">
      <c r="A3755" s="86">
        <v>3754</v>
      </c>
      <c r="B3755" s="87">
        <v>40.339250512595754</v>
      </c>
      <c r="C3755" s="14">
        <v>5</v>
      </c>
      <c r="D3755" s="86">
        <v>0.43187883582597086</v>
      </c>
      <c r="E3755" s="86"/>
      <c r="F3755" s="14"/>
    </row>
    <row r="3756" spans="1:6" x14ac:dyDescent="0.25">
      <c r="A3756" s="86">
        <v>3755</v>
      </c>
      <c r="B3756" s="87">
        <v>45.462729753460735</v>
      </c>
      <c r="C3756" s="14">
        <v>5</v>
      </c>
      <c r="D3756" s="86">
        <v>0.89156384715538528</v>
      </c>
      <c r="E3756" s="86"/>
      <c r="F3756" s="14"/>
    </row>
    <row r="3757" spans="1:6" x14ac:dyDescent="0.25">
      <c r="A3757" s="86">
        <v>3756</v>
      </c>
      <c r="B3757" s="87">
        <v>44.106138824980007</v>
      </c>
      <c r="C3757" s="14">
        <v>2</v>
      </c>
      <c r="D3757" s="86">
        <v>0.74844893551610281</v>
      </c>
      <c r="E3757" s="86"/>
      <c r="F3757" s="14"/>
    </row>
    <row r="3758" spans="1:6" x14ac:dyDescent="0.25">
      <c r="A3758" s="86">
        <v>3757</v>
      </c>
      <c r="B3758" s="87">
        <v>41.551970747939777</v>
      </c>
      <c r="C3758" s="14">
        <v>1</v>
      </c>
      <c r="D3758" s="86">
        <v>3.7717698186456983E-2</v>
      </c>
      <c r="E3758" s="86"/>
      <c r="F3758" s="14"/>
    </row>
    <row r="3759" spans="1:6" x14ac:dyDescent="0.25">
      <c r="A3759" s="86">
        <v>3758</v>
      </c>
      <c r="B3759" s="87">
        <v>48.481388143380173</v>
      </c>
      <c r="C3759" s="14">
        <v>2</v>
      </c>
      <c r="D3759" s="86">
        <v>0.85256493322266813</v>
      </c>
      <c r="E3759" s="86"/>
      <c r="F3759" s="14"/>
    </row>
    <row r="3760" spans="1:6" x14ac:dyDescent="0.25">
      <c r="A3760" s="86">
        <v>3759</v>
      </c>
      <c r="B3760" s="87">
        <v>39.486587860999862</v>
      </c>
      <c r="C3760" s="14">
        <v>4</v>
      </c>
      <c r="D3760" s="86">
        <v>5.8585339699075534E-2</v>
      </c>
      <c r="E3760" s="86"/>
      <c r="F3760" s="14"/>
    </row>
    <row r="3761" spans="1:6" x14ac:dyDescent="0.25">
      <c r="A3761" s="86">
        <v>3760</v>
      </c>
      <c r="B3761" s="87">
        <v>49.154095899546519</v>
      </c>
      <c r="C3761" s="14">
        <v>5</v>
      </c>
      <c r="D3761" s="86">
        <v>0.49609602344520343</v>
      </c>
      <c r="E3761" s="86"/>
      <c r="F3761" s="14"/>
    </row>
    <row r="3762" spans="1:6" x14ac:dyDescent="0.25">
      <c r="A3762" s="86">
        <v>3761</v>
      </c>
      <c r="B3762" s="87">
        <v>42.462136202055262</v>
      </c>
      <c r="C3762" s="14">
        <v>5</v>
      </c>
      <c r="D3762" s="86">
        <v>0.72764124437864008</v>
      </c>
      <c r="E3762" s="86"/>
      <c r="F3762" s="14"/>
    </row>
    <row r="3763" spans="1:6" x14ac:dyDescent="0.25">
      <c r="A3763" s="86">
        <v>3762</v>
      </c>
      <c r="B3763" s="87">
        <v>37.216352661169367</v>
      </c>
      <c r="C3763" s="14">
        <v>4</v>
      </c>
      <c r="D3763" s="86">
        <v>0.4654423382213303</v>
      </c>
      <c r="E3763" s="86"/>
      <c r="F3763" s="14"/>
    </row>
    <row r="3764" spans="1:6" x14ac:dyDescent="0.25">
      <c r="A3764" s="86">
        <v>3763</v>
      </c>
      <c r="B3764" s="87">
        <v>47.068783709954005</v>
      </c>
      <c r="C3764" s="14">
        <v>4</v>
      </c>
      <c r="D3764" s="86">
        <v>4.9449002136120579E-2</v>
      </c>
      <c r="E3764" s="86"/>
      <c r="F3764" s="14"/>
    </row>
    <row r="3765" spans="1:6" x14ac:dyDescent="0.25">
      <c r="A3765" s="86">
        <v>3764</v>
      </c>
      <c r="B3765" s="87">
        <v>54.214524420211092</v>
      </c>
      <c r="C3765" s="14">
        <v>4</v>
      </c>
      <c r="D3765" s="86">
        <v>0.2344850746858923</v>
      </c>
      <c r="E3765" s="86"/>
      <c r="F3765" s="14"/>
    </row>
    <row r="3766" spans="1:6" x14ac:dyDescent="0.25">
      <c r="A3766" s="86">
        <v>3765</v>
      </c>
      <c r="B3766" s="87">
        <v>45.41792008637276</v>
      </c>
      <c r="C3766" s="14">
        <v>2</v>
      </c>
      <c r="D3766" s="86">
        <v>0.11064599811024567</v>
      </c>
      <c r="E3766" s="86"/>
      <c r="F3766" s="14"/>
    </row>
    <row r="3767" spans="1:6" x14ac:dyDescent="0.25">
      <c r="A3767" s="86">
        <v>3766</v>
      </c>
      <c r="B3767" s="87">
        <v>44.001717464532703</v>
      </c>
      <c r="C3767" s="14">
        <v>2</v>
      </c>
      <c r="D3767" s="86">
        <v>0.61875931202862544</v>
      </c>
      <c r="E3767" s="86"/>
      <c r="F3767" s="14"/>
    </row>
    <row r="3768" spans="1:6" x14ac:dyDescent="0.25">
      <c r="A3768" s="86">
        <v>3767</v>
      </c>
      <c r="B3768" s="87">
        <v>49.700042831653263</v>
      </c>
      <c r="C3768" s="14">
        <v>1</v>
      </c>
      <c r="D3768" s="86">
        <v>0.47693821082510102</v>
      </c>
      <c r="E3768" s="86"/>
      <c r="F3768" s="14"/>
    </row>
    <row r="3769" spans="1:6" x14ac:dyDescent="0.25">
      <c r="A3769" s="86">
        <v>3768</v>
      </c>
      <c r="B3769" s="87">
        <v>42.434817254950758</v>
      </c>
      <c r="C3769" s="14">
        <v>4</v>
      </c>
      <c r="D3769" s="86">
        <v>0.65278049200166877</v>
      </c>
      <c r="E3769" s="86"/>
      <c r="F3769" s="14"/>
    </row>
    <row r="3770" spans="1:6" x14ac:dyDescent="0.25">
      <c r="A3770" s="86">
        <v>3769</v>
      </c>
      <c r="B3770" s="87">
        <v>55.744931154884398</v>
      </c>
      <c r="C3770" s="14">
        <v>3</v>
      </c>
      <c r="D3770" s="86">
        <v>0.56969482841931585</v>
      </c>
      <c r="E3770" s="86"/>
      <c r="F3770" s="14"/>
    </row>
    <row r="3771" spans="1:6" x14ac:dyDescent="0.25">
      <c r="A3771" s="86">
        <v>3770</v>
      </c>
      <c r="B3771" s="87">
        <v>56.72718543279916</v>
      </c>
      <c r="C3771" s="14">
        <v>4</v>
      </c>
      <c r="D3771" s="86">
        <v>0.50751638484379147</v>
      </c>
      <c r="E3771" s="86"/>
      <c r="F3771" s="14"/>
    </row>
    <row r="3772" spans="1:6" x14ac:dyDescent="0.25">
      <c r="A3772" s="86">
        <v>3771</v>
      </c>
      <c r="B3772" s="87">
        <v>38.581924849830102</v>
      </c>
      <c r="C3772" s="14">
        <v>2</v>
      </c>
      <c r="D3772" s="86">
        <v>0.51526490553761595</v>
      </c>
      <c r="E3772" s="86"/>
      <c r="F3772" s="14"/>
    </row>
    <row r="3773" spans="1:6" x14ac:dyDescent="0.25">
      <c r="A3773" s="86">
        <v>3772</v>
      </c>
      <c r="B3773" s="87">
        <v>40.829422682116274</v>
      </c>
      <c r="C3773" s="14">
        <v>2</v>
      </c>
      <c r="D3773" s="86">
        <v>0.29120583651189402</v>
      </c>
      <c r="E3773" s="86"/>
      <c r="F3773" s="14"/>
    </row>
    <row r="3774" spans="1:6" x14ac:dyDescent="0.25">
      <c r="A3774" s="86">
        <v>3773</v>
      </c>
      <c r="B3774" s="87">
        <v>40.447480382106733</v>
      </c>
      <c r="C3774" s="14">
        <v>2</v>
      </c>
      <c r="D3774" s="86">
        <v>0.61364941330218148</v>
      </c>
      <c r="E3774" s="86"/>
      <c r="F3774" s="14"/>
    </row>
    <row r="3775" spans="1:6" x14ac:dyDescent="0.25">
      <c r="A3775" s="86">
        <v>3774</v>
      </c>
      <c r="B3775" s="87">
        <v>27.513851813971996</v>
      </c>
      <c r="C3775" s="14">
        <v>2</v>
      </c>
      <c r="D3775" s="86">
        <v>0.65900617130447003</v>
      </c>
      <c r="E3775" s="86"/>
      <c r="F3775" s="14"/>
    </row>
    <row r="3776" spans="1:6" x14ac:dyDescent="0.25">
      <c r="A3776" s="86">
        <v>3775</v>
      </c>
      <c r="B3776" s="87">
        <v>36.369704043288948</v>
      </c>
      <c r="C3776" s="14">
        <v>2</v>
      </c>
      <c r="D3776" s="86">
        <v>0.63836733161030457</v>
      </c>
      <c r="E3776" s="86"/>
      <c r="F3776" s="14"/>
    </row>
    <row r="3777" spans="1:6" x14ac:dyDescent="0.25">
      <c r="A3777" s="86">
        <v>3776</v>
      </c>
      <c r="B3777" s="87">
        <v>45.765773388091475</v>
      </c>
      <c r="C3777" s="14">
        <v>2</v>
      </c>
      <c r="D3777" s="86">
        <v>0.29795972590282838</v>
      </c>
      <c r="E3777" s="86"/>
      <c r="F3777" s="14"/>
    </row>
    <row r="3778" spans="1:6" x14ac:dyDescent="0.25">
      <c r="A3778" s="86">
        <v>3777</v>
      </c>
      <c r="B3778" s="87">
        <v>41.587435356967035</v>
      </c>
      <c r="C3778" s="14">
        <v>4</v>
      </c>
      <c r="D3778" s="86">
        <v>0.32212022325499279</v>
      </c>
      <c r="E3778" s="86"/>
      <c r="F3778" s="14"/>
    </row>
    <row r="3779" spans="1:6" x14ac:dyDescent="0.25">
      <c r="A3779" s="86">
        <v>3778</v>
      </c>
      <c r="B3779" s="87">
        <v>44.7711499822326</v>
      </c>
      <c r="C3779" s="14">
        <v>5</v>
      </c>
      <c r="D3779" s="86">
        <v>0.72055542664410976</v>
      </c>
      <c r="E3779" s="86"/>
      <c r="F3779" s="14"/>
    </row>
    <row r="3780" spans="1:6" x14ac:dyDescent="0.25">
      <c r="A3780" s="86">
        <v>3779</v>
      </c>
      <c r="B3780" s="87">
        <v>49.126447260612622</v>
      </c>
      <c r="C3780" s="14">
        <v>4</v>
      </c>
      <c r="D3780" s="86">
        <v>0.65128058264131605</v>
      </c>
      <c r="E3780" s="86"/>
      <c r="F3780" s="14"/>
    </row>
    <row r="3781" spans="1:6" x14ac:dyDescent="0.25">
      <c r="A3781" s="86">
        <v>3780</v>
      </c>
      <c r="B3781" s="87">
        <v>35.154857864079531</v>
      </c>
      <c r="C3781" s="14">
        <v>5</v>
      </c>
      <c r="D3781" s="86">
        <v>0.27777576441845286</v>
      </c>
      <c r="E3781" s="86"/>
      <c r="F3781" s="14"/>
    </row>
    <row r="3782" spans="1:6" x14ac:dyDescent="0.25">
      <c r="A3782" s="86">
        <v>3781</v>
      </c>
      <c r="B3782" s="87">
        <v>43.183831616595853</v>
      </c>
      <c r="C3782" s="14">
        <v>1</v>
      </c>
      <c r="D3782" s="86">
        <v>0.68824292970679801</v>
      </c>
      <c r="E3782" s="86"/>
      <c r="F3782" s="14"/>
    </row>
    <row r="3783" spans="1:6" x14ac:dyDescent="0.25">
      <c r="A3783" s="86">
        <v>3782</v>
      </c>
      <c r="B3783" s="87">
        <v>43.874808847584063</v>
      </c>
      <c r="C3783" s="14">
        <v>1</v>
      </c>
      <c r="D3783" s="86">
        <v>0.94812572124696048</v>
      </c>
      <c r="E3783" s="86"/>
      <c r="F3783" s="14"/>
    </row>
    <row r="3784" spans="1:6" x14ac:dyDescent="0.25">
      <c r="A3784" s="86">
        <v>3783</v>
      </c>
      <c r="B3784" s="87">
        <v>45.676182475624955</v>
      </c>
      <c r="C3784" s="14">
        <v>2</v>
      </c>
      <c r="D3784" s="86">
        <v>0.44452072345039806</v>
      </c>
      <c r="E3784" s="86"/>
      <c r="F3784" s="14"/>
    </row>
    <row r="3785" spans="1:6" x14ac:dyDescent="0.25">
      <c r="A3785" s="86">
        <v>3784</v>
      </c>
      <c r="B3785" s="87">
        <v>38.713210410031024</v>
      </c>
      <c r="C3785" s="14">
        <v>3</v>
      </c>
      <c r="D3785" s="86">
        <v>0.58347855316702202</v>
      </c>
      <c r="E3785" s="86"/>
      <c r="F3785" s="14"/>
    </row>
    <row r="3786" spans="1:6" x14ac:dyDescent="0.25">
      <c r="A3786" s="86">
        <v>3785</v>
      </c>
      <c r="B3786" s="87">
        <v>38.107532413385343</v>
      </c>
      <c r="C3786" s="14">
        <v>4</v>
      </c>
      <c r="D3786" s="86">
        <v>0.65180671498217824</v>
      </c>
      <c r="E3786" s="86"/>
      <c r="F3786" s="14"/>
    </row>
    <row r="3787" spans="1:6" x14ac:dyDescent="0.25">
      <c r="A3787" s="86">
        <v>3786</v>
      </c>
      <c r="B3787" s="87">
        <v>34.354843587032519</v>
      </c>
      <c r="C3787" s="14">
        <v>2</v>
      </c>
      <c r="D3787" s="86">
        <v>0.85450817840945981</v>
      </c>
      <c r="E3787" s="86"/>
      <c r="F3787" s="14"/>
    </row>
    <row r="3788" spans="1:6" x14ac:dyDescent="0.25">
      <c r="A3788" s="86">
        <v>3787</v>
      </c>
      <c r="B3788" s="87">
        <v>39.056180862069596</v>
      </c>
      <c r="C3788" s="14">
        <v>1</v>
      </c>
      <c r="D3788" s="86">
        <v>0.99245875127771233</v>
      </c>
      <c r="E3788" s="86"/>
      <c r="F3788" s="14"/>
    </row>
    <row r="3789" spans="1:6" x14ac:dyDescent="0.25">
      <c r="A3789" s="86">
        <v>3788</v>
      </c>
      <c r="B3789" s="87">
        <v>40.470547441480448</v>
      </c>
      <c r="C3789" s="14">
        <v>4</v>
      </c>
      <c r="D3789" s="86">
        <v>0.11453130932537625</v>
      </c>
      <c r="E3789" s="86"/>
      <c r="F3789" s="14"/>
    </row>
    <row r="3790" spans="1:6" x14ac:dyDescent="0.25">
      <c r="A3790" s="86">
        <v>3789</v>
      </c>
      <c r="B3790" s="87">
        <v>44.283251549466513</v>
      </c>
      <c r="C3790" s="14">
        <v>4</v>
      </c>
      <c r="D3790" s="86">
        <v>0.33342806211654452</v>
      </c>
      <c r="E3790" s="86"/>
      <c r="F3790" s="14"/>
    </row>
    <row r="3791" spans="1:6" x14ac:dyDescent="0.25">
      <c r="A3791" s="86">
        <v>3790</v>
      </c>
      <c r="B3791" s="87">
        <v>40.449225475065759</v>
      </c>
      <c r="C3791" s="14">
        <v>2</v>
      </c>
      <c r="D3791" s="86">
        <v>0.34012865661392466</v>
      </c>
      <c r="E3791" s="86"/>
      <c r="F3791" s="14"/>
    </row>
    <row r="3792" spans="1:6" x14ac:dyDescent="0.25">
      <c r="A3792" s="86">
        <v>3791</v>
      </c>
      <c r="B3792" s="87">
        <v>34.585900716017932</v>
      </c>
      <c r="C3792" s="14">
        <v>4</v>
      </c>
      <c r="D3792" s="86">
        <v>0.75374607715926889</v>
      </c>
      <c r="E3792" s="86"/>
      <c r="F3792" s="14"/>
    </row>
    <row r="3793" spans="1:6" x14ac:dyDescent="0.25">
      <c r="A3793" s="86">
        <v>3792</v>
      </c>
      <c r="B3793" s="87">
        <v>49.871027835586574</v>
      </c>
      <c r="C3793" s="14">
        <v>4</v>
      </c>
      <c r="D3793" s="86">
        <v>0.1763187290219379</v>
      </c>
      <c r="E3793" s="86"/>
      <c r="F3793" s="14"/>
    </row>
    <row r="3794" spans="1:6" x14ac:dyDescent="0.25">
      <c r="A3794" s="86">
        <v>3793</v>
      </c>
      <c r="B3794" s="87">
        <v>44.011085259960964</v>
      </c>
      <c r="C3794" s="14">
        <v>3</v>
      </c>
      <c r="D3794" s="86">
        <v>0.38603277483381249</v>
      </c>
      <c r="E3794" s="86"/>
      <c r="F3794" s="14"/>
    </row>
    <row r="3795" spans="1:6" x14ac:dyDescent="0.25">
      <c r="A3795" s="86">
        <v>3794</v>
      </c>
      <c r="B3795" s="87">
        <v>44.507561364633148</v>
      </c>
      <c r="C3795" s="14">
        <v>4</v>
      </c>
      <c r="D3795" s="86">
        <v>0.56887731087648918</v>
      </c>
      <c r="E3795" s="86"/>
      <c r="F3795" s="14"/>
    </row>
    <row r="3796" spans="1:6" x14ac:dyDescent="0.25">
      <c r="A3796" s="86">
        <v>3795</v>
      </c>
      <c r="B3796" s="87">
        <v>41.172944515317795</v>
      </c>
      <c r="C3796" s="14">
        <v>3</v>
      </c>
      <c r="D3796" s="86">
        <v>0.97552520277802013</v>
      </c>
      <c r="E3796" s="86"/>
      <c r="F3796" s="14"/>
    </row>
    <row r="3797" spans="1:6" x14ac:dyDescent="0.25">
      <c r="A3797" s="86">
        <v>3796</v>
      </c>
      <c r="B3797" s="87">
        <v>39.15255319440621</v>
      </c>
      <c r="C3797" s="14">
        <v>5</v>
      </c>
      <c r="D3797" s="86">
        <v>0.60214687095415487</v>
      </c>
      <c r="E3797" s="86"/>
      <c r="F3797" s="14"/>
    </row>
    <row r="3798" spans="1:6" x14ac:dyDescent="0.25">
      <c r="A3798" s="86">
        <v>3797</v>
      </c>
      <c r="B3798" s="87">
        <v>51.981351129477844</v>
      </c>
      <c r="C3798" s="14">
        <v>5</v>
      </c>
      <c r="D3798" s="86">
        <v>0.6744142886977248</v>
      </c>
      <c r="E3798" s="86"/>
      <c r="F3798" s="14"/>
    </row>
    <row r="3799" spans="1:6" x14ac:dyDescent="0.25">
      <c r="A3799" s="86">
        <v>3798</v>
      </c>
      <c r="B3799" s="87">
        <v>43.178852133103646</v>
      </c>
      <c r="C3799" s="14">
        <v>4</v>
      </c>
      <c r="D3799" s="86">
        <v>6.3828376772620321E-2</v>
      </c>
      <c r="E3799" s="86"/>
      <c r="F3799" s="14"/>
    </row>
    <row r="3800" spans="1:6" x14ac:dyDescent="0.25">
      <c r="A3800" s="86">
        <v>3799</v>
      </c>
      <c r="B3800" s="87">
        <v>45.456687298035831</v>
      </c>
      <c r="C3800" s="14">
        <v>3</v>
      </c>
      <c r="D3800" s="86">
        <v>1.6114443984704629E-2</v>
      </c>
      <c r="E3800" s="86"/>
      <c r="F3800" s="14"/>
    </row>
    <row r="3801" spans="1:6" x14ac:dyDescent="0.25">
      <c r="A3801" s="86">
        <v>3800</v>
      </c>
      <c r="B3801" s="87">
        <v>45.597937509563053</v>
      </c>
      <c r="C3801" s="14">
        <v>2</v>
      </c>
      <c r="D3801" s="86">
        <v>0.58999267444891634</v>
      </c>
      <c r="E3801" s="86"/>
      <c r="F3801" s="14"/>
    </row>
    <row r="3802" spans="1:6" x14ac:dyDescent="0.25">
      <c r="A3802" s="86">
        <v>3801</v>
      </c>
      <c r="B3802" s="87">
        <v>43.548635625818861</v>
      </c>
      <c r="C3802" s="14">
        <v>5</v>
      </c>
      <c r="D3802" s="86">
        <v>0.47241453595465255</v>
      </c>
      <c r="E3802" s="86"/>
      <c r="F3802" s="14"/>
    </row>
    <row r="3803" spans="1:6" x14ac:dyDescent="0.25">
      <c r="A3803" s="86">
        <v>3802</v>
      </c>
      <c r="B3803" s="87">
        <v>42.570508180113393</v>
      </c>
      <c r="C3803" s="14">
        <v>5</v>
      </c>
      <c r="D3803" s="86">
        <v>0.48104609384201646</v>
      </c>
      <c r="E3803" s="86"/>
      <c r="F3803" s="14"/>
    </row>
    <row r="3804" spans="1:6" x14ac:dyDescent="0.25">
      <c r="A3804" s="86">
        <v>3803</v>
      </c>
      <c r="B3804" s="87">
        <v>43.937797040023725</v>
      </c>
      <c r="C3804" s="14">
        <v>4</v>
      </c>
      <c r="D3804" s="86">
        <v>0.17420909435110588</v>
      </c>
      <c r="E3804" s="86"/>
      <c r="F3804" s="14"/>
    </row>
    <row r="3805" spans="1:6" x14ac:dyDescent="0.25">
      <c r="A3805" s="86">
        <v>3804</v>
      </c>
      <c r="B3805" s="87">
        <v>41.413386492757127</v>
      </c>
      <c r="C3805" s="14">
        <v>4</v>
      </c>
      <c r="D3805" s="86">
        <v>0.18110732987723799</v>
      </c>
      <c r="E3805" s="86"/>
      <c r="F3805" s="14"/>
    </row>
    <row r="3806" spans="1:6" x14ac:dyDescent="0.25">
      <c r="A3806" s="86">
        <v>3805</v>
      </c>
      <c r="B3806" s="87">
        <v>47.907928996544797</v>
      </c>
      <c r="C3806" s="14">
        <v>4</v>
      </c>
      <c r="D3806" s="86">
        <v>0.78688387780927815</v>
      </c>
      <c r="E3806" s="86"/>
      <c r="F3806" s="14"/>
    </row>
    <row r="3807" spans="1:6" x14ac:dyDescent="0.25">
      <c r="A3807" s="86">
        <v>3806</v>
      </c>
      <c r="B3807" s="87">
        <v>44.5544628695352</v>
      </c>
      <c r="C3807" s="14">
        <v>2</v>
      </c>
      <c r="D3807" s="86">
        <v>0.42326476942530977</v>
      </c>
      <c r="E3807" s="86"/>
      <c r="F3807" s="14"/>
    </row>
    <row r="3808" spans="1:6" x14ac:dyDescent="0.25">
      <c r="A3808" s="86">
        <v>3807</v>
      </c>
      <c r="B3808" s="87">
        <v>52.335371942142956</v>
      </c>
      <c r="C3808" s="14">
        <v>5</v>
      </c>
      <c r="D3808" s="86">
        <v>0.36753396004941619</v>
      </c>
      <c r="E3808" s="86"/>
      <c r="F3808" s="14"/>
    </row>
    <row r="3809" spans="1:6" x14ac:dyDescent="0.25">
      <c r="A3809" s="86">
        <v>3808</v>
      </c>
      <c r="B3809" s="87">
        <v>45.460569703544024</v>
      </c>
      <c r="C3809" s="14">
        <v>4</v>
      </c>
      <c r="D3809" s="86">
        <v>6.2830983484667757E-2</v>
      </c>
      <c r="E3809" s="86"/>
      <c r="F3809" s="14"/>
    </row>
    <row r="3810" spans="1:6" x14ac:dyDescent="0.25">
      <c r="A3810" s="86">
        <v>3809</v>
      </c>
      <c r="B3810" s="87">
        <v>37.645213519106619</v>
      </c>
      <c r="C3810" s="14">
        <v>4</v>
      </c>
      <c r="D3810" s="86">
        <v>1.3026104589034526E-2</v>
      </c>
      <c r="E3810" s="86"/>
      <c r="F3810" s="14"/>
    </row>
    <row r="3811" spans="1:6" x14ac:dyDescent="0.25">
      <c r="A3811" s="86">
        <v>3810</v>
      </c>
      <c r="B3811" s="87">
        <v>46.57290446117986</v>
      </c>
      <c r="C3811" s="14">
        <v>4</v>
      </c>
      <c r="D3811" s="86">
        <v>0.19253311802785233</v>
      </c>
      <c r="E3811" s="86"/>
      <c r="F3811" s="14"/>
    </row>
    <row r="3812" spans="1:6" x14ac:dyDescent="0.25">
      <c r="A3812" s="86">
        <v>3811</v>
      </c>
      <c r="B3812" s="87">
        <v>30.245246302336454</v>
      </c>
      <c r="C3812" s="14">
        <v>2</v>
      </c>
      <c r="D3812" s="86">
        <v>0.87723035445905451</v>
      </c>
      <c r="E3812" s="86"/>
      <c r="F3812" s="14"/>
    </row>
    <row r="3813" spans="1:6" x14ac:dyDescent="0.25">
      <c r="A3813" s="86">
        <v>3812</v>
      </c>
      <c r="B3813" s="87">
        <v>40.734039425267838</v>
      </c>
      <c r="C3813" s="14">
        <v>2</v>
      </c>
      <c r="D3813" s="86">
        <v>8.4028171470593049E-2</v>
      </c>
      <c r="E3813" s="86"/>
      <c r="F3813" s="14"/>
    </row>
    <row r="3814" spans="1:6" x14ac:dyDescent="0.25">
      <c r="A3814" s="86">
        <v>3813</v>
      </c>
      <c r="B3814" s="87">
        <v>44.770740709616803</v>
      </c>
      <c r="C3814" s="14">
        <v>4</v>
      </c>
      <c r="D3814" s="86">
        <v>0.67082528562687138</v>
      </c>
      <c r="E3814" s="86"/>
      <c r="F3814" s="14"/>
    </row>
    <row r="3815" spans="1:6" x14ac:dyDescent="0.25">
      <c r="A3815" s="86">
        <v>3814</v>
      </c>
      <c r="B3815" s="87">
        <v>37.334950770280557</v>
      </c>
      <c r="C3815" s="14">
        <v>5</v>
      </c>
      <c r="D3815" s="86">
        <v>0.34947599493227621</v>
      </c>
      <c r="E3815" s="86"/>
      <c r="F3815" s="14"/>
    </row>
    <row r="3816" spans="1:6" x14ac:dyDescent="0.25">
      <c r="A3816" s="86">
        <v>3815</v>
      </c>
      <c r="B3816" s="87">
        <v>37.269046510453336</v>
      </c>
      <c r="C3816" s="14">
        <v>2</v>
      </c>
      <c r="D3816" s="86">
        <v>0.73885707285519442</v>
      </c>
      <c r="E3816" s="86"/>
      <c r="F3816" s="14"/>
    </row>
    <row r="3817" spans="1:6" x14ac:dyDescent="0.25">
      <c r="A3817" s="86">
        <v>3816</v>
      </c>
      <c r="B3817" s="87">
        <v>51.657116268295795</v>
      </c>
      <c r="C3817" s="14">
        <v>5</v>
      </c>
      <c r="D3817" s="86">
        <v>0.60654415491848312</v>
      </c>
      <c r="E3817" s="86"/>
      <c r="F3817" s="14"/>
    </row>
    <row r="3818" spans="1:6" x14ac:dyDescent="0.25">
      <c r="A3818" s="86">
        <v>3817</v>
      </c>
      <c r="B3818" s="87">
        <v>47.286789589968976</v>
      </c>
      <c r="C3818" s="14">
        <v>2</v>
      </c>
      <c r="D3818" s="86">
        <v>0.31443784034421352</v>
      </c>
      <c r="E3818" s="86"/>
      <c r="F3818" s="14"/>
    </row>
    <row r="3819" spans="1:6" x14ac:dyDescent="0.25">
      <c r="A3819" s="86">
        <v>3818</v>
      </c>
      <c r="B3819" s="87">
        <v>40.210125002311543</v>
      </c>
      <c r="C3819" s="14">
        <v>2</v>
      </c>
      <c r="D3819" s="86">
        <v>0.99404820923978299</v>
      </c>
      <c r="E3819" s="86"/>
      <c r="F3819" s="14"/>
    </row>
    <row r="3820" spans="1:6" x14ac:dyDescent="0.25">
      <c r="A3820" s="86">
        <v>3819</v>
      </c>
      <c r="B3820" s="87">
        <v>36.936262399074621</v>
      </c>
      <c r="C3820" s="14">
        <v>1</v>
      </c>
      <c r="D3820" s="86">
        <v>0.84635653451619597</v>
      </c>
      <c r="E3820" s="86"/>
      <c r="F3820" s="14"/>
    </row>
    <row r="3821" spans="1:6" x14ac:dyDescent="0.25">
      <c r="A3821" s="86">
        <v>3820</v>
      </c>
      <c r="B3821" s="87">
        <v>40.100849213893525</v>
      </c>
      <c r="C3821" s="14">
        <v>2</v>
      </c>
      <c r="D3821" s="86">
        <v>0.90405931953644314</v>
      </c>
      <c r="E3821" s="86"/>
      <c r="F3821" s="14"/>
    </row>
    <row r="3822" spans="1:6" x14ac:dyDescent="0.25">
      <c r="A3822" s="86">
        <v>3821</v>
      </c>
      <c r="B3822" s="87">
        <v>50.870107765484136</v>
      </c>
      <c r="C3822" s="14">
        <v>3</v>
      </c>
      <c r="D3822" s="86">
        <v>6.3878598504095496E-2</v>
      </c>
      <c r="E3822" s="86"/>
      <c r="F3822" s="14"/>
    </row>
    <row r="3823" spans="1:6" x14ac:dyDescent="0.25">
      <c r="A3823" s="86">
        <v>3822</v>
      </c>
      <c r="B3823" s="87">
        <v>45.499501761121792</v>
      </c>
      <c r="C3823" s="14">
        <v>2</v>
      </c>
      <c r="D3823" s="86">
        <v>0.68134287426001838</v>
      </c>
      <c r="E3823" s="86"/>
      <c r="F3823" s="14"/>
    </row>
    <row r="3824" spans="1:6" x14ac:dyDescent="0.25">
      <c r="A3824" s="86">
        <v>3823</v>
      </c>
      <c r="B3824" s="87">
        <v>34.757408679404762</v>
      </c>
      <c r="C3824" s="14">
        <v>3</v>
      </c>
      <c r="D3824" s="86">
        <v>0.30667712720991891</v>
      </c>
      <c r="E3824" s="86"/>
      <c r="F3824" s="14"/>
    </row>
    <row r="3825" spans="1:6" x14ac:dyDescent="0.25">
      <c r="A3825" s="86">
        <v>3824</v>
      </c>
      <c r="B3825" s="87">
        <v>39.549956904345891</v>
      </c>
      <c r="C3825" s="14">
        <v>2</v>
      </c>
      <c r="D3825" s="86">
        <v>0.12972942767180284</v>
      </c>
      <c r="E3825" s="86"/>
      <c r="F3825" s="14"/>
    </row>
    <row r="3826" spans="1:6" x14ac:dyDescent="0.25">
      <c r="A3826" s="86">
        <v>3825</v>
      </c>
      <c r="B3826" s="87">
        <v>36.170035850198474</v>
      </c>
      <c r="C3826" s="14">
        <v>2</v>
      </c>
      <c r="D3826" s="86">
        <v>0.28552630683063618</v>
      </c>
      <c r="E3826" s="86"/>
      <c r="F3826" s="14"/>
    </row>
    <row r="3827" spans="1:6" x14ac:dyDescent="0.25">
      <c r="A3827" s="86">
        <v>3826</v>
      </c>
      <c r="B3827" s="87">
        <v>35.550192473572679</v>
      </c>
      <c r="C3827" s="14">
        <v>3</v>
      </c>
      <c r="D3827" s="86">
        <v>0.87263478555459262</v>
      </c>
      <c r="E3827" s="86"/>
      <c r="F3827" s="14"/>
    </row>
    <row r="3828" spans="1:6" x14ac:dyDescent="0.25">
      <c r="A3828" s="86">
        <v>3827</v>
      </c>
      <c r="B3828" s="87">
        <v>46.334491793793859</v>
      </c>
      <c r="C3828" s="14">
        <v>4</v>
      </c>
      <c r="D3828" s="86">
        <v>0.20433008789071383</v>
      </c>
      <c r="E3828" s="86"/>
      <c r="F3828" s="14"/>
    </row>
    <row r="3829" spans="1:6" x14ac:dyDescent="0.25">
      <c r="A3829" s="86">
        <v>3828</v>
      </c>
      <c r="B3829" s="87">
        <v>49.74062903271988</v>
      </c>
      <c r="C3829" s="14">
        <v>2</v>
      </c>
      <c r="D3829" s="86">
        <v>0.50902284551819565</v>
      </c>
      <c r="E3829" s="86"/>
      <c r="F3829" s="14"/>
    </row>
    <row r="3830" spans="1:6" x14ac:dyDescent="0.25">
      <c r="A3830" s="86">
        <v>3829</v>
      </c>
      <c r="B3830" s="87">
        <v>35.82647422660375</v>
      </c>
      <c r="C3830" s="14">
        <v>2</v>
      </c>
      <c r="D3830" s="86">
        <v>0.72812438146044156</v>
      </c>
      <c r="E3830" s="86"/>
      <c r="F3830" s="14"/>
    </row>
    <row r="3831" spans="1:6" x14ac:dyDescent="0.25">
      <c r="A3831" s="86">
        <v>3830</v>
      </c>
      <c r="B3831" s="87">
        <v>40.832787812512834</v>
      </c>
      <c r="C3831" s="14">
        <v>3</v>
      </c>
      <c r="D3831" s="86">
        <v>0.83351820515412411</v>
      </c>
      <c r="E3831" s="86"/>
      <c r="F3831" s="14"/>
    </row>
    <row r="3832" spans="1:6" x14ac:dyDescent="0.25">
      <c r="A3832" s="86">
        <v>3831</v>
      </c>
      <c r="B3832" s="87">
        <v>45.102274265780579</v>
      </c>
      <c r="C3832" s="14">
        <v>4</v>
      </c>
      <c r="D3832" s="86">
        <v>0.91439535527843685</v>
      </c>
      <c r="E3832" s="86"/>
      <c r="F3832" s="14"/>
    </row>
    <row r="3833" spans="1:6" x14ac:dyDescent="0.25">
      <c r="A3833" s="86">
        <v>3832</v>
      </c>
      <c r="B3833" s="87">
        <v>47.512116902333219</v>
      </c>
      <c r="C3833" s="14">
        <v>2</v>
      </c>
      <c r="D3833" s="86">
        <v>0.74402267137438005</v>
      </c>
      <c r="E3833" s="86"/>
      <c r="F3833" s="14"/>
    </row>
    <row r="3834" spans="1:6" x14ac:dyDescent="0.25">
      <c r="A3834" s="86">
        <v>3833</v>
      </c>
      <c r="B3834" s="87">
        <v>35.949551597121172</v>
      </c>
      <c r="C3834" s="14">
        <v>4</v>
      </c>
      <c r="D3834" s="86">
        <v>0.15067124449761071</v>
      </c>
      <c r="E3834" s="86"/>
      <c r="F3834" s="14"/>
    </row>
    <row r="3835" spans="1:6" x14ac:dyDescent="0.25">
      <c r="A3835" s="86">
        <v>3834</v>
      </c>
      <c r="B3835" s="87">
        <v>37.624806731735589</v>
      </c>
      <c r="C3835" s="14">
        <v>4</v>
      </c>
      <c r="D3835" s="86">
        <v>0.67851424007348693</v>
      </c>
      <c r="E3835" s="86"/>
      <c r="F3835" s="14"/>
    </row>
    <row r="3836" spans="1:6" x14ac:dyDescent="0.25">
      <c r="A3836" s="86">
        <v>3835</v>
      </c>
      <c r="B3836" s="87">
        <v>48.021274773753248</v>
      </c>
      <c r="C3836" s="14">
        <v>2</v>
      </c>
      <c r="D3836" s="86">
        <v>0.52450381666091728</v>
      </c>
      <c r="E3836" s="86"/>
      <c r="F3836" s="14"/>
    </row>
    <row r="3837" spans="1:6" x14ac:dyDescent="0.25">
      <c r="A3837" s="86">
        <v>3836</v>
      </c>
      <c r="B3837" s="87">
        <v>39.888220721302787</v>
      </c>
      <c r="C3837" s="14">
        <v>2</v>
      </c>
      <c r="D3837" s="86">
        <v>0.14013808332698929</v>
      </c>
      <c r="E3837" s="86"/>
      <c r="F3837" s="14"/>
    </row>
    <row r="3838" spans="1:6" x14ac:dyDescent="0.25">
      <c r="A3838" s="86">
        <v>3837</v>
      </c>
      <c r="B3838" s="87">
        <v>40.969382548035355</v>
      </c>
      <c r="C3838" s="14">
        <v>4</v>
      </c>
      <c r="D3838" s="86">
        <v>0.64852456177389073</v>
      </c>
      <c r="E3838" s="86"/>
      <c r="F3838" s="14"/>
    </row>
    <row r="3839" spans="1:6" x14ac:dyDescent="0.25">
      <c r="A3839" s="86">
        <v>3838</v>
      </c>
      <c r="B3839" s="87">
        <v>46.690422545332694</v>
      </c>
      <c r="C3839" s="14">
        <v>2</v>
      </c>
      <c r="D3839" s="86">
        <v>9.3499600003422501E-2</v>
      </c>
      <c r="E3839" s="86"/>
      <c r="F3839" s="14"/>
    </row>
    <row r="3840" spans="1:6" x14ac:dyDescent="0.25">
      <c r="A3840" s="86">
        <v>3839</v>
      </c>
      <c r="B3840" s="87">
        <v>50.163885129557457</v>
      </c>
      <c r="C3840" s="14">
        <v>4</v>
      </c>
      <c r="D3840" s="86">
        <v>9.9492264434188571E-2</v>
      </c>
      <c r="E3840" s="86"/>
      <c r="F3840" s="14"/>
    </row>
    <row r="3841" spans="1:6" x14ac:dyDescent="0.25">
      <c r="A3841" s="86">
        <v>3840</v>
      </c>
      <c r="B3841" s="87">
        <v>42.469446265720762</v>
      </c>
      <c r="C3841" s="14">
        <v>2</v>
      </c>
      <c r="D3841" s="86">
        <v>0.530996883616628</v>
      </c>
      <c r="E3841" s="86"/>
      <c r="F3841" s="14"/>
    </row>
    <row r="3842" spans="1:6" x14ac:dyDescent="0.25">
      <c r="A3842" s="86">
        <v>3841</v>
      </c>
      <c r="B3842" s="87">
        <v>42.351200585806509</v>
      </c>
      <c r="C3842" s="14">
        <v>1</v>
      </c>
      <c r="D3842" s="86">
        <v>0.95592988386096522</v>
      </c>
      <c r="E3842" s="86"/>
      <c r="F3842" s="14"/>
    </row>
    <row r="3843" spans="1:6" x14ac:dyDescent="0.25">
      <c r="A3843" s="86">
        <v>3842</v>
      </c>
      <c r="B3843" s="87">
        <v>42.453285681738635</v>
      </c>
      <c r="C3843" s="14">
        <v>4</v>
      </c>
      <c r="D3843" s="86">
        <v>2.7808660469030189E-2</v>
      </c>
      <c r="E3843" s="86"/>
      <c r="F3843" s="14"/>
    </row>
    <row r="3844" spans="1:6" x14ac:dyDescent="0.25">
      <c r="A3844" s="86">
        <v>3843</v>
      </c>
      <c r="B3844" s="87">
        <v>46.008449311892036</v>
      </c>
      <c r="C3844" s="14">
        <v>3</v>
      </c>
      <c r="D3844" s="86">
        <v>0.62481105476762389</v>
      </c>
      <c r="E3844" s="86"/>
      <c r="F3844" s="14"/>
    </row>
    <row r="3845" spans="1:6" x14ac:dyDescent="0.25">
      <c r="A3845" s="86">
        <v>3844</v>
      </c>
      <c r="B3845" s="87">
        <v>47.829280442208983</v>
      </c>
      <c r="C3845" s="14">
        <v>5</v>
      </c>
      <c r="D3845" s="86">
        <v>0.69369459726130001</v>
      </c>
      <c r="E3845" s="86"/>
      <c r="F3845" s="14"/>
    </row>
    <row r="3846" spans="1:6" x14ac:dyDescent="0.25">
      <c r="A3846" s="86">
        <v>3845</v>
      </c>
      <c r="B3846" s="87">
        <v>48.62022250960581</v>
      </c>
      <c r="C3846" s="14">
        <v>3</v>
      </c>
      <c r="D3846" s="86">
        <v>0.17344753835386817</v>
      </c>
      <c r="E3846" s="86"/>
      <c r="F3846" s="14"/>
    </row>
    <row r="3847" spans="1:6" x14ac:dyDescent="0.25">
      <c r="A3847" s="86">
        <v>3846</v>
      </c>
      <c r="B3847" s="87">
        <v>48.760557542089373</v>
      </c>
      <c r="C3847" s="14">
        <v>4</v>
      </c>
      <c r="D3847" s="86">
        <v>0.30381166575557761</v>
      </c>
      <c r="E3847" s="86"/>
      <c r="F3847" s="14"/>
    </row>
    <row r="3848" spans="1:6" x14ac:dyDescent="0.25">
      <c r="A3848" s="86">
        <v>3847</v>
      </c>
      <c r="B3848" s="87">
        <v>42.447902609972516</v>
      </c>
      <c r="C3848" s="14">
        <v>1</v>
      </c>
      <c r="D3848" s="86">
        <v>0.63630416435033232</v>
      </c>
      <c r="E3848" s="86"/>
      <c r="F3848" s="14"/>
    </row>
    <row r="3849" spans="1:6" x14ac:dyDescent="0.25">
      <c r="A3849" s="86">
        <v>3848</v>
      </c>
      <c r="B3849" s="87">
        <v>44.070884536602534</v>
      </c>
      <c r="C3849" s="14">
        <v>2</v>
      </c>
      <c r="D3849" s="86">
        <v>0.58561201497393722</v>
      </c>
      <c r="E3849" s="86"/>
      <c r="F3849" s="14"/>
    </row>
    <row r="3850" spans="1:6" x14ac:dyDescent="0.25">
      <c r="A3850" s="86">
        <v>3849</v>
      </c>
      <c r="B3850" s="87">
        <v>36.283017829526216</v>
      </c>
      <c r="C3850" s="14">
        <v>2</v>
      </c>
      <c r="D3850" s="86">
        <v>0.69100322564303629</v>
      </c>
      <c r="E3850" s="86"/>
      <c r="F3850" s="14"/>
    </row>
    <row r="3851" spans="1:6" x14ac:dyDescent="0.25">
      <c r="A3851" s="86">
        <v>3850</v>
      </c>
      <c r="B3851" s="87">
        <v>49.176185252115829</v>
      </c>
      <c r="C3851" s="14">
        <v>2</v>
      </c>
      <c r="D3851" s="86">
        <v>0.31728659450013397</v>
      </c>
      <c r="E3851" s="86"/>
      <c r="F3851" s="14"/>
    </row>
    <row r="3852" spans="1:6" x14ac:dyDescent="0.25">
      <c r="A3852" s="86">
        <v>3851</v>
      </c>
      <c r="B3852" s="87">
        <v>35.510493029840291</v>
      </c>
      <c r="C3852" s="14">
        <v>2</v>
      </c>
      <c r="D3852" s="86">
        <v>0.71334774587579708</v>
      </c>
      <c r="E3852" s="86"/>
      <c r="F3852" s="14"/>
    </row>
    <row r="3853" spans="1:6" x14ac:dyDescent="0.25">
      <c r="A3853" s="86">
        <v>3852</v>
      </c>
      <c r="B3853" s="87">
        <v>45.676620169950183</v>
      </c>
      <c r="C3853" s="14">
        <v>5</v>
      </c>
      <c r="D3853" s="86">
        <v>0.9133899178752577</v>
      </c>
      <c r="E3853" s="86"/>
      <c r="F3853" s="14"/>
    </row>
    <row r="3854" spans="1:6" x14ac:dyDescent="0.25">
      <c r="A3854" s="86">
        <v>3853</v>
      </c>
      <c r="B3854" s="87">
        <v>36.011033438961022</v>
      </c>
      <c r="C3854" s="14">
        <v>4</v>
      </c>
      <c r="D3854" s="86">
        <v>0.79006078771898236</v>
      </c>
      <c r="E3854" s="86"/>
      <c r="F3854" s="14"/>
    </row>
    <row r="3855" spans="1:6" x14ac:dyDescent="0.25">
      <c r="A3855" s="86">
        <v>3854</v>
      </c>
      <c r="B3855" s="87">
        <v>39.727837014987017</v>
      </c>
      <c r="C3855" s="14">
        <v>3</v>
      </c>
      <c r="D3855" s="86">
        <v>0.44645396437673712</v>
      </c>
      <c r="E3855" s="86"/>
      <c r="F3855" s="14"/>
    </row>
    <row r="3856" spans="1:6" x14ac:dyDescent="0.25">
      <c r="A3856" s="86">
        <v>3855</v>
      </c>
      <c r="B3856" s="87">
        <v>47.217054083710536</v>
      </c>
      <c r="C3856" s="14">
        <v>2</v>
      </c>
      <c r="D3856" s="86">
        <v>0.76074410001151838</v>
      </c>
      <c r="E3856" s="86"/>
      <c r="F3856" s="14"/>
    </row>
    <row r="3857" spans="1:6" x14ac:dyDescent="0.25">
      <c r="A3857" s="86">
        <v>3856</v>
      </c>
      <c r="B3857" s="87">
        <v>42.787462456879439</v>
      </c>
      <c r="C3857" s="14">
        <v>2</v>
      </c>
      <c r="D3857" s="86">
        <v>0.52746588817662154</v>
      </c>
      <c r="E3857" s="86"/>
      <c r="F3857" s="14"/>
    </row>
    <row r="3858" spans="1:6" x14ac:dyDescent="0.25">
      <c r="A3858" s="86">
        <v>3857</v>
      </c>
      <c r="B3858" s="87">
        <v>41.943980017429567</v>
      </c>
      <c r="C3858" s="14">
        <v>4</v>
      </c>
      <c r="D3858" s="86">
        <v>0.39366084271233348</v>
      </c>
      <c r="E3858" s="86"/>
      <c r="F3858" s="14"/>
    </row>
    <row r="3859" spans="1:6" x14ac:dyDescent="0.25">
      <c r="A3859" s="86">
        <v>3858</v>
      </c>
      <c r="B3859" s="87">
        <v>41.70329929763102</v>
      </c>
      <c r="C3859" s="14">
        <v>3</v>
      </c>
      <c r="D3859" s="86">
        <v>0.42831155444103519</v>
      </c>
      <c r="E3859" s="86"/>
      <c r="F3859" s="14"/>
    </row>
    <row r="3860" spans="1:6" x14ac:dyDescent="0.25">
      <c r="A3860" s="86">
        <v>3859</v>
      </c>
      <c r="B3860" s="87">
        <v>42.212843704299303</v>
      </c>
      <c r="C3860" s="14">
        <v>2</v>
      </c>
      <c r="D3860" s="86">
        <v>0.54145179904672747</v>
      </c>
      <c r="E3860" s="86"/>
      <c r="F3860" s="14"/>
    </row>
    <row r="3861" spans="1:6" x14ac:dyDescent="0.25">
      <c r="A3861" s="86">
        <v>3860</v>
      </c>
      <c r="B3861" s="87">
        <v>48.97843836658285</v>
      </c>
      <c r="C3861" s="14">
        <v>2</v>
      </c>
      <c r="D3861" s="86">
        <v>0.10268215547125348</v>
      </c>
      <c r="E3861" s="86"/>
      <c r="F3861" s="14"/>
    </row>
    <row r="3862" spans="1:6" x14ac:dyDescent="0.25">
      <c r="A3862" s="86">
        <v>3861</v>
      </c>
      <c r="B3862" s="87">
        <v>47.122819063923089</v>
      </c>
      <c r="C3862" s="14">
        <v>4</v>
      </c>
      <c r="D3862" s="86">
        <v>0.96144158647910616</v>
      </c>
      <c r="E3862" s="86"/>
      <c r="F3862" s="14"/>
    </row>
    <row r="3863" spans="1:6" x14ac:dyDescent="0.25">
      <c r="A3863" s="86">
        <v>3862</v>
      </c>
      <c r="B3863" s="87">
        <v>51.911229087971151</v>
      </c>
      <c r="C3863" s="14">
        <v>4</v>
      </c>
      <c r="D3863" s="86">
        <v>4.9061614703284739E-2</v>
      </c>
      <c r="E3863" s="86"/>
      <c r="F3863" s="14"/>
    </row>
    <row r="3864" spans="1:6" x14ac:dyDescent="0.25">
      <c r="A3864" s="86">
        <v>3863</v>
      </c>
      <c r="B3864" s="87">
        <v>40.327790879353415</v>
      </c>
      <c r="C3864" s="14">
        <v>2</v>
      </c>
      <c r="D3864" s="86">
        <v>0.89419342962490489</v>
      </c>
      <c r="E3864" s="86"/>
      <c r="F3864" s="14"/>
    </row>
    <row r="3865" spans="1:6" x14ac:dyDescent="0.25">
      <c r="A3865" s="86">
        <v>3864</v>
      </c>
      <c r="B3865" s="87">
        <v>45.204672000516439</v>
      </c>
      <c r="C3865" s="14">
        <v>4</v>
      </c>
      <c r="D3865" s="86">
        <v>0.45133978924146378</v>
      </c>
      <c r="E3865" s="86"/>
      <c r="F3865" s="14"/>
    </row>
    <row r="3866" spans="1:6" x14ac:dyDescent="0.25">
      <c r="A3866" s="86">
        <v>3865</v>
      </c>
      <c r="B3866" s="87">
        <v>39.928045220556669</v>
      </c>
      <c r="C3866" s="14">
        <v>2</v>
      </c>
      <c r="D3866" s="86">
        <v>0.4301973758943668</v>
      </c>
      <c r="E3866" s="86"/>
      <c r="F3866" s="14"/>
    </row>
    <row r="3867" spans="1:6" x14ac:dyDescent="0.25">
      <c r="A3867" s="86">
        <v>3866</v>
      </c>
      <c r="B3867" s="87">
        <v>39.91464154238929</v>
      </c>
      <c r="C3867" s="14">
        <v>4</v>
      </c>
      <c r="D3867" s="86">
        <v>0.77167960765741472</v>
      </c>
      <c r="E3867" s="86"/>
      <c r="F3867" s="14"/>
    </row>
    <row r="3868" spans="1:6" x14ac:dyDescent="0.25">
      <c r="A3868" s="86">
        <v>3867</v>
      </c>
      <c r="B3868" s="87">
        <v>43.078989614848979</v>
      </c>
      <c r="C3868" s="14">
        <v>2</v>
      </c>
      <c r="D3868" s="86">
        <v>0.85809506590819429</v>
      </c>
      <c r="E3868" s="86"/>
      <c r="F3868" s="14"/>
    </row>
    <row r="3869" spans="1:6" x14ac:dyDescent="0.25">
      <c r="A3869" s="86">
        <v>3868</v>
      </c>
      <c r="B3869" s="87">
        <v>45.832882728398545</v>
      </c>
      <c r="C3869" s="14">
        <v>1</v>
      </c>
      <c r="D3869" s="86">
        <v>5.6780225408063378E-2</v>
      </c>
      <c r="E3869" s="86"/>
      <c r="F3869" s="14"/>
    </row>
    <row r="3870" spans="1:6" x14ac:dyDescent="0.25">
      <c r="A3870" s="86">
        <v>3869</v>
      </c>
      <c r="B3870" s="87">
        <v>51.066194823186379</v>
      </c>
      <c r="C3870" s="14">
        <v>2</v>
      </c>
      <c r="D3870" s="86">
        <v>0.43919947898196576</v>
      </c>
      <c r="E3870" s="86"/>
      <c r="F3870" s="14"/>
    </row>
    <row r="3871" spans="1:6" x14ac:dyDescent="0.25">
      <c r="A3871" s="86">
        <v>3870</v>
      </c>
      <c r="B3871" s="87">
        <v>40.637826254504034</v>
      </c>
      <c r="C3871" s="14">
        <v>3</v>
      </c>
      <c r="D3871" s="86">
        <v>9.6712650338964812E-2</v>
      </c>
      <c r="E3871" s="86"/>
      <c r="F3871" s="14"/>
    </row>
    <row r="3872" spans="1:6" x14ac:dyDescent="0.25">
      <c r="A3872" s="86">
        <v>3871</v>
      </c>
      <c r="B3872" s="87">
        <v>44.068144683813443</v>
      </c>
      <c r="C3872" s="14">
        <v>5</v>
      </c>
      <c r="D3872" s="86">
        <v>0.37369856527654277</v>
      </c>
      <c r="E3872" s="86"/>
      <c r="F3872" s="14"/>
    </row>
    <row r="3873" spans="1:6" x14ac:dyDescent="0.25">
      <c r="A3873" s="86">
        <v>3872</v>
      </c>
      <c r="B3873" s="87">
        <v>41.545189328069682</v>
      </c>
      <c r="C3873" s="14">
        <v>5</v>
      </c>
      <c r="D3873" s="86">
        <v>8.9875575063052104E-2</v>
      </c>
      <c r="E3873" s="86"/>
      <c r="F3873" s="14"/>
    </row>
    <row r="3874" spans="1:6" x14ac:dyDescent="0.25">
      <c r="A3874" s="86">
        <v>3873</v>
      </c>
      <c r="B3874" s="87">
        <v>42.401313743874198</v>
      </c>
      <c r="C3874" s="14">
        <v>4</v>
      </c>
      <c r="D3874" s="86">
        <v>0.80835611005195451</v>
      </c>
      <c r="E3874" s="86"/>
      <c r="F3874" s="14"/>
    </row>
    <row r="3875" spans="1:6" x14ac:dyDescent="0.25">
      <c r="A3875" s="86">
        <v>3874</v>
      </c>
      <c r="B3875" s="87">
        <v>43.448687842435902</v>
      </c>
      <c r="C3875" s="14">
        <v>4</v>
      </c>
      <c r="D3875" s="86">
        <v>0.73990470986291335</v>
      </c>
      <c r="E3875" s="86"/>
      <c r="F3875" s="14"/>
    </row>
    <row r="3876" spans="1:6" x14ac:dyDescent="0.25">
      <c r="A3876" s="86">
        <v>3875</v>
      </c>
      <c r="B3876" s="87">
        <v>48.3001372180006</v>
      </c>
      <c r="C3876" s="14">
        <v>3</v>
      </c>
      <c r="D3876" s="86">
        <v>0.65300349244324118</v>
      </c>
      <c r="E3876" s="86"/>
      <c r="F3876" s="14"/>
    </row>
    <row r="3877" spans="1:6" x14ac:dyDescent="0.25">
      <c r="A3877" s="86">
        <v>3876</v>
      </c>
      <c r="B3877" s="87">
        <v>42.024419139459496</v>
      </c>
      <c r="C3877" s="14">
        <v>3</v>
      </c>
      <c r="D3877" s="86">
        <v>0.34247216437034778</v>
      </c>
      <c r="E3877" s="86"/>
      <c r="F3877" s="14"/>
    </row>
    <row r="3878" spans="1:6" x14ac:dyDescent="0.25">
      <c r="A3878" s="86">
        <v>3877</v>
      </c>
      <c r="B3878" s="87">
        <v>50.564312909380533</v>
      </c>
      <c r="C3878" s="14">
        <v>2</v>
      </c>
      <c r="D3878" s="86">
        <v>0.85912530376325491</v>
      </c>
      <c r="E3878" s="86"/>
      <c r="F3878" s="14"/>
    </row>
    <row r="3879" spans="1:6" x14ac:dyDescent="0.25">
      <c r="A3879" s="86">
        <v>3878</v>
      </c>
      <c r="B3879" s="87">
        <v>48.856691132066771</v>
      </c>
      <c r="C3879" s="14">
        <v>4</v>
      </c>
      <c r="D3879" s="86">
        <v>0.67958198809121706</v>
      </c>
      <c r="E3879" s="86"/>
      <c r="F3879" s="14"/>
    </row>
    <row r="3880" spans="1:6" x14ac:dyDescent="0.25">
      <c r="A3880" s="86">
        <v>3879</v>
      </c>
      <c r="B3880" s="87">
        <v>46.147135885228636</v>
      </c>
      <c r="C3880" s="14">
        <v>2</v>
      </c>
      <c r="D3880" s="86">
        <v>0.74034887169373464</v>
      </c>
      <c r="E3880" s="86"/>
      <c r="F3880" s="14"/>
    </row>
    <row r="3881" spans="1:6" x14ac:dyDescent="0.25">
      <c r="A3881" s="86">
        <v>3880</v>
      </c>
      <c r="B3881" s="87">
        <v>38.816153841587948</v>
      </c>
      <c r="C3881" s="14">
        <v>2</v>
      </c>
      <c r="D3881" s="86">
        <v>0.42583972863184172</v>
      </c>
      <c r="E3881" s="86"/>
      <c r="F3881" s="14"/>
    </row>
    <row r="3882" spans="1:6" x14ac:dyDescent="0.25">
      <c r="A3882" s="86">
        <v>3881</v>
      </c>
      <c r="B3882" s="87">
        <v>49.158177257020725</v>
      </c>
      <c r="C3882" s="14">
        <v>1</v>
      </c>
      <c r="D3882" s="86">
        <v>0.40288662020899824</v>
      </c>
      <c r="E3882" s="86"/>
      <c r="F3882" s="14"/>
    </row>
    <row r="3883" spans="1:6" x14ac:dyDescent="0.25">
      <c r="A3883" s="86">
        <v>3882</v>
      </c>
      <c r="B3883" s="87">
        <v>42.842577835806878</v>
      </c>
      <c r="C3883" s="14">
        <v>4</v>
      </c>
      <c r="D3883" s="86">
        <v>0.19558150487256698</v>
      </c>
      <c r="E3883" s="86"/>
      <c r="F3883" s="14"/>
    </row>
    <row r="3884" spans="1:6" x14ac:dyDescent="0.25">
      <c r="A3884" s="86">
        <v>3883</v>
      </c>
      <c r="B3884" s="87">
        <v>41.997503780628904</v>
      </c>
      <c r="C3884" s="14">
        <v>4</v>
      </c>
      <c r="D3884" s="86">
        <v>0.28896151086831612</v>
      </c>
      <c r="E3884" s="86"/>
      <c r="F3884" s="14"/>
    </row>
    <row r="3885" spans="1:6" x14ac:dyDescent="0.25">
      <c r="A3885" s="86">
        <v>3884</v>
      </c>
      <c r="B3885" s="87">
        <v>47.184391855233116</v>
      </c>
      <c r="C3885" s="14">
        <v>2</v>
      </c>
      <c r="D3885" s="86">
        <v>0.99685258917269659</v>
      </c>
      <c r="E3885" s="86"/>
      <c r="F3885" s="14"/>
    </row>
    <row r="3886" spans="1:6" x14ac:dyDescent="0.25">
      <c r="A3886" s="86">
        <v>3885</v>
      </c>
      <c r="B3886" s="87">
        <v>44.217745193571318</v>
      </c>
      <c r="C3886" s="14">
        <v>1</v>
      </c>
      <c r="D3886" s="86">
        <v>0.8845195705409814</v>
      </c>
      <c r="E3886" s="86"/>
      <c r="F3886" s="14"/>
    </row>
    <row r="3887" spans="1:6" x14ac:dyDescent="0.25">
      <c r="A3887" s="86">
        <v>3886</v>
      </c>
      <c r="B3887" s="87">
        <v>43.186889792530565</v>
      </c>
      <c r="C3887" s="14">
        <v>1</v>
      </c>
      <c r="D3887" s="86">
        <v>0.19109495598185744</v>
      </c>
      <c r="E3887" s="86"/>
      <c r="F3887" s="14"/>
    </row>
    <row r="3888" spans="1:6" x14ac:dyDescent="0.25">
      <c r="A3888" s="86">
        <v>3887</v>
      </c>
      <c r="B3888" s="87">
        <v>29.777038429863751</v>
      </c>
      <c r="C3888" s="14">
        <v>2</v>
      </c>
      <c r="D3888" s="86">
        <v>0.33105843422357284</v>
      </c>
      <c r="E3888" s="86"/>
      <c r="F3888" s="14"/>
    </row>
    <row r="3889" spans="1:6" x14ac:dyDescent="0.25">
      <c r="A3889" s="86">
        <v>3888</v>
      </c>
      <c r="B3889" s="87">
        <v>46.581305918487487</v>
      </c>
      <c r="C3889" s="14">
        <v>4</v>
      </c>
      <c r="D3889" s="86">
        <v>0.72100537548532539</v>
      </c>
      <c r="E3889" s="86"/>
      <c r="F3889" s="14"/>
    </row>
    <row r="3890" spans="1:6" x14ac:dyDescent="0.25">
      <c r="A3890" s="86">
        <v>3889</v>
      </c>
      <c r="B3890" s="87">
        <v>41.979933479859028</v>
      </c>
      <c r="C3890" s="14">
        <v>4</v>
      </c>
      <c r="D3890" s="86">
        <v>0.98062214347682497</v>
      </c>
      <c r="E3890" s="86"/>
      <c r="F3890" s="14"/>
    </row>
    <row r="3891" spans="1:6" x14ac:dyDescent="0.25">
      <c r="A3891" s="86">
        <v>3890</v>
      </c>
      <c r="B3891" s="87">
        <v>40.569602783187293</v>
      </c>
      <c r="C3891" s="14">
        <v>2</v>
      </c>
      <c r="D3891" s="86">
        <v>0.12508616028453368</v>
      </c>
      <c r="E3891" s="86"/>
      <c r="F3891" s="14"/>
    </row>
    <row r="3892" spans="1:6" x14ac:dyDescent="0.25">
      <c r="A3892" s="86">
        <v>3891</v>
      </c>
      <c r="B3892" s="87">
        <v>43.73105184128508</v>
      </c>
      <c r="C3892" s="14">
        <v>2</v>
      </c>
      <c r="D3892" s="86">
        <v>0.84729250077704121</v>
      </c>
      <c r="E3892" s="86"/>
      <c r="F3892" s="14"/>
    </row>
    <row r="3893" spans="1:6" x14ac:dyDescent="0.25">
      <c r="A3893" s="86">
        <v>3892</v>
      </c>
      <c r="B3893" s="87">
        <v>56.340104487724602</v>
      </c>
      <c r="C3893" s="14">
        <v>1</v>
      </c>
      <c r="D3893" s="86">
        <v>0.59759473310930822</v>
      </c>
      <c r="E3893" s="86"/>
      <c r="F3893" s="14"/>
    </row>
    <row r="3894" spans="1:6" x14ac:dyDescent="0.25">
      <c r="A3894" s="86">
        <v>3893</v>
      </c>
      <c r="B3894" s="87">
        <v>47.246055596013321</v>
      </c>
      <c r="C3894" s="14">
        <v>2</v>
      </c>
      <c r="D3894" s="86">
        <v>0.72157108866631003</v>
      </c>
      <c r="E3894" s="86"/>
      <c r="F3894" s="14"/>
    </row>
    <row r="3895" spans="1:6" x14ac:dyDescent="0.25">
      <c r="A3895" s="86">
        <v>3894</v>
      </c>
      <c r="B3895" s="87">
        <v>44.466383992010378</v>
      </c>
      <c r="C3895" s="14">
        <v>1</v>
      </c>
      <c r="D3895" s="86">
        <v>0.16662064040532054</v>
      </c>
      <c r="E3895" s="86"/>
      <c r="F3895" s="14"/>
    </row>
    <row r="3896" spans="1:6" x14ac:dyDescent="0.25">
      <c r="A3896" s="86">
        <v>3895</v>
      </c>
      <c r="B3896" s="87">
        <v>38.943983321922133</v>
      </c>
      <c r="C3896" s="14">
        <v>4</v>
      </c>
      <c r="D3896" s="86">
        <v>0.1890198100746171</v>
      </c>
      <c r="E3896" s="86"/>
      <c r="F3896" s="14"/>
    </row>
    <row r="3897" spans="1:6" x14ac:dyDescent="0.25">
      <c r="A3897" s="86">
        <v>3896</v>
      </c>
      <c r="B3897" s="87">
        <v>44.947819328051992</v>
      </c>
      <c r="C3897" s="14">
        <v>4</v>
      </c>
      <c r="D3897" s="86">
        <v>0.79976918468141156</v>
      </c>
      <c r="E3897" s="86"/>
      <c r="F3897" s="14"/>
    </row>
    <row r="3898" spans="1:6" x14ac:dyDescent="0.25">
      <c r="A3898" s="86">
        <v>3897</v>
      </c>
      <c r="B3898" s="87">
        <v>38.589269019546919</v>
      </c>
      <c r="C3898" s="14">
        <v>2</v>
      </c>
      <c r="D3898" s="86">
        <v>0.29165450919958469</v>
      </c>
      <c r="E3898" s="86"/>
      <c r="F3898" s="14"/>
    </row>
    <row r="3899" spans="1:6" x14ac:dyDescent="0.25">
      <c r="A3899" s="86">
        <v>3898</v>
      </c>
      <c r="B3899" s="87">
        <v>48.74350451643113</v>
      </c>
      <c r="C3899" s="14">
        <v>4</v>
      </c>
      <c r="D3899" s="86">
        <v>0.22618225133524628</v>
      </c>
      <c r="E3899" s="86"/>
      <c r="F3899" s="14"/>
    </row>
    <row r="3900" spans="1:6" x14ac:dyDescent="0.25">
      <c r="A3900" s="86">
        <v>3899</v>
      </c>
      <c r="B3900" s="87">
        <v>46.161142103635939</v>
      </c>
      <c r="C3900" s="14">
        <v>5</v>
      </c>
      <c r="D3900" s="86">
        <v>0.4366504218085826</v>
      </c>
      <c r="E3900" s="86"/>
      <c r="F3900" s="14"/>
    </row>
    <row r="3901" spans="1:6" x14ac:dyDescent="0.25">
      <c r="A3901" s="86">
        <v>3900</v>
      </c>
      <c r="B3901" s="87">
        <v>42.471367573278258</v>
      </c>
      <c r="C3901" s="14">
        <v>4</v>
      </c>
      <c r="D3901" s="86">
        <v>0.54336809753989168</v>
      </c>
      <c r="E3901" s="86"/>
      <c r="F3901" s="14"/>
    </row>
    <row r="3902" spans="1:6" x14ac:dyDescent="0.25">
      <c r="A3902" s="86">
        <v>3901</v>
      </c>
      <c r="B3902" s="87">
        <v>45.355761807848467</v>
      </c>
      <c r="C3902" s="14">
        <v>5</v>
      </c>
      <c r="D3902" s="86">
        <v>3.9396809484003148E-2</v>
      </c>
      <c r="E3902" s="86"/>
      <c r="F3902" s="14"/>
    </row>
    <row r="3903" spans="1:6" x14ac:dyDescent="0.25">
      <c r="A3903" s="86">
        <v>3902</v>
      </c>
      <c r="B3903" s="87">
        <v>42.032212372185313</v>
      </c>
      <c r="C3903" s="14">
        <v>2</v>
      </c>
      <c r="D3903" s="86">
        <v>0.18146422266036422</v>
      </c>
      <c r="E3903" s="86"/>
      <c r="F3903" s="14"/>
    </row>
    <row r="3904" spans="1:6" x14ac:dyDescent="0.25">
      <c r="A3904" s="86">
        <v>3903</v>
      </c>
      <c r="B3904" s="87">
        <v>46.127115633105859</v>
      </c>
      <c r="C3904" s="14">
        <v>2</v>
      </c>
      <c r="D3904" s="86">
        <v>0.5192030893840498</v>
      </c>
      <c r="E3904" s="86"/>
      <c r="F3904" s="14"/>
    </row>
    <row r="3905" spans="1:6" x14ac:dyDescent="0.25">
      <c r="A3905" s="86">
        <v>3904</v>
      </c>
      <c r="B3905" s="87">
        <v>41.363028907988337</v>
      </c>
      <c r="C3905" s="14">
        <v>3</v>
      </c>
      <c r="D3905" s="86">
        <v>0.27206905743410681</v>
      </c>
      <c r="E3905" s="86"/>
      <c r="F3905" s="14"/>
    </row>
    <row r="3906" spans="1:6" x14ac:dyDescent="0.25">
      <c r="A3906" s="86">
        <v>3905</v>
      </c>
      <c r="B3906" s="87">
        <v>45.694741851883009</v>
      </c>
      <c r="C3906" s="14">
        <v>4</v>
      </c>
      <c r="D3906" s="86">
        <v>4.2320250487295596E-2</v>
      </c>
      <c r="E3906" s="86"/>
      <c r="F3906" s="14"/>
    </row>
    <row r="3907" spans="1:6" x14ac:dyDescent="0.25">
      <c r="A3907" s="86">
        <v>3906</v>
      </c>
      <c r="B3907" s="87">
        <v>44.23311565403128</v>
      </c>
      <c r="C3907" s="14">
        <v>2</v>
      </c>
      <c r="D3907" s="86">
        <v>0.10129560015428596</v>
      </c>
      <c r="E3907" s="86"/>
      <c r="F3907" s="14"/>
    </row>
    <row r="3908" spans="1:6" x14ac:dyDescent="0.25">
      <c r="A3908" s="86">
        <v>3907</v>
      </c>
      <c r="B3908" s="87">
        <v>48.225592758506536</v>
      </c>
      <c r="C3908" s="14">
        <v>4</v>
      </c>
      <c r="D3908" s="86">
        <v>0.81325350544106922</v>
      </c>
      <c r="E3908" s="86"/>
      <c r="F3908" s="14"/>
    </row>
    <row r="3909" spans="1:6" x14ac:dyDescent="0.25">
      <c r="A3909" s="86">
        <v>3908</v>
      </c>
      <c r="B3909" s="87">
        <v>52.167979442281649</v>
      </c>
      <c r="C3909" s="14">
        <v>2</v>
      </c>
      <c r="D3909" s="86">
        <v>0.49925197661598997</v>
      </c>
      <c r="E3909" s="86"/>
      <c r="F3909" s="14"/>
    </row>
    <row r="3910" spans="1:6" x14ac:dyDescent="0.25">
      <c r="A3910" s="86">
        <v>3909</v>
      </c>
      <c r="B3910" s="87">
        <v>42.590852439723676</v>
      </c>
      <c r="C3910" s="14">
        <v>5</v>
      </c>
      <c r="D3910" s="86">
        <v>4.2952580236130133E-2</v>
      </c>
      <c r="E3910" s="86"/>
      <c r="F3910" s="14"/>
    </row>
    <row r="3911" spans="1:6" x14ac:dyDescent="0.25">
      <c r="A3911" s="86">
        <v>3910</v>
      </c>
      <c r="B3911" s="87">
        <v>42.888495949562639</v>
      </c>
      <c r="C3911" s="14">
        <v>4</v>
      </c>
      <c r="D3911" s="86">
        <v>0.67853741016233649</v>
      </c>
      <c r="E3911" s="86"/>
      <c r="F3911" s="14"/>
    </row>
    <row r="3912" spans="1:6" x14ac:dyDescent="0.25">
      <c r="A3912" s="86">
        <v>3911</v>
      </c>
      <c r="B3912" s="87">
        <v>38.061637036997126</v>
      </c>
      <c r="C3912" s="14">
        <v>2</v>
      </c>
      <c r="D3912" s="86">
        <v>0.60588186604831562</v>
      </c>
      <c r="E3912" s="86"/>
      <c r="F3912" s="14"/>
    </row>
    <row r="3913" spans="1:6" x14ac:dyDescent="0.25">
      <c r="A3913" s="86">
        <v>3912</v>
      </c>
      <c r="B3913" s="87">
        <v>42.566671249340288</v>
      </c>
      <c r="C3913" s="14">
        <v>4</v>
      </c>
      <c r="D3913" s="86">
        <v>0.64729613337356784</v>
      </c>
      <c r="E3913" s="86"/>
      <c r="F3913" s="14"/>
    </row>
    <row r="3914" spans="1:6" x14ac:dyDescent="0.25">
      <c r="A3914" s="86">
        <v>3913</v>
      </c>
      <c r="B3914" s="87">
        <v>42.824592578079319</v>
      </c>
      <c r="C3914" s="14">
        <v>5</v>
      </c>
      <c r="D3914" s="86">
        <v>0.79179437253535312</v>
      </c>
      <c r="E3914" s="86"/>
      <c r="F3914" s="14"/>
    </row>
    <row r="3915" spans="1:6" x14ac:dyDescent="0.25">
      <c r="A3915" s="86">
        <v>3914</v>
      </c>
      <c r="B3915" s="87">
        <v>42.914126647126977</v>
      </c>
      <c r="C3915" s="14">
        <v>1</v>
      </c>
      <c r="D3915" s="86">
        <v>0.9667334561064439</v>
      </c>
      <c r="E3915" s="86"/>
      <c r="F3915" s="14"/>
    </row>
    <row r="3916" spans="1:6" x14ac:dyDescent="0.25">
      <c r="A3916" s="86">
        <v>3915</v>
      </c>
      <c r="B3916" s="87">
        <v>38.255404883209849</v>
      </c>
      <c r="C3916" s="14">
        <v>2</v>
      </c>
      <c r="D3916" s="86">
        <v>0.86282629271596223</v>
      </c>
      <c r="E3916" s="86"/>
      <c r="F3916" s="14"/>
    </row>
    <row r="3917" spans="1:6" x14ac:dyDescent="0.25">
      <c r="A3917" s="86">
        <v>3916</v>
      </c>
      <c r="B3917" s="87">
        <v>47.592004643200198</v>
      </c>
      <c r="C3917" s="14">
        <v>4</v>
      </c>
      <c r="D3917" s="86">
        <v>0.88199501901386901</v>
      </c>
      <c r="E3917" s="86"/>
      <c r="F3917" s="14"/>
    </row>
    <row r="3918" spans="1:6" x14ac:dyDescent="0.25">
      <c r="A3918" s="86">
        <v>3917</v>
      </c>
      <c r="B3918" s="87">
        <v>52.572977432981133</v>
      </c>
      <c r="C3918" s="14">
        <v>4</v>
      </c>
      <c r="D3918" s="86">
        <v>0.5535259130354423</v>
      </c>
      <c r="E3918" s="86"/>
      <c r="F3918" s="14"/>
    </row>
    <row r="3919" spans="1:6" x14ac:dyDescent="0.25">
      <c r="A3919" s="86">
        <v>3918</v>
      </c>
      <c r="B3919" s="87">
        <v>39.829512838303344</v>
      </c>
      <c r="C3919" s="14">
        <v>4</v>
      </c>
      <c r="D3919" s="86">
        <v>0.20320826909669099</v>
      </c>
      <c r="E3919" s="86"/>
      <c r="F3919" s="14"/>
    </row>
    <row r="3920" spans="1:6" x14ac:dyDescent="0.25">
      <c r="A3920" s="86">
        <v>3919</v>
      </c>
      <c r="B3920" s="87">
        <v>43.276492073680856</v>
      </c>
      <c r="C3920" s="14">
        <v>4</v>
      </c>
      <c r="D3920" s="86">
        <v>0.79857707341290807</v>
      </c>
      <c r="E3920" s="86"/>
      <c r="F3920" s="14"/>
    </row>
    <row r="3921" spans="1:6" x14ac:dyDescent="0.25">
      <c r="A3921" s="86">
        <v>3920</v>
      </c>
      <c r="B3921" s="87">
        <v>46.381455826456659</v>
      </c>
      <c r="C3921" s="14">
        <v>2</v>
      </c>
      <c r="D3921" s="86">
        <v>0.55658290808152311</v>
      </c>
      <c r="E3921" s="86"/>
      <c r="F3921" s="14"/>
    </row>
    <row r="3922" spans="1:6" x14ac:dyDescent="0.25">
      <c r="A3922" s="86">
        <v>3921</v>
      </c>
      <c r="B3922" s="87">
        <v>41.053834815436858</v>
      </c>
      <c r="C3922" s="14">
        <v>2</v>
      </c>
      <c r="D3922" s="86">
        <v>0.49658821654745633</v>
      </c>
      <c r="E3922" s="86"/>
      <c r="F3922" s="14"/>
    </row>
    <row r="3923" spans="1:6" x14ac:dyDescent="0.25">
      <c r="A3923" s="86">
        <v>3922</v>
      </c>
      <c r="B3923" s="87">
        <v>40.420866293396102</v>
      </c>
      <c r="C3923" s="14">
        <v>2</v>
      </c>
      <c r="D3923" s="86">
        <v>0.99043482541224392</v>
      </c>
      <c r="E3923" s="86"/>
      <c r="F3923" s="14"/>
    </row>
    <row r="3924" spans="1:6" x14ac:dyDescent="0.25">
      <c r="A3924" s="86">
        <v>3923</v>
      </c>
      <c r="B3924" s="87">
        <v>49.322352419374511</v>
      </c>
      <c r="C3924" s="14">
        <v>5</v>
      </c>
      <c r="D3924" s="86">
        <v>0.93698784623308784</v>
      </c>
      <c r="E3924" s="86"/>
      <c r="F3924" s="14"/>
    </row>
    <row r="3925" spans="1:6" x14ac:dyDescent="0.25">
      <c r="A3925" s="86">
        <v>3924</v>
      </c>
      <c r="B3925" s="87">
        <v>37.494135080458364</v>
      </c>
      <c r="C3925" s="14">
        <v>4</v>
      </c>
      <c r="D3925" s="86">
        <v>0.9831034637711914</v>
      </c>
      <c r="E3925" s="86"/>
      <c r="F3925" s="14"/>
    </row>
    <row r="3926" spans="1:6" x14ac:dyDescent="0.25">
      <c r="A3926" s="86">
        <v>3925</v>
      </c>
      <c r="B3926" s="87">
        <v>45.37587300944142</v>
      </c>
      <c r="C3926" s="14">
        <v>2</v>
      </c>
      <c r="D3926" s="86">
        <v>0.53337658651677966</v>
      </c>
      <c r="E3926" s="86"/>
      <c r="F3926" s="14"/>
    </row>
    <row r="3927" spans="1:6" x14ac:dyDescent="0.25">
      <c r="A3927" s="86">
        <v>3926</v>
      </c>
      <c r="B3927" s="87">
        <v>46.892864697263576</v>
      </c>
      <c r="C3927" s="14">
        <v>2</v>
      </c>
      <c r="D3927" s="86">
        <v>2.8791504353545272E-2</v>
      </c>
      <c r="E3927" s="86"/>
      <c r="F3927" s="14"/>
    </row>
    <row r="3928" spans="1:6" x14ac:dyDescent="0.25">
      <c r="A3928" s="86">
        <v>3927</v>
      </c>
      <c r="B3928" s="87">
        <v>38.324549217912136</v>
      </c>
      <c r="C3928" s="14">
        <v>4</v>
      </c>
      <c r="D3928" s="86">
        <v>0.5373455965008862</v>
      </c>
      <c r="E3928" s="86"/>
      <c r="F3928" s="14"/>
    </row>
    <row r="3929" spans="1:6" x14ac:dyDescent="0.25">
      <c r="A3929" s="86">
        <v>3928</v>
      </c>
      <c r="B3929" s="87">
        <v>45.384439312663744</v>
      </c>
      <c r="C3929" s="14">
        <v>1</v>
      </c>
      <c r="D3929" s="86">
        <v>0.36135671728048058</v>
      </c>
      <c r="E3929" s="86"/>
      <c r="F3929" s="14"/>
    </row>
    <row r="3930" spans="1:6" x14ac:dyDescent="0.25">
      <c r="A3930" s="86">
        <v>3929</v>
      </c>
      <c r="B3930" s="87">
        <v>40.63483060633007</v>
      </c>
      <c r="C3930" s="14">
        <v>2</v>
      </c>
      <c r="D3930" s="86">
        <v>0.93401828485552929</v>
      </c>
      <c r="E3930" s="86"/>
      <c r="F3930" s="14"/>
    </row>
    <row r="3931" spans="1:6" x14ac:dyDescent="0.25">
      <c r="A3931" s="86">
        <v>3930</v>
      </c>
      <c r="B3931" s="87">
        <v>46.647858193289721</v>
      </c>
      <c r="C3931" s="14">
        <v>5</v>
      </c>
      <c r="D3931" s="86">
        <v>0.19689709749981243</v>
      </c>
      <c r="E3931" s="86"/>
      <c r="F3931" s="14"/>
    </row>
    <row r="3932" spans="1:6" x14ac:dyDescent="0.25">
      <c r="A3932" s="86">
        <v>3931</v>
      </c>
      <c r="B3932" s="87">
        <v>41.194186900946079</v>
      </c>
      <c r="C3932" s="14">
        <v>4</v>
      </c>
      <c r="D3932" s="86">
        <v>0.99531002495866916</v>
      </c>
      <c r="E3932" s="86"/>
      <c r="F3932" s="14"/>
    </row>
    <row r="3933" spans="1:6" x14ac:dyDescent="0.25">
      <c r="A3933" s="86">
        <v>3932</v>
      </c>
      <c r="B3933" s="87">
        <v>39.903062537967344</v>
      </c>
      <c r="C3933" s="14">
        <v>5</v>
      </c>
      <c r="D3933" s="86">
        <v>0.30988505009600631</v>
      </c>
      <c r="E3933" s="86"/>
      <c r="F3933" s="14"/>
    </row>
    <row r="3934" spans="1:6" x14ac:dyDescent="0.25">
      <c r="A3934" s="86">
        <v>3933</v>
      </c>
      <c r="B3934" s="87">
        <v>42.797415739521966</v>
      </c>
      <c r="C3934" s="14">
        <v>4</v>
      </c>
      <c r="D3934" s="86">
        <v>0.42456767483885804</v>
      </c>
      <c r="E3934" s="86"/>
      <c r="F3934" s="14"/>
    </row>
    <row r="3935" spans="1:6" x14ac:dyDescent="0.25">
      <c r="A3935" s="86">
        <v>3934</v>
      </c>
      <c r="B3935" s="87">
        <v>43.268062194663798</v>
      </c>
      <c r="C3935" s="14">
        <v>1</v>
      </c>
      <c r="D3935" s="86">
        <v>0.56202447071096284</v>
      </c>
      <c r="E3935" s="86"/>
      <c r="F3935" s="14"/>
    </row>
    <row r="3936" spans="1:6" x14ac:dyDescent="0.25">
      <c r="A3936" s="86">
        <v>3935</v>
      </c>
      <c r="B3936" s="87">
        <v>40.554959918488748</v>
      </c>
      <c r="C3936" s="14">
        <v>2</v>
      </c>
      <c r="D3936" s="86">
        <v>0.26785145197922955</v>
      </c>
      <c r="E3936" s="86"/>
      <c r="F3936" s="14"/>
    </row>
    <row r="3937" spans="1:6" x14ac:dyDescent="0.25">
      <c r="A3937" s="86">
        <v>3936</v>
      </c>
      <c r="B3937" s="87">
        <v>48.121069079905283</v>
      </c>
      <c r="C3937" s="14">
        <v>2</v>
      </c>
      <c r="D3937" s="86">
        <v>0.76565893239046057</v>
      </c>
      <c r="E3937" s="86"/>
      <c r="F3937" s="14"/>
    </row>
    <row r="3938" spans="1:6" x14ac:dyDescent="0.25">
      <c r="A3938" s="86">
        <v>3937</v>
      </c>
      <c r="B3938" s="87">
        <v>38.103826222475618</v>
      </c>
      <c r="C3938" s="14">
        <v>2</v>
      </c>
      <c r="D3938" s="86">
        <v>0.45850326629285687</v>
      </c>
      <c r="E3938" s="86"/>
      <c r="F3938" s="14"/>
    </row>
    <row r="3939" spans="1:6" x14ac:dyDescent="0.25">
      <c r="A3939" s="86">
        <v>3938</v>
      </c>
      <c r="B3939" s="87">
        <v>32.679236023221165</v>
      </c>
      <c r="C3939" s="14">
        <v>4</v>
      </c>
      <c r="D3939" s="86">
        <v>0.41547601800731859</v>
      </c>
      <c r="E3939" s="86"/>
      <c r="F3939" s="14"/>
    </row>
    <row r="3940" spans="1:6" x14ac:dyDescent="0.25">
      <c r="A3940" s="86">
        <v>3939</v>
      </c>
      <c r="B3940" s="87">
        <v>47.800699571205769</v>
      </c>
      <c r="C3940" s="14">
        <v>4</v>
      </c>
      <c r="D3940" s="86">
        <v>0.13352215703471182</v>
      </c>
      <c r="E3940" s="86"/>
      <c r="F3940" s="14"/>
    </row>
    <row r="3941" spans="1:6" x14ac:dyDescent="0.25">
      <c r="A3941" s="86">
        <v>3940</v>
      </c>
      <c r="B3941" s="87">
        <v>41.31978811926092</v>
      </c>
      <c r="C3941" s="14">
        <v>4</v>
      </c>
      <c r="D3941" s="86">
        <v>0.62154846087494386</v>
      </c>
      <c r="E3941" s="86"/>
      <c r="F3941" s="14"/>
    </row>
    <row r="3942" spans="1:6" x14ac:dyDescent="0.25">
      <c r="A3942" s="86">
        <v>3941</v>
      </c>
      <c r="B3942" s="87">
        <v>30.589580996427685</v>
      </c>
      <c r="C3942" s="14">
        <v>5</v>
      </c>
      <c r="D3942" s="86">
        <v>0.19820482586196586</v>
      </c>
      <c r="E3942" s="86"/>
      <c r="F3942" s="14"/>
    </row>
    <row r="3943" spans="1:6" x14ac:dyDescent="0.25">
      <c r="A3943" s="86">
        <v>3942</v>
      </c>
      <c r="B3943" s="87">
        <v>40.978932242403971</v>
      </c>
      <c r="C3943" s="14">
        <v>4</v>
      </c>
      <c r="D3943" s="86">
        <v>0.16995881634612098</v>
      </c>
      <c r="E3943" s="86"/>
      <c r="F3943" s="14"/>
    </row>
    <row r="3944" spans="1:6" x14ac:dyDescent="0.25">
      <c r="A3944" s="86">
        <v>3943</v>
      </c>
      <c r="B3944" s="87">
        <v>36.247001839336008</v>
      </c>
      <c r="C3944" s="14">
        <v>4</v>
      </c>
      <c r="D3944" s="86">
        <v>0.74162639416313947</v>
      </c>
      <c r="E3944" s="86"/>
      <c r="F3944" s="14"/>
    </row>
    <row r="3945" spans="1:6" x14ac:dyDescent="0.25">
      <c r="A3945" s="86">
        <v>3944</v>
      </c>
      <c r="B3945" s="87">
        <v>43.82901010500791</v>
      </c>
      <c r="C3945" s="14">
        <v>2</v>
      </c>
      <c r="D3945" s="86">
        <v>0.33374405201995405</v>
      </c>
      <c r="E3945" s="86"/>
      <c r="F3945" s="14"/>
    </row>
    <row r="3946" spans="1:6" x14ac:dyDescent="0.25">
      <c r="A3946" s="86">
        <v>3945</v>
      </c>
      <c r="B3946" s="87">
        <v>43.737622940505389</v>
      </c>
      <c r="C3946" s="14">
        <v>2</v>
      </c>
      <c r="D3946" s="86">
        <v>8.3586520299140932E-2</v>
      </c>
      <c r="E3946" s="86"/>
      <c r="F3946" s="14"/>
    </row>
    <row r="3947" spans="1:6" x14ac:dyDescent="0.25">
      <c r="A3947" s="86">
        <v>3946</v>
      </c>
      <c r="B3947" s="87">
        <v>36.79251676145941</v>
      </c>
      <c r="C3947" s="14">
        <v>4</v>
      </c>
      <c r="D3947" s="86">
        <v>8.2387889700126671E-2</v>
      </c>
      <c r="E3947" s="86"/>
      <c r="F3947" s="14"/>
    </row>
    <row r="3948" spans="1:6" x14ac:dyDescent="0.25">
      <c r="A3948" s="86">
        <v>3947</v>
      </c>
      <c r="B3948" s="87">
        <v>52.712994142319076</v>
      </c>
      <c r="C3948" s="14">
        <v>2</v>
      </c>
      <c r="D3948" s="86">
        <v>0.59238072028548217</v>
      </c>
      <c r="E3948" s="86"/>
      <c r="F3948" s="14"/>
    </row>
    <row r="3949" spans="1:6" x14ac:dyDescent="0.25">
      <c r="A3949" s="86">
        <v>3948</v>
      </c>
      <c r="B3949" s="87">
        <v>35.075299815041944</v>
      </c>
      <c r="C3949" s="14">
        <v>1</v>
      </c>
      <c r="D3949" s="86">
        <v>0.3693198502061168</v>
      </c>
      <c r="E3949" s="86"/>
      <c r="F3949" s="14"/>
    </row>
    <row r="3950" spans="1:6" x14ac:dyDescent="0.25">
      <c r="A3950" s="86">
        <v>3949</v>
      </c>
      <c r="B3950" s="87">
        <v>44.266261051569018</v>
      </c>
      <c r="C3950" s="14">
        <v>4</v>
      </c>
      <c r="D3950" s="86">
        <v>0.35480534602810487</v>
      </c>
      <c r="E3950" s="86"/>
      <c r="F3950" s="14"/>
    </row>
    <row r="3951" spans="1:6" x14ac:dyDescent="0.25">
      <c r="A3951" s="86">
        <v>3950</v>
      </c>
      <c r="B3951" s="87">
        <v>43.985721726465272</v>
      </c>
      <c r="C3951" s="14">
        <v>4</v>
      </c>
      <c r="D3951" s="86">
        <v>0.98320489692930135</v>
      </c>
      <c r="E3951" s="86"/>
      <c r="F3951" s="14"/>
    </row>
    <row r="3952" spans="1:6" x14ac:dyDescent="0.25">
      <c r="A3952" s="86">
        <v>3951</v>
      </c>
      <c r="B3952" s="87">
        <v>41.368679143823101</v>
      </c>
      <c r="C3952" s="14">
        <v>4</v>
      </c>
      <c r="D3952" s="86">
        <v>0.82812416208156492</v>
      </c>
      <c r="E3952" s="86"/>
      <c r="F3952" s="14"/>
    </row>
    <row r="3953" spans="1:6" x14ac:dyDescent="0.25">
      <c r="A3953" s="86">
        <v>3952</v>
      </c>
      <c r="B3953" s="87">
        <v>44.818881401050021</v>
      </c>
      <c r="C3953" s="14">
        <v>2</v>
      </c>
      <c r="D3953" s="86">
        <v>0.87343057100044019</v>
      </c>
      <c r="E3953" s="86"/>
      <c r="F3953" s="14"/>
    </row>
    <row r="3954" spans="1:6" x14ac:dyDescent="0.25">
      <c r="A3954" s="86">
        <v>3953</v>
      </c>
      <c r="B3954" s="87">
        <v>48.514289114216808</v>
      </c>
      <c r="C3954" s="14">
        <v>4</v>
      </c>
      <c r="D3954" s="86">
        <v>0.5551328398861517</v>
      </c>
      <c r="E3954" s="86"/>
      <c r="F3954" s="14"/>
    </row>
    <row r="3955" spans="1:6" x14ac:dyDescent="0.25">
      <c r="A3955" s="86">
        <v>3954</v>
      </c>
      <c r="B3955" s="87">
        <v>44.726829168546828</v>
      </c>
      <c r="C3955" s="14">
        <v>4</v>
      </c>
      <c r="D3955" s="86">
        <v>1.7962120885669064E-2</v>
      </c>
      <c r="E3955" s="86"/>
      <c r="F3955" s="14"/>
    </row>
    <row r="3956" spans="1:6" x14ac:dyDescent="0.25">
      <c r="A3956" s="86">
        <v>3955</v>
      </c>
      <c r="B3956" s="87">
        <v>49.339405445032753</v>
      </c>
      <c r="C3956" s="14">
        <v>2</v>
      </c>
      <c r="D3956" s="86">
        <v>0.99347558975855454</v>
      </c>
      <c r="E3956" s="86"/>
      <c r="F3956" s="14"/>
    </row>
    <row r="3957" spans="1:6" x14ac:dyDescent="0.25">
      <c r="A3957" s="86">
        <v>3956</v>
      </c>
      <c r="B3957" s="87">
        <v>39.155634107708465</v>
      </c>
      <c r="C3957" s="14">
        <v>4</v>
      </c>
      <c r="D3957" s="86">
        <v>0.90315575928577174</v>
      </c>
      <c r="E3957" s="86"/>
      <c r="F3957" s="14"/>
    </row>
    <row r="3958" spans="1:6" x14ac:dyDescent="0.25">
      <c r="A3958" s="86">
        <v>3957</v>
      </c>
      <c r="B3958" s="87">
        <v>50.353696673817467</v>
      </c>
      <c r="C3958" s="14">
        <v>4</v>
      </c>
      <c r="D3958" s="86">
        <v>0.82286485055054748</v>
      </c>
      <c r="E3958" s="86"/>
      <c r="F3958" s="14"/>
    </row>
    <row r="3959" spans="1:6" x14ac:dyDescent="0.25">
      <c r="A3959" s="86">
        <v>3958</v>
      </c>
      <c r="B3959" s="87">
        <v>39.387487044557929</v>
      </c>
      <c r="C3959" s="14">
        <v>5</v>
      </c>
      <c r="D3959" s="86">
        <v>0.86992989299494961</v>
      </c>
      <c r="E3959" s="86"/>
      <c r="F3959" s="14"/>
    </row>
    <row r="3960" spans="1:6" x14ac:dyDescent="0.25">
      <c r="A3960" s="86">
        <v>3959</v>
      </c>
      <c r="B3960" s="87">
        <v>37.299923855578527</v>
      </c>
      <c r="C3960" s="14">
        <v>4</v>
      </c>
      <c r="D3960" s="86">
        <v>0.95487786819091236</v>
      </c>
      <c r="E3960" s="86"/>
      <c r="F3960" s="14"/>
    </row>
    <row r="3961" spans="1:6" x14ac:dyDescent="0.25">
      <c r="A3961" s="86">
        <v>3960</v>
      </c>
      <c r="B3961" s="87">
        <v>39.135557012166828</v>
      </c>
      <c r="C3961" s="14">
        <v>2</v>
      </c>
      <c r="D3961" s="86">
        <v>0.36760386510269705</v>
      </c>
      <c r="E3961" s="86"/>
      <c r="F3961" s="14"/>
    </row>
    <row r="3962" spans="1:6" x14ac:dyDescent="0.25">
      <c r="A3962" s="86">
        <v>3961</v>
      </c>
      <c r="B3962" s="87">
        <v>43.554024381926865</v>
      </c>
      <c r="C3962" s="14">
        <v>1</v>
      </c>
      <c r="D3962" s="86">
        <v>0.73821440925914572</v>
      </c>
      <c r="E3962" s="86"/>
      <c r="F3962" s="14"/>
    </row>
    <row r="3963" spans="1:6" x14ac:dyDescent="0.25">
      <c r="A3963" s="86">
        <v>3962</v>
      </c>
      <c r="B3963" s="87">
        <v>43.442162217950681</v>
      </c>
      <c r="C3963" s="14">
        <v>5</v>
      </c>
      <c r="D3963" s="86">
        <v>7.1995945256042249E-2</v>
      </c>
      <c r="E3963" s="86"/>
      <c r="F3963" s="14"/>
    </row>
    <row r="3964" spans="1:6" x14ac:dyDescent="0.25">
      <c r="A3964" s="86">
        <v>3963</v>
      </c>
      <c r="B3964" s="87">
        <v>48.331094143912196</v>
      </c>
      <c r="C3964" s="14">
        <v>2</v>
      </c>
      <c r="D3964" s="86">
        <v>0.2199723995459052</v>
      </c>
      <c r="E3964" s="86"/>
      <c r="F3964" s="14"/>
    </row>
    <row r="3965" spans="1:6" x14ac:dyDescent="0.25">
      <c r="A3965" s="86">
        <v>3964</v>
      </c>
      <c r="B3965" s="87">
        <v>51.04936917120358</v>
      </c>
      <c r="C3965" s="14">
        <v>2</v>
      </c>
      <c r="D3965" s="86">
        <v>0.98609320493838581</v>
      </c>
      <c r="E3965" s="86"/>
      <c r="F3965" s="14"/>
    </row>
    <row r="3966" spans="1:6" x14ac:dyDescent="0.25">
      <c r="A3966" s="86">
        <v>3965</v>
      </c>
      <c r="B3966" s="87">
        <v>38.764903815143043</v>
      </c>
      <c r="C3966" s="14">
        <v>2</v>
      </c>
      <c r="D3966" s="86">
        <v>0.9955219308496791</v>
      </c>
      <c r="E3966" s="86"/>
      <c r="F3966" s="14"/>
    </row>
    <row r="3967" spans="1:6" x14ac:dyDescent="0.25">
      <c r="A3967" s="86">
        <v>3966</v>
      </c>
      <c r="B3967" s="87">
        <v>40.810073182336055</v>
      </c>
      <c r="C3967" s="14">
        <v>1</v>
      </c>
      <c r="D3967" s="86">
        <v>0.67821712499219466</v>
      </c>
      <c r="E3967" s="86"/>
      <c r="F3967" s="14"/>
    </row>
    <row r="3968" spans="1:6" x14ac:dyDescent="0.25">
      <c r="A3968" s="86">
        <v>3967</v>
      </c>
      <c r="B3968" s="87">
        <v>41.930678657416138</v>
      </c>
      <c r="C3968" s="14">
        <v>5</v>
      </c>
      <c r="D3968" s="86">
        <v>0.18574047456020448</v>
      </c>
      <c r="E3968" s="86"/>
      <c r="F3968" s="14"/>
    </row>
    <row r="3969" spans="1:6" x14ac:dyDescent="0.25">
      <c r="A3969" s="86">
        <v>3968</v>
      </c>
      <c r="B3969" s="87">
        <v>46.760089839488501</v>
      </c>
      <c r="C3969" s="14">
        <v>1</v>
      </c>
      <c r="D3969" s="86">
        <v>0.2404088928618292</v>
      </c>
      <c r="E3969" s="86"/>
      <c r="F3969" s="14"/>
    </row>
    <row r="3970" spans="1:6" x14ac:dyDescent="0.25">
      <c r="A3970" s="86">
        <v>3969</v>
      </c>
      <c r="B3970" s="87">
        <v>38.646544448391069</v>
      </c>
      <c r="C3970" s="14">
        <v>4</v>
      </c>
      <c r="D3970" s="86">
        <v>0.32173706310321004</v>
      </c>
      <c r="E3970" s="86"/>
      <c r="F3970" s="14"/>
    </row>
    <row r="3971" spans="1:6" x14ac:dyDescent="0.25">
      <c r="A3971" s="86">
        <v>3970</v>
      </c>
      <c r="B3971" s="87">
        <v>51.84826931724092</v>
      </c>
      <c r="C3971" s="14">
        <v>1</v>
      </c>
      <c r="D3971" s="86">
        <v>0.99699694767677716</v>
      </c>
      <c r="E3971" s="86"/>
      <c r="F3971" s="14"/>
    </row>
    <row r="3972" spans="1:6" x14ac:dyDescent="0.25">
      <c r="A3972" s="86">
        <v>3971</v>
      </c>
      <c r="B3972" s="87">
        <v>43.827071744424757</v>
      </c>
      <c r="C3972" s="14">
        <v>2</v>
      </c>
      <c r="D3972" s="86">
        <v>0.38014263843077589</v>
      </c>
      <c r="E3972" s="86"/>
      <c r="F3972" s="14"/>
    </row>
    <row r="3973" spans="1:6" x14ac:dyDescent="0.25">
      <c r="A3973" s="86">
        <v>3972</v>
      </c>
      <c r="B3973" s="87">
        <v>43.791419552115258</v>
      </c>
      <c r="C3973" s="14">
        <v>4</v>
      </c>
      <c r="D3973" s="86">
        <v>0.22618652624893487</v>
      </c>
      <c r="E3973" s="86"/>
      <c r="F3973" s="14"/>
    </row>
    <row r="3974" spans="1:6" x14ac:dyDescent="0.25">
      <c r="A3974" s="86">
        <v>3973</v>
      </c>
      <c r="B3974" s="87">
        <v>57.286342775449157</v>
      </c>
      <c r="C3974" s="14">
        <v>3</v>
      </c>
      <c r="D3974" s="86">
        <v>0.13259336031291424</v>
      </c>
      <c r="E3974" s="86"/>
      <c r="F3974" s="14"/>
    </row>
    <row r="3975" spans="1:6" x14ac:dyDescent="0.25">
      <c r="A3975" s="86">
        <v>3974</v>
      </c>
      <c r="B3975" s="87">
        <v>41.050532212801045</v>
      </c>
      <c r="C3975" s="14">
        <v>3</v>
      </c>
      <c r="D3975" s="86">
        <v>0.21190971330927588</v>
      </c>
      <c r="E3975" s="86"/>
      <c r="F3975" s="14"/>
    </row>
    <row r="3976" spans="1:6" x14ac:dyDescent="0.25">
      <c r="A3976" s="86">
        <v>3975</v>
      </c>
      <c r="B3976" s="87">
        <v>33.259084370336495</v>
      </c>
      <c r="C3976" s="14">
        <v>4</v>
      </c>
      <c r="D3976" s="86">
        <v>0.48599392929031371</v>
      </c>
      <c r="E3976" s="86"/>
      <c r="F3976" s="14"/>
    </row>
    <row r="3977" spans="1:6" x14ac:dyDescent="0.25">
      <c r="A3977" s="86">
        <v>3976</v>
      </c>
      <c r="B3977" s="87">
        <v>39.18027004544274</v>
      </c>
      <c r="C3977" s="14">
        <v>2</v>
      </c>
      <c r="D3977" s="86">
        <v>0.95589091019648453</v>
      </c>
      <c r="E3977" s="86"/>
      <c r="F3977" s="14"/>
    </row>
    <row r="3978" spans="1:6" x14ac:dyDescent="0.25">
      <c r="A3978" s="86">
        <v>3977</v>
      </c>
      <c r="B3978" s="87">
        <v>38.772020611184416</v>
      </c>
      <c r="C3978" s="14">
        <v>1</v>
      </c>
      <c r="D3978" s="86">
        <v>0.41036245245172598</v>
      </c>
      <c r="E3978" s="86"/>
      <c r="F3978" s="14"/>
    </row>
    <row r="3979" spans="1:6" x14ac:dyDescent="0.25">
      <c r="A3979" s="86">
        <v>3978</v>
      </c>
      <c r="B3979" s="87">
        <v>40.512190930137876</v>
      </c>
      <c r="C3979" s="14">
        <v>4</v>
      </c>
      <c r="D3979" s="86">
        <v>0.93603297418858877</v>
      </c>
      <c r="E3979" s="86"/>
      <c r="F3979" s="14"/>
    </row>
    <row r="3980" spans="1:6" x14ac:dyDescent="0.25">
      <c r="A3980" s="86">
        <v>3979</v>
      </c>
      <c r="B3980" s="87">
        <v>37.580275597400032</v>
      </c>
      <c r="C3980" s="14">
        <v>3</v>
      </c>
      <c r="D3980" s="86">
        <v>0.18641154197234466</v>
      </c>
      <c r="E3980" s="86"/>
      <c r="F3980" s="14"/>
    </row>
    <row r="3981" spans="1:6" x14ac:dyDescent="0.25">
      <c r="A3981" s="86">
        <v>3980</v>
      </c>
      <c r="B3981" s="87">
        <v>47.643561624106951</v>
      </c>
      <c r="C3981" s="14">
        <v>4</v>
      </c>
      <c r="D3981" s="86">
        <v>0.30298417180482173</v>
      </c>
      <c r="E3981" s="86"/>
      <c r="F3981" s="14"/>
    </row>
    <row r="3982" spans="1:6" x14ac:dyDescent="0.25">
      <c r="A3982" s="86">
        <v>3981</v>
      </c>
      <c r="B3982" s="87">
        <v>46.80337041860912</v>
      </c>
      <c r="C3982" s="14">
        <v>2</v>
      </c>
      <c r="D3982" s="86">
        <v>0.31182034113936397</v>
      </c>
      <c r="E3982" s="86"/>
      <c r="F3982" s="14"/>
    </row>
    <row r="3983" spans="1:6" x14ac:dyDescent="0.25">
      <c r="A3983" s="86">
        <v>3982</v>
      </c>
      <c r="B3983" s="87">
        <v>47.557125521387206</v>
      </c>
      <c r="C3983" s="14">
        <v>5</v>
      </c>
      <c r="D3983" s="86">
        <v>0.60435209220068231</v>
      </c>
      <c r="E3983" s="86"/>
      <c r="F3983" s="14"/>
    </row>
    <row r="3984" spans="1:6" x14ac:dyDescent="0.25">
      <c r="A3984" s="86">
        <v>3983</v>
      </c>
      <c r="B3984" s="87">
        <v>46.040599949599709</v>
      </c>
      <c r="C3984" s="14">
        <v>5</v>
      </c>
      <c r="D3984" s="86">
        <v>0.78804154959263706</v>
      </c>
      <c r="E3984" s="86"/>
      <c r="F3984" s="14"/>
    </row>
    <row r="3985" spans="1:6" x14ac:dyDescent="0.25">
      <c r="A3985" s="86">
        <v>3984</v>
      </c>
      <c r="B3985" s="87">
        <v>38.131543073512148</v>
      </c>
      <c r="C3985" s="14">
        <v>4</v>
      </c>
      <c r="D3985" s="86">
        <v>0.84047711021524674</v>
      </c>
      <c r="E3985" s="86"/>
      <c r="F3985" s="14"/>
    </row>
    <row r="3986" spans="1:6" x14ac:dyDescent="0.25">
      <c r="A3986" s="86">
        <v>3985</v>
      </c>
      <c r="B3986" s="87">
        <v>33.936794347362593</v>
      </c>
      <c r="C3986" s="14">
        <v>2</v>
      </c>
      <c r="D3986" s="86">
        <v>0.65231894088095521</v>
      </c>
      <c r="E3986" s="86"/>
      <c r="F3986" s="14"/>
    </row>
    <row r="3987" spans="1:6" x14ac:dyDescent="0.25">
      <c r="A3987" s="86">
        <v>3986</v>
      </c>
      <c r="B3987" s="87">
        <v>41.204799567247392</v>
      </c>
      <c r="C3987" s="14">
        <v>5</v>
      </c>
      <c r="D3987" s="86">
        <v>0.80386744618787997</v>
      </c>
      <c r="E3987" s="86"/>
      <c r="F3987" s="14"/>
    </row>
    <row r="3988" spans="1:6" x14ac:dyDescent="0.25">
      <c r="A3988" s="86">
        <v>3987</v>
      </c>
      <c r="B3988" s="87">
        <v>45.059726966763264</v>
      </c>
      <c r="C3988" s="14">
        <v>4</v>
      </c>
      <c r="D3988" s="86">
        <v>0.73872894265121136</v>
      </c>
      <c r="E3988" s="86"/>
      <c r="F3988" s="14"/>
    </row>
    <row r="3989" spans="1:6" x14ac:dyDescent="0.25">
      <c r="A3989" s="86">
        <v>3988</v>
      </c>
      <c r="B3989" s="87">
        <v>38.851339917862788</v>
      </c>
      <c r="C3989" s="14">
        <v>2</v>
      </c>
      <c r="D3989" s="86">
        <v>0.19620620599634708</v>
      </c>
      <c r="E3989" s="86"/>
      <c r="F3989" s="14"/>
    </row>
    <row r="3990" spans="1:6" x14ac:dyDescent="0.25">
      <c r="A3990" s="86">
        <v>3989</v>
      </c>
      <c r="B3990" s="87">
        <v>50.803487278579269</v>
      </c>
      <c r="C3990" s="14">
        <v>5</v>
      </c>
      <c r="D3990" s="86">
        <v>0.82558997965278025</v>
      </c>
      <c r="E3990" s="86"/>
      <c r="F3990" s="14"/>
    </row>
    <row r="3991" spans="1:6" x14ac:dyDescent="0.25">
      <c r="A3991" s="86">
        <v>3990</v>
      </c>
      <c r="B3991" s="87">
        <v>33.490778145613149</v>
      </c>
      <c r="C3991" s="14">
        <v>2</v>
      </c>
      <c r="D3991" s="86">
        <v>0.21646263006609123</v>
      </c>
      <c r="E3991" s="86"/>
      <c r="F3991" s="14"/>
    </row>
    <row r="3992" spans="1:6" x14ac:dyDescent="0.25">
      <c r="A3992" s="86">
        <v>3991</v>
      </c>
      <c r="B3992" s="87">
        <v>37.893130406126147</v>
      </c>
      <c r="C3992" s="14">
        <v>5</v>
      </c>
      <c r="D3992" s="86">
        <v>0.91929884359574188</v>
      </c>
      <c r="E3992" s="86"/>
      <c r="F3992" s="14"/>
    </row>
    <row r="3993" spans="1:6" x14ac:dyDescent="0.25">
      <c r="A3993" s="86">
        <v>3992</v>
      </c>
      <c r="B3993" s="87">
        <v>39.576593730424065</v>
      </c>
      <c r="C3993" s="14">
        <v>2</v>
      </c>
      <c r="D3993" s="86">
        <v>0.93231162668827749</v>
      </c>
      <c r="E3993" s="86"/>
      <c r="F3993" s="14"/>
    </row>
    <row r="3994" spans="1:6" x14ac:dyDescent="0.25">
      <c r="A3994" s="86">
        <v>3993</v>
      </c>
      <c r="B3994" s="87">
        <v>38.031021171598695</v>
      </c>
      <c r="C3994" s="14">
        <v>5</v>
      </c>
      <c r="D3994" s="86">
        <v>3.4388933099462782E-2</v>
      </c>
      <c r="E3994" s="86"/>
      <c r="F3994" s="14"/>
    </row>
    <row r="3995" spans="1:6" x14ac:dyDescent="0.25">
      <c r="A3995" s="86">
        <v>3994</v>
      </c>
      <c r="B3995" s="87">
        <v>43.619115780864377</v>
      </c>
      <c r="C3995" s="14">
        <v>2</v>
      </c>
      <c r="D3995" s="86">
        <v>0.7698902096861413</v>
      </c>
      <c r="E3995" s="86"/>
      <c r="F3995" s="14"/>
    </row>
    <row r="3996" spans="1:6" x14ac:dyDescent="0.25">
      <c r="A3996" s="86">
        <v>3995</v>
      </c>
      <c r="B3996" s="87">
        <v>41.324238958957721</v>
      </c>
      <c r="C3996" s="14">
        <v>2</v>
      </c>
      <c r="D3996" s="86">
        <v>0.67844013141830861</v>
      </c>
      <c r="E3996" s="86"/>
      <c r="F3996" s="14"/>
    </row>
    <row r="3997" spans="1:6" x14ac:dyDescent="0.25">
      <c r="A3997" s="86">
        <v>3996</v>
      </c>
      <c r="B3997" s="87">
        <v>40.751405089729815</v>
      </c>
      <c r="C3997" s="14">
        <v>3</v>
      </c>
      <c r="D3997" s="86">
        <v>0.18999912667824514</v>
      </c>
      <c r="E3997" s="86"/>
      <c r="F3997" s="14"/>
    </row>
    <row r="3998" spans="1:6" x14ac:dyDescent="0.25">
      <c r="A3998" s="86">
        <v>3997</v>
      </c>
      <c r="B3998" s="87">
        <v>43.951035872276407</v>
      </c>
      <c r="C3998" s="14">
        <v>2</v>
      </c>
      <c r="D3998" s="86">
        <v>0.4362433896173189</v>
      </c>
      <c r="E3998" s="86"/>
      <c r="F3998" s="14"/>
    </row>
    <row r="3999" spans="1:6" x14ac:dyDescent="0.25">
      <c r="A3999" s="86">
        <v>3998</v>
      </c>
      <c r="B3999" s="87">
        <v>48.192032404011115</v>
      </c>
      <c r="C3999" s="14">
        <v>4</v>
      </c>
      <c r="D3999" s="86">
        <v>0.86903538023521643</v>
      </c>
      <c r="E3999" s="86"/>
      <c r="F3999" s="14"/>
    </row>
    <row r="4000" spans="1:6" x14ac:dyDescent="0.25">
      <c r="A4000" s="86">
        <v>3999</v>
      </c>
      <c r="B4000" s="87">
        <v>40.307031662785448</v>
      </c>
      <c r="C4000" s="14">
        <v>5</v>
      </c>
      <c r="D4000" s="86">
        <v>0.73995702212139425</v>
      </c>
      <c r="E4000" s="86"/>
      <c r="F4000" s="14"/>
    </row>
    <row r="4001" spans="1:6" x14ac:dyDescent="0.25">
      <c r="A4001" s="86">
        <v>4000</v>
      </c>
      <c r="B4001" s="87">
        <v>44.868011167971417</v>
      </c>
      <c r="C4001" s="14">
        <v>5</v>
      </c>
      <c r="D4001" s="86">
        <v>0.83684648159131303</v>
      </c>
      <c r="E4001" s="86"/>
      <c r="F4001" s="14"/>
    </row>
    <row r="4002" spans="1:6" x14ac:dyDescent="0.25">
      <c r="A4002" s="86">
        <v>4001</v>
      </c>
      <c r="B4002" s="87">
        <v>43.748457296140259</v>
      </c>
      <c r="C4002" s="14">
        <v>4</v>
      </c>
      <c r="D4002" s="86">
        <v>0.76777220287710979</v>
      </c>
      <c r="E4002" s="86"/>
      <c r="F4002" s="14"/>
    </row>
    <row r="4003" spans="1:6" x14ac:dyDescent="0.25">
      <c r="A4003" s="86">
        <v>4002</v>
      </c>
      <c r="B4003" s="87">
        <v>41.26464431862405</v>
      </c>
      <c r="C4003" s="14">
        <v>5</v>
      </c>
      <c r="D4003" s="86">
        <v>0.92135316512070575</v>
      </c>
      <c r="E4003" s="86"/>
      <c r="F4003" s="14"/>
    </row>
    <row r="4004" spans="1:6" x14ac:dyDescent="0.25">
      <c r="A4004" s="86">
        <v>4003</v>
      </c>
      <c r="B4004" s="87">
        <v>42.780573034513509</v>
      </c>
      <c r="C4004" s="14">
        <v>5</v>
      </c>
      <c r="D4004" s="86">
        <v>0.3088236174495429</v>
      </c>
      <c r="E4004" s="86"/>
      <c r="F4004" s="14"/>
    </row>
    <row r="4005" spans="1:6" x14ac:dyDescent="0.25">
      <c r="A4005" s="86">
        <v>4004</v>
      </c>
      <c r="B4005" s="87">
        <v>43.201436023417045</v>
      </c>
      <c r="C4005" s="14">
        <v>1</v>
      </c>
      <c r="D4005" s="86">
        <v>0.60722083228521218</v>
      </c>
      <c r="E4005" s="86"/>
      <c r="F4005" s="14"/>
    </row>
    <row r="4006" spans="1:6" x14ac:dyDescent="0.25">
      <c r="A4006" s="86">
        <v>4005</v>
      </c>
      <c r="B4006" s="87">
        <v>47.085313776158728</v>
      </c>
      <c r="C4006" s="14">
        <v>1</v>
      </c>
      <c r="D4006" s="86">
        <v>8.3380619028692204E-2</v>
      </c>
      <c r="E4006" s="86"/>
      <c r="F4006" s="14"/>
    </row>
    <row r="4007" spans="1:6" x14ac:dyDescent="0.25">
      <c r="A4007" s="86">
        <v>4006</v>
      </c>
      <c r="B4007" s="87">
        <v>45.644895857883967</v>
      </c>
      <c r="C4007" s="14">
        <v>4</v>
      </c>
      <c r="D4007" s="86">
        <v>0.921194496343266</v>
      </c>
      <c r="E4007" s="86"/>
      <c r="F4007" s="14"/>
    </row>
    <row r="4008" spans="1:6" x14ac:dyDescent="0.25">
      <c r="A4008" s="86">
        <v>4007</v>
      </c>
      <c r="B4008" s="87">
        <v>44.790306214388693</v>
      </c>
      <c r="C4008" s="14">
        <v>5</v>
      </c>
      <c r="D4008" s="86">
        <v>0.29924665548664975</v>
      </c>
      <c r="E4008" s="86"/>
      <c r="F4008" s="14"/>
    </row>
    <row r="4009" spans="1:6" x14ac:dyDescent="0.25">
      <c r="A4009" s="86">
        <v>4008</v>
      </c>
      <c r="B4009" s="87">
        <v>45.429965206829365</v>
      </c>
      <c r="C4009" s="14">
        <v>4</v>
      </c>
      <c r="D4009" s="86">
        <v>0.28484471827666413</v>
      </c>
      <c r="E4009" s="86"/>
      <c r="F4009" s="14"/>
    </row>
    <row r="4010" spans="1:6" x14ac:dyDescent="0.25">
      <c r="A4010" s="86">
        <v>4009</v>
      </c>
      <c r="B4010" s="87">
        <v>49.498089533124585</v>
      </c>
      <c r="C4010" s="14">
        <v>1</v>
      </c>
      <c r="D4010" s="86">
        <v>0.9397004542673133</v>
      </c>
      <c r="E4010" s="86"/>
      <c r="F4010" s="14"/>
    </row>
    <row r="4011" spans="1:6" x14ac:dyDescent="0.25">
      <c r="A4011" s="86">
        <v>4010</v>
      </c>
      <c r="B4011" s="87">
        <v>48.416961812443333</v>
      </c>
      <c r="C4011" s="14">
        <v>2</v>
      </c>
      <c r="D4011" s="86">
        <v>0.28931517945474916</v>
      </c>
      <c r="E4011" s="86"/>
      <c r="F4011" s="14"/>
    </row>
    <row r="4012" spans="1:6" x14ac:dyDescent="0.25">
      <c r="A4012" s="86">
        <v>4011</v>
      </c>
      <c r="B4012" s="87">
        <v>44.714249719952932</v>
      </c>
      <c r="C4012" s="14">
        <v>5</v>
      </c>
      <c r="D4012" s="86">
        <v>0.54786175911832646</v>
      </c>
      <c r="E4012" s="86"/>
      <c r="F4012" s="14"/>
    </row>
    <row r="4013" spans="1:6" x14ac:dyDescent="0.25">
      <c r="A4013" s="86">
        <v>4012</v>
      </c>
      <c r="B4013" s="87">
        <v>42.63036998451571</v>
      </c>
      <c r="C4013" s="14">
        <v>1</v>
      </c>
      <c r="D4013" s="86">
        <v>0.34491422544699779</v>
      </c>
      <c r="E4013" s="86"/>
      <c r="F4013" s="14"/>
    </row>
    <row r="4014" spans="1:6" x14ac:dyDescent="0.25">
      <c r="A4014" s="86">
        <v>4013</v>
      </c>
      <c r="B4014" s="87">
        <v>45.700494405871723</v>
      </c>
      <c r="C4014" s="14">
        <v>2</v>
      </c>
      <c r="D4014" s="86">
        <v>0.5709234835320639</v>
      </c>
      <c r="E4014" s="86"/>
      <c r="F4014" s="14"/>
    </row>
    <row r="4015" spans="1:6" x14ac:dyDescent="0.25">
      <c r="A4015" s="86">
        <v>4014</v>
      </c>
      <c r="B4015" s="87">
        <v>44.597072696313262</v>
      </c>
      <c r="C4015" s="14">
        <v>4</v>
      </c>
      <c r="D4015" s="86">
        <v>0.71174214097164723</v>
      </c>
      <c r="E4015" s="86"/>
      <c r="F4015" s="14"/>
    </row>
    <row r="4016" spans="1:6" x14ac:dyDescent="0.25">
      <c r="A4016" s="86">
        <v>4015</v>
      </c>
      <c r="B4016" s="87">
        <v>50.069115781632718</v>
      </c>
      <c r="C4016" s="14">
        <v>4</v>
      </c>
      <c r="D4016" s="86">
        <v>0.17800185586405959</v>
      </c>
      <c r="E4016" s="86"/>
      <c r="F4016" s="14"/>
    </row>
    <row r="4017" spans="1:6" x14ac:dyDescent="0.25">
      <c r="A4017" s="86">
        <v>4016</v>
      </c>
      <c r="B4017" s="87">
        <v>43.997033566818573</v>
      </c>
      <c r="C4017" s="14">
        <v>2</v>
      </c>
      <c r="D4017" s="86">
        <v>0.93878327790653682</v>
      </c>
      <c r="E4017" s="86"/>
      <c r="F4017" s="14"/>
    </row>
    <row r="4018" spans="1:6" x14ac:dyDescent="0.25">
      <c r="A4018" s="86">
        <v>4017</v>
      </c>
      <c r="B4018" s="87">
        <v>40.82143618176633</v>
      </c>
      <c r="C4018" s="14">
        <v>5</v>
      </c>
      <c r="D4018" s="86">
        <v>1.0845966542619156E-2</v>
      </c>
      <c r="E4018" s="86"/>
      <c r="F4018" s="14"/>
    </row>
    <row r="4019" spans="1:6" x14ac:dyDescent="0.25">
      <c r="A4019" s="86">
        <v>4018</v>
      </c>
      <c r="B4019" s="87">
        <v>40.498332504619611</v>
      </c>
      <c r="C4019" s="14">
        <v>5</v>
      </c>
      <c r="D4019" s="86">
        <v>0.99895999187359419</v>
      </c>
      <c r="E4019" s="86"/>
      <c r="F4019" s="14"/>
    </row>
    <row r="4020" spans="1:6" x14ac:dyDescent="0.25">
      <c r="A4020" s="86">
        <v>4019</v>
      </c>
      <c r="B4020" s="87">
        <v>50.764947440591641</v>
      </c>
      <c r="C4020" s="14">
        <v>2</v>
      </c>
      <c r="D4020" s="86">
        <v>0.94671885875623352</v>
      </c>
      <c r="E4020" s="86"/>
      <c r="F4020" s="14"/>
    </row>
    <row r="4021" spans="1:6" x14ac:dyDescent="0.25">
      <c r="A4021" s="86">
        <v>4020</v>
      </c>
      <c r="B4021" s="87">
        <v>35.395805747946724</v>
      </c>
      <c r="C4021" s="14">
        <v>1</v>
      </c>
      <c r="D4021" s="86">
        <v>0.6821758271953583</v>
      </c>
      <c r="E4021" s="86"/>
      <c r="F4021" s="14"/>
    </row>
    <row r="4022" spans="1:6" x14ac:dyDescent="0.25">
      <c r="A4022" s="86">
        <v>4021</v>
      </c>
      <c r="B4022" s="87">
        <v>32.903608366148546</v>
      </c>
      <c r="C4022" s="14">
        <v>4</v>
      </c>
      <c r="D4022" s="86">
        <v>0.97237822051554446</v>
      </c>
      <c r="E4022" s="86"/>
      <c r="F4022" s="14"/>
    </row>
    <row r="4023" spans="1:6" x14ac:dyDescent="0.25">
      <c r="A4023" s="86">
        <v>4022</v>
      </c>
      <c r="B4023" s="87">
        <v>42.974562570059788</v>
      </c>
      <c r="C4023" s="14">
        <v>2</v>
      </c>
      <c r="D4023" s="86">
        <v>0.22935168140335971</v>
      </c>
      <c r="E4023" s="86"/>
      <c r="F4023" s="14"/>
    </row>
    <row r="4024" spans="1:6" x14ac:dyDescent="0.25">
      <c r="A4024" s="86">
        <v>4023</v>
      </c>
      <c r="B4024" s="87">
        <v>42.981446308083832</v>
      </c>
      <c r="C4024" s="14">
        <v>1</v>
      </c>
      <c r="D4024" s="86">
        <v>0.98561385041745775</v>
      </c>
      <c r="E4024" s="86"/>
      <c r="F4024" s="14"/>
    </row>
    <row r="4025" spans="1:6" x14ac:dyDescent="0.25">
      <c r="A4025" s="86">
        <v>4024</v>
      </c>
      <c r="B4025" s="87">
        <v>40.101303961244412</v>
      </c>
      <c r="C4025" s="14">
        <v>2</v>
      </c>
      <c r="D4025" s="86">
        <v>0.75121244919565744</v>
      </c>
      <c r="E4025" s="86"/>
      <c r="F4025" s="14"/>
    </row>
    <row r="4026" spans="1:6" x14ac:dyDescent="0.25">
      <c r="A4026" s="86">
        <v>4025</v>
      </c>
      <c r="B4026" s="87">
        <v>48.531887836696114</v>
      </c>
      <c r="C4026" s="14">
        <v>4</v>
      </c>
      <c r="D4026" s="86">
        <v>0.80039616917075618</v>
      </c>
      <c r="E4026" s="86"/>
      <c r="F4026" s="14"/>
    </row>
    <row r="4027" spans="1:6" x14ac:dyDescent="0.25">
      <c r="A4027" s="86">
        <v>4026</v>
      </c>
      <c r="B4027" s="87">
        <v>51.804681783658452</v>
      </c>
      <c r="C4027" s="14">
        <v>2</v>
      </c>
      <c r="D4027" s="86">
        <v>0.55685672201279923</v>
      </c>
      <c r="E4027" s="86"/>
      <c r="F4027" s="14"/>
    </row>
    <row r="4028" spans="1:6" x14ac:dyDescent="0.25">
      <c r="A4028" s="86">
        <v>4027</v>
      </c>
      <c r="B4028" s="87">
        <v>45.479151817169623</v>
      </c>
      <c r="C4028" s="14">
        <v>5</v>
      </c>
      <c r="D4028" s="86">
        <v>0.80526869790824041</v>
      </c>
      <c r="E4028" s="86"/>
      <c r="F4028" s="14"/>
    </row>
    <row r="4029" spans="1:6" x14ac:dyDescent="0.25">
      <c r="A4029" s="86">
        <v>4028</v>
      </c>
      <c r="B4029" s="87">
        <v>39.980079686181853</v>
      </c>
      <c r="C4029" s="14">
        <v>5</v>
      </c>
      <c r="D4029" s="86">
        <v>0.30011670474800545</v>
      </c>
      <c r="E4029" s="86"/>
      <c r="F4029" s="14"/>
    </row>
    <row r="4030" spans="1:6" x14ac:dyDescent="0.25">
      <c r="A4030" s="86">
        <v>4029</v>
      </c>
      <c r="B4030" s="87">
        <v>39.952487890666816</v>
      </c>
      <c r="C4030" s="14">
        <v>2</v>
      </c>
      <c r="D4030" s="86">
        <v>0.4446733720713959</v>
      </c>
      <c r="E4030" s="86"/>
      <c r="F4030" s="14"/>
    </row>
    <row r="4031" spans="1:6" x14ac:dyDescent="0.25">
      <c r="A4031" s="86">
        <v>4030</v>
      </c>
      <c r="B4031" s="87">
        <v>41.223552211129572</v>
      </c>
      <c r="C4031" s="14">
        <v>5</v>
      </c>
      <c r="D4031" s="86">
        <v>0.38954850456528756</v>
      </c>
      <c r="E4031" s="86"/>
      <c r="F4031" s="14"/>
    </row>
    <row r="4032" spans="1:6" x14ac:dyDescent="0.25">
      <c r="A4032" s="86">
        <v>4031</v>
      </c>
      <c r="B4032" s="87">
        <v>41.209693785611307</v>
      </c>
      <c r="C4032" s="14">
        <v>5</v>
      </c>
      <c r="D4032" s="86">
        <v>0.2723412759710212</v>
      </c>
      <c r="E4032" s="86"/>
      <c r="F4032" s="14"/>
    </row>
    <row r="4033" spans="1:6" x14ac:dyDescent="0.25">
      <c r="A4033" s="86">
        <v>4032</v>
      </c>
      <c r="B4033" s="87">
        <v>42.835307562534581</v>
      </c>
      <c r="C4033" s="14">
        <v>1</v>
      </c>
      <c r="D4033" s="86">
        <v>7.5972027445084356E-2</v>
      </c>
      <c r="E4033" s="86"/>
      <c r="F4033" s="14"/>
    </row>
    <row r="4034" spans="1:6" x14ac:dyDescent="0.25">
      <c r="A4034" s="86">
        <v>4033</v>
      </c>
      <c r="B4034" s="87">
        <v>42.275132722686976</v>
      </c>
      <c r="C4034" s="14">
        <v>5</v>
      </c>
      <c r="D4034" s="86">
        <v>0.74015213050306305</v>
      </c>
      <c r="E4034" s="86"/>
      <c r="F4034" s="14"/>
    </row>
    <row r="4035" spans="1:6" x14ac:dyDescent="0.25">
      <c r="A4035" s="86">
        <v>4034</v>
      </c>
      <c r="B4035" s="87">
        <v>51.199731382774189</v>
      </c>
      <c r="C4035" s="14">
        <v>5</v>
      </c>
      <c r="D4035" s="86">
        <v>0.41631196118179292</v>
      </c>
      <c r="E4035" s="86"/>
      <c r="F4035" s="14"/>
    </row>
    <row r="4036" spans="1:6" x14ac:dyDescent="0.25">
      <c r="A4036" s="86">
        <v>4035</v>
      </c>
      <c r="B4036" s="87">
        <v>45.147066879842896</v>
      </c>
      <c r="C4036" s="14">
        <v>5</v>
      </c>
      <c r="D4036" s="86">
        <v>0.41880759993265726</v>
      </c>
      <c r="E4036" s="86"/>
      <c r="F4036" s="14"/>
    </row>
    <row r="4037" spans="1:6" x14ac:dyDescent="0.25">
      <c r="A4037" s="86">
        <v>4036</v>
      </c>
      <c r="B4037" s="87">
        <v>39.227211340737995</v>
      </c>
      <c r="C4037" s="14">
        <v>4</v>
      </c>
      <c r="D4037" s="86">
        <v>0.65247923125751461</v>
      </c>
      <c r="E4037" s="86"/>
      <c r="F4037" s="14"/>
    </row>
    <row r="4038" spans="1:6" x14ac:dyDescent="0.25">
      <c r="A4038" s="86">
        <v>4037</v>
      </c>
      <c r="B4038" s="87">
        <v>44.93008418136742</v>
      </c>
      <c r="C4038" s="14">
        <v>5</v>
      </c>
      <c r="D4038" s="86">
        <v>0.9666191264897771</v>
      </c>
      <c r="E4038" s="86"/>
      <c r="F4038" s="14"/>
    </row>
    <row r="4039" spans="1:6" x14ac:dyDescent="0.25">
      <c r="A4039" s="86">
        <v>4038</v>
      </c>
      <c r="B4039" s="87">
        <v>48.84153667659848</v>
      </c>
      <c r="C4039" s="14">
        <v>5</v>
      </c>
      <c r="D4039" s="86">
        <v>0.45500378711405776</v>
      </c>
      <c r="E4039" s="86"/>
      <c r="F4039" s="14"/>
    </row>
    <row r="4040" spans="1:6" x14ac:dyDescent="0.25">
      <c r="A4040" s="86">
        <v>4039</v>
      </c>
      <c r="B4040" s="87">
        <v>46.424372607696569</v>
      </c>
      <c r="C4040" s="14">
        <v>2</v>
      </c>
      <c r="D4040" s="86">
        <v>0.50956030592783719</v>
      </c>
      <c r="E4040" s="86"/>
      <c r="F4040" s="14"/>
    </row>
    <row r="4041" spans="1:6" x14ac:dyDescent="0.25">
      <c r="A4041" s="86">
        <v>4040</v>
      </c>
      <c r="B4041" s="87">
        <v>46.224454303563107</v>
      </c>
      <c r="C4041" s="14">
        <v>5</v>
      </c>
      <c r="D4041" s="86">
        <v>0.86862143830340943</v>
      </c>
      <c r="E4041" s="86"/>
      <c r="F4041" s="14"/>
    </row>
    <row r="4042" spans="1:6" x14ac:dyDescent="0.25">
      <c r="A4042" s="86">
        <v>4041</v>
      </c>
      <c r="B4042" s="87">
        <v>43.93156700131658</v>
      </c>
      <c r="C4042" s="14">
        <v>1</v>
      </c>
      <c r="D4042" s="86">
        <v>0.10517640606803724</v>
      </c>
      <c r="E4042" s="86"/>
      <c r="F4042" s="14"/>
    </row>
    <row r="4043" spans="1:6" x14ac:dyDescent="0.25">
      <c r="A4043" s="86">
        <v>4042</v>
      </c>
      <c r="B4043" s="87">
        <v>40.425231867964612</v>
      </c>
      <c r="C4043" s="14">
        <v>2</v>
      </c>
      <c r="D4043" s="86">
        <v>0.54237045169093323</v>
      </c>
      <c r="E4043" s="86"/>
      <c r="F4043" s="14"/>
    </row>
    <row r="4044" spans="1:6" x14ac:dyDescent="0.25">
      <c r="A4044" s="86">
        <v>4043</v>
      </c>
      <c r="B4044" s="87">
        <v>36.041387824632693</v>
      </c>
      <c r="C4044" s="14">
        <v>3</v>
      </c>
      <c r="D4044" s="86">
        <v>0.36191640770842981</v>
      </c>
      <c r="E4044" s="86"/>
      <c r="F4044" s="14"/>
    </row>
    <row r="4045" spans="1:6" x14ac:dyDescent="0.25">
      <c r="A4045" s="86">
        <v>4044</v>
      </c>
      <c r="B4045" s="87">
        <v>41.444332049984951</v>
      </c>
      <c r="C4045" s="14">
        <v>5</v>
      </c>
      <c r="D4045" s="86">
        <v>0.79666528085548993</v>
      </c>
      <c r="E4045" s="86"/>
      <c r="F4045" s="14"/>
    </row>
    <row r="4046" spans="1:6" x14ac:dyDescent="0.25">
      <c r="A4046" s="86">
        <v>4045</v>
      </c>
      <c r="B4046" s="87">
        <v>42.95161488186568</v>
      </c>
      <c r="C4046" s="14">
        <v>1</v>
      </c>
      <c r="D4046" s="86">
        <v>0.15888886040717176</v>
      </c>
      <c r="E4046" s="86"/>
      <c r="F4046" s="14"/>
    </row>
    <row r="4047" spans="1:6" x14ac:dyDescent="0.25">
      <c r="A4047" s="86">
        <v>4046</v>
      </c>
      <c r="B4047" s="87">
        <v>49.970731192268431</v>
      </c>
      <c r="C4047" s="14">
        <v>2</v>
      </c>
      <c r="D4047" s="86">
        <v>3.1361011517419657E-2</v>
      </c>
      <c r="E4047" s="86"/>
      <c r="F4047" s="14"/>
    </row>
    <row r="4048" spans="1:6" x14ac:dyDescent="0.25">
      <c r="A4048" s="86">
        <v>4047</v>
      </c>
      <c r="B4048" s="87">
        <v>42.210132273219642</v>
      </c>
      <c r="C4048" s="14">
        <v>4</v>
      </c>
      <c r="D4048" s="86">
        <v>0.68263954366690094</v>
      </c>
      <c r="E4048" s="86"/>
      <c r="F4048" s="14"/>
    </row>
    <row r="4049" spans="1:6" x14ac:dyDescent="0.25">
      <c r="A4049" s="86">
        <v>4048</v>
      </c>
      <c r="B4049" s="87">
        <v>45.254944320156937</v>
      </c>
      <c r="C4049" s="14">
        <v>4</v>
      </c>
      <c r="D4049" s="86">
        <v>0.11247861154732575</v>
      </c>
      <c r="E4049" s="86"/>
      <c r="F4049" s="14"/>
    </row>
    <row r="4050" spans="1:6" x14ac:dyDescent="0.25">
      <c r="A4050" s="86">
        <v>4049</v>
      </c>
      <c r="B4050" s="87">
        <v>44.708974650682649</v>
      </c>
      <c r="C4050" s="14">
        <v>2</v>
      </c>
      <c r="D4050" s="86">
        <v>0.48138647461982664</v>
      </c>
      <c r="E4050" s="86"/>
      <c r="F4050" s="14"/>
    </row>
    <row r="4051" spans="1:6" x14ac:dyDescent="0.25">
      <c r="A4051" s="86">
        <v>4050</v>
      </c>
      <c r="B4051" s="87">
        <v>36.401820574945305</v>
      </c>
      <c r="C4051" s="14">
        <v>4</v>
      </c>
      <c r="D4051" s="86">
        <v>0.1652116007407487</v>
      </c>
      <c r="E4051" s="86"/>
      <c r="F4051" s="14"/>
    </row>
    <row r="4052" spans="1:6" x14ac:dyDescent="0.25">
      <c r="A4052" s="86">
        <v>4051</v>
      </c>
      <c r="B4052" s="87">
        <v>37.813219927891623</v>
      </c>
      <c r="C4052" s="14">
        <v>4</v>
      </c>
      <c r="D4052" s="86">
        <v>0.42949015528269963</v>
      </c>
      <c r="E4052" s="86"/>
      <c r="F4052" s="14"/>
    </row>
    <row r="4053" spans="1:6" x14ac:dyDescent="0.25">
      <c r="A4053" s="86">
        <v>4052</v>
      </c>
      <c r="B4053" s="87">
        <v>47.508660822466481</v>
      </c>
      <c r="C4053" s="14">
        <v>1</v>
      </c>
      <c r="D4053" s="86">
        <v>0.19935518475385416</v>
      </c>
      <c r="E4053" s="86"/>
      <c r="F4053" s="14"/>
    </row>
    <row r="4054" spans="1:6" x14ac:dyDescent="0.25">
      <c r="A4054" s="86">
        <v>4053</v>
      </c>
      <c r="B4054" s="87">
        <v>41.520831923087826</v>
      </c>
      <c r="C4054" s="14">
        <v>3</v>
      </c>
      <c r="D4054" s="86">
        <v>0.57164105495714734</v>
      </c>
      <c r="E4054" s="86"/>
      <c r="F4054" s="14"/>
    </row>
    <row r="4055" spans="1:6" x14ac:dyDescent="0.25">
      <c r="A4055" s="86">
        <v>4054</v>
      </c>
      <c r="B4055" s="87">
        <v>39.775545696436893</v>
      </c>
      <c r="C4055" s="14">
        <v>4</v>
      </c>
      <c r="D4055" s="86">
        <v>0.74751103081917658</v>
      </c>
      <c r="E4055" s="86"/>
      <c r="F4055" s="14"/>
    </row>
    <row r="4056" spans="1:6" x14ac:dyDescent="0.25">
      <c r="A4056" s="86">
        <v>4055</v>
      </c>
      <c r="B4056" s="87">
        <v>43.788321585787344</v>
      </c>
      <c r="C4056" s="14">
        <v>4</v>
      </c>
      <c r="D4056" s="86">
        <v>0.56331206839880921</v>
      </c>
      <c r="E4056" s="86"/>
      <c r="F4056" s="14"/>
    </row>
    <row r="4057" spans="1:6" x14ac:dyDescent="0.25">
      <c r="A4057" s="86">
        <v>4056</v>
      </c>
      <c r="B4057" s="87">
        <v>41.349704810607363</v>
      </c>
      <c r="C4057" s="14">
        <v>2</v>
      </c>
      <c r="D4057" s="86">
        <v>0.85562583194269648</v>
      </c>
      <c r="E4057" s="86"/>
      <c r="F4057" s="14"/>
    </row>
    <row r="4058" spans="1:6" x14ac:dyDescent="0.25">
      <c r="A4058" s="86">
        <v>4057</v>
      </c>
      <c r="B4058" s="87">
        <v>46.63638719136361</v>
      </c>
      <c r="C4058" s="14">
        <v>2</v>
      </c>
      <c r="D4058" s="86">
        <v>0.8873318110885573</v>
      </c>
      <c r="E4058" s="86"/>
      <c r="F4058" s="14"/>
    </row>
    <row r="4059" spans="1:6" x14ac:dyDescent="0.25">
      <c r="A4059" s="86">
        <v>4058</v>
      </c>
      <c r="B4059" s="87">
        <v>45.663387022039387</v>
      </c>
      <c r="C4059" s="14">
        <v>3</v>
      </c>
      <c r="D4059" s="86">
        <v>0.3128911122182223</v>
      </c>
      <c r="E4059" s="86"/>
      <c r="F4059" s="14"/>
    </row>
    <row r="4060" spans="1:6" x14ac:dyDescent="0.25">
      <c r="A4060" s="86">
        <v>4059</v>
      </c>
      <c r="B4060" s="87">
        <v>39.964913862029789</v>
      </c>
      <c r="C4060" s="14">
        <v>3</v>
      </c>
      <c r="D4060" s="86">
        <v>0.61638895165534957</v>
      </c>
      <c r="E4060" s="86"/>
      <c r="F4060" s="14"/>
    </row>
    <row r="4061" spans="1:6" x14ac:dyDescent="0.25">
      <c r="A4061" s="86">
        <v>4060</v>
      </c>
      <c r="B4061" s="87">
        <v>45.358757456022431</v>
      </c>
      <c r="C4061" s="14">
        <v>2</v>
      </c>
      <c r="D4061" s="86">
        <v>0.66356416007666352</v>
      </c>
      <c r="E4061" s="86"/>
      <c r="F4061" s="14"/>
    </row>
    <row r="4062" spans="1:6" x14ac:dyDescent="0.25">
      <c r="A4062" s="86">
        <v>4061</v>
      </c>
      <c r="B4062" s="87">
        <v>48.146341663930798</v>
      </c>
      <c r="C4062" s="14">
        <v>2</v>
      </c>
      <c r="D4062" s="86">
        <v>0.14559424411142696</v>
      </c>
      <c r="E4062" s="86"/>
      <c r="F4062" s="14"/>
    </row>
    <row r="4063" spans="1:6" x14ac:dyDescent="0.25">
      <c r="A4063" s="86">
        <v>4062</v>
      </c>
      <c r="B4063" s="87">
        <v>42.049742882561986</v>
      </c>
      <c r="C4063" s="14">
        <v>4</v>
      </c>
      <c r="D4063" s="86">
        <v>0.94251471446715174</v>
      </c>
      <c r="E4063" s="86"/>
      <c r="F4063" s="14"/>
    </row>
    <row r="4064" spans="1:6" x14ac:dyDescent="0.25">
      <c r="A4064" s="86">
        <v>4063</v>
      </c>
      <c r="B4064" s="87">
        <v>38.331063473713584</v>
      </c>
      <c r="C4064" s="14">
        <v>2</v>
      </c>
      <c r="D4064" s="86">
        <v>0.70058420813956657</v>
      </c>
      <c r="E4064" s="86"/>
      <c r="F4064" s="14"/>
    </row>
    <row r="4065" spans="1:6" x14ac:dyDescent="0.25">
      <c r="A4065" s="86">
        <v>4064</v>
      </c>
      <c r="B4065" s="87">
        <v>48.257390967017272</v>
      </c>
      <c r="C4065" s="14">
        <v>2</v>
      </c>
      <c r="D4065" s="86">
        <v>0.28736384189839637</v>
      </c>
      <c r="E4065" s="86"/>
      <c r="F4065" s="14"/>
    </row>
    <row r="4066" spans="1:6" x14ac:dyDescent="0.25">
      <c r="A4066" s="86">
        <v>4065</v>
      </c>
      <c r="B4066" s="87">
        <v>42.026755403974676</v>
      </c>
      <c r="C4066" s="14">
        <v>4</v>
      </c>
      <c r="D4066" s="86">
        <v>0.50299085679155719</v>
      </c>
      <c r="E4066" s="86"/>
      <c r="F4066" s="14"/>
    </row>
    <row r="4067" spans="1:6" x14ac:dyDescent="0.25">
      <c r="A4067" s="86">
        <v>4066</v>
      </c>
      <c r="B4067" s="87">
        <v>39.144833858124912</v>
      </c>
      <c r="C4067" s="14">
        <v>4</v>
      </c>
      <c r="D4067" s="86">
        <v>0.64315326867518385</v>
      </c>
      <c r="E4067" s="86"/>
      <c r="F4067" s="14"/>
    </row>
    <row r="4068" spans="1:6" x14ac:dyDescent="0.25">
      <c r="A4068" s="86">
        <v>4067</v>
      </c>
      <c r="B4068" s="87">
        <v>48.339882136468077</v>
      </c>
      <c r="C4068" s="14">
        <v>2</v>
      </c>
      <c r="D4068" s="86">
        <v>0.90276850025287481</v>
      </c>
      <c r="E4068" s="86"/>
      <c r="F4068" s="14"/>
    </row>
    <row r="4069" spans="1:6" x14ac:dyDescent="0.25">
      <c r="A4069" s="86">
        <v>4068</v>
      </c>
      <c r="B4069" s="87">
        <v>45.900509343817248</v>
      </c>
      <c r="C4069" s="14">
        <v>5</v>
      </c>
      <c r="D4069" s="86">
        <v>0.48987846379127875</v>
      </c>
      <c r="E4069" s="86"/>
      <c r="F4069" s="14"/>
    </row>
    <row r="4070" spans="1:6" x14ac:dyDescent="0.25">
      <c r="A4070" s="86">
        <v>4069</v>
      </c>
      <c r="B4070" s="87">
        <v>46.121067493339069</v>
      </c>
      <c r="C4070" s="14">
        <v>4</v>
      </c>
      <c r="D4070" s="86">
        <v>0.75237168508255337</v>
      </c>
      <c r="E4070" s="86"/>
      <c r="F4070" s="14"/>
    </row>
    <row r="4071" spans="1:6" x14ac:dyDescent="0.25">
      <c r="A4071" s="86">
        <v>4070</v>
      </c>
      <c r="B4071" s="87">
        <v>44.746735733831883</v>
      </c>
      <c r="C4071" s="14">
        <v>4</v>
      </c>
      <c r="D4071" s="86">
        <v>0.8830787882775214</v>
      </c>
      <c r="E4071" s="86"/>
      <c r="F4071" s="14"/>
    </row>
    <row r="4072" spans="1:6" x14ac:dyDescent="0.25">
      <c r="A4072" s="86">
        <v>4071</v>
      </c>
      <c r="B4072" s="87">
        <v>41.002982692923979</v>
      </c>
      <c r="C4072" s="14">
        <v>4</v>
      </c>
      <c r="D4072" s="86">
        <v>9.4527703134161256E-2</v>
      </c>
      <c r="E4072" s="86"/>
      <c r="F4072" s="14"/>
    </row>
    <row r="4073" spans="1:6" x14ac:dyDescent="0.25">
      <c r="A4073" s="86">
        <v>4072</v>
      </c>
      <c r="B4073" s="87">
        <v>45.594873649286455</v>
      </c>
      <c r="C4073" s="14">
        <v>4</v>
      </c>
      <c r="D4073" s="86">
        <v>4.3019871539554222E-2</v>
      </c>
      <c r="E4073" s="86"/>
      <c r="F4073" s="14"/>
    </row>
    <row r="4074" spans="1:6" x14ac:dyDescent="0.25">
      <c r="A4074" s="86">
        <v>4073</v>
      </c>
      <c r="B4074" s="87">
        <v>43.25197550712619</v>
      </c>
      <c r="C4074" s="14">
        <v>1</v>
      </c>
      <c r="D4074" s="86">
        <v>0.80513227231605244</v>
      </c>
      <c r="E4074" s="86"/>
      <c r="F4074" s="14"/>
    </row>
    <row r="4075" spans="1:6" x14ac:dyDescent="0.25">
      <c r="A4075" s="86">
        <v>4074</v>
      </c>
      <c r="B4075" s="87">
        <v>51.7956777861109</v>
      </c>
      <c r="C4075" s="14">
        <v>4</v>
      </c>
      <c r="D4075" s="86">
        <v>0.65561768826085964</v>
      </c>
      <c r="E4075" s="86"/>
      <c r="F4075" s="14"/>
    </row>
    <row r="4076" spans="1:6" x14ac:dyDescent="0.25">
      <c r="A4076" s="86">
        <v>4075</v>
      </c>
      <c r="B4076" s="87">
        <v>46.570926310203504</v>
      </c>
      <c r="C4076" s="14">
        <v>5</v>
      </c>
      <c r="D4076" s="86">
        <v>0.12844986262326641</v>
      </c>
      <c r="E4076" s="86"/>
      <c r="F4076" s="14"/>
    </row>
    <row r="4077" spans="1:6" x14ac:dyDescent="0.25">
      <c r="A4077" s="86">
        <v>4076</v>
      </c>
      <c r="B4077" s="87">
        <v>51.572715159971267</v>
      </c>
      <c r="C4077" s="14">
        <v>5</v>
      </c>
      <c r="D4077" s="86">
        <v>0.99806189458121086</v>
      </c>
      <c r="E4077" s="86"/>
      <c r="F4077" s="14"/>
    </row>
    <row r="4078" spans="1:6" x14ac:dyDescent="0.25">
      <c r="A4078" s="86">
        <v>4077</v>
      </c>
      <c r="B4078" s="87">
        <v>38.120469975518063</v>
      </c>
      <c r="C4078" s="14">
        <v>3</v>
      </c>
      <c r="D4078" s="86">
        <v>0.15864548156524994</v>
      </c>
      <c r="E4078" s="86"/>
      <c r="F4078" s="14"/>
    </row>
    <row r="4079" spans="1:6" x14ac:dyDescent="0.25">
      <c r="A4079" s="86">
        <v>4078</v>
      </c>
      <c r="B4079" s="87">
        <v>49.421441867132671</v>
      </c>
      <c r="C4079" s="14">
        <v>5</v>
      </c>
      <c r="D4079" s="86">
        <v>0.12704524558649</v>
      </c>
      <c r="E4079" s="86"/>
      <c r="F4079" s="14"/>
    </row>
    <row r="4080" spans="1:6" x14ac:dyDescent="0.25">
      <c r="A4080" s="86">
        <v>4079</v>
      </c>
      <c r="B4080" s="87">
        <v>49.997106538619846</v>
      </c>
      <c r="C4080" s="14">
        <v>2</v>
      </c>
      <c r="D4080" s="86">
        <v>0.99350723630358662</v>
      </c>
      <c r="E4080" s="86"/>
      <c r="F4080" s="14"/>
    </row>
    <row r="4081" spans="1:6" x14ac:dyDescent="0.25">
      <c r="A4081" s="86">
        <v>4080</v>
      </c>
      <c r="B4081" s="87">
        <v>46.719617325259605</v>
      </c>
      <c r="C4081" s="14">
        <v>5</v>
      </c>
      <c r="D4081" s="86">
        <v>0.78316775085246459</v>
      </c>
      <c r="E4081" s="86"/>
      <c r="F4081" s="14"/>
    </row>
    <row r="4082" spans="1:6" x14ac:dyDescent="0.25">
      <c r="A4082" s="86">
        <v>4081</v>
      </c>
      <c r="B4082" s="87">
        <v>39.257145085110096</v>
      </c>
      <c r="C4082" s="14">
        <v>1</v>
      </c>
      <c r="D4082" s="86">
        <v>0.66976075788954303</v>
      </c>
      <c r="E4082" s="86"/>
      <c r="F4082" s="14"/>
    </row>
    <row r="4083" spans="1:6" x14ac:dyDescent="0.25">
      <c r="A4083" s="86">
        <v>4082</v>
      </c>
      <c r="B4083" s="87">
        <v>36.835285749810282</v>
      </c>
      <c r="C4083" s="14">
        <v>2</v>
      </c>
      <c r="D4083" s="86">
        <v>2.4675570009691672E-2</v>
      </c>
      <c r="E4083" s="86"/>
      <c r="F4083" s="14"/>
    </row>
    <row r="4084" spans="1:6" x14ac:dyDescent="0.25">
      <c r="A4084" s="86">
        <v>4083</v>
      </c>
      <c r="B4084" s="87">
        <v>41.18806486473477</v>
      </c>
      <c r="C4084" s="14">
        <v>3</v>
      </c>
      <c r="D4084" s="86">
        <v>0.65777523322293174</v>
      </c>
      <c r="E4084" s="86"/>
      <c r="F4084" s="14"/>
    </row>
    <row r="4085" spans="1:6" x14ac:dyDescent="0.25">
      <c r="A4085" s="86">
        <v>4084</v>
      </c>
      <c r="B4085" s="87">
        <v>43.052978066378273</v>
      </c>
      <c r="C4085" s="14">
        <v>1</v>
      </c>
      <c r="D4085" s="86">
        <v>0.24099491435234388</v>
      </c>
      <c r="E4085" s="86"/>
      <c r="F4085" s="14"/>
    </row>
    <row r="4086" spans="1:6" x14ac:dyDescent="0.25">
      <c r="A4086" s="86">
        <v>4085</v>
      </c>
      <c r="B4086" s="87">
        <v>37.68508349309559</v>
      </c>
      <c r="C4086" s="14">
        <v>5</v>
      </c>
      <c r="D4086" s="86">
        <v>0.61343504006224348</v>
      </c>
      <c r="E4086" s="86"/>
      <c r="F4086" s="14"/>
    </row>
    <row r="4087" spans="1:6" x14ac:dyDescent="0.25">
      <c r="A4087" s="86">
        <v>4086</v>
      </c>
      <c r="B4087" s="87">
        <v>38.983716871705838</v>
      </c>
      <c r="C4087" s="14">
        <v>5</v>
      </c>
      <c r="D4087" s="86">
        <v>0.10214738876504825</v>
      </c>
      <c r="E4087" s="86"/>
      <c r="F4087" s="14"/>
    </row>
    <row r="4088" spans="1:6" x14ac:dyDescent="0.25">
      <c r="A4088" s="86">
        <v>4087</v>
      </c>
      <c r="B4088" s="87">
        <v>49.489210591098526</v>
      </c>
      <c r="C4088" s="14">
        <v>2</v>
      </c>
      <c r="D4088" s="86">
        <v>0.49767842989928235</v>
      </c>
      <c r="E4088" s="86"/>
      <c r="F4088" s="14"/>
    </row>
    <row r="4089" spans="1:6" x14ac:dyDescent="0.25">
      <c r="A4089" s="86">
        <v>4088</v>
      </c>
      <c r="B4089" s="87">
        <v>36.447227097931318</v>
      </c>
      <c r="C4089" s="14">
        <v>4</v>
      </c>
      <c r="D4089" s="86">
        <v>9.9668077382125686E-2</v>
      </c>
      <c r="E4089" s="86"/>
      <c r="F4089" s="14"/>
    </row>
    <row r="4090" spans="1:6" x14ac:dyDescent="0.25">
      <c r="A4090" s="86">
        <v>4089</v>
      </c>
      <c r="B4090" s="87">
        <v>41.398499201357481</v>
      </c>
      <c r="C4090" s="14">
        <v>4</v>
      </c>
      <c r="D4090" s="86">
        <v>0.93872409022738668</v>
      </c>
      <c r="E4090" s="86"/>
      <c r="F4090" s="14"/>
    </row>
    <row r="4091" spans="1:6" x14ac:dyDescent="0.25">
      <c r="A4091" s="86">
        <v>4090</v>
      </c>
      <c r="B4091" s="87">
        <v>42.866685129745747</v>
      </c>
      <c r="C4091" s="14">
        <v>4</v>
      </c>
      <c r="D4091" s="86">
        <v>0.12210884808905964</v>
      </c>
      <c r="E4091" s="86"/>
      <c r="F4091" s="14"/>
    </row>
    <row r="4092" spans="1:6" x14ac:dyDescent="0.25">
      <c r="A4092" s="86">
        <v>4091</v>
      </c>
      <c r="B4092" s="87">
        <v>39.176677541370736</v>
      </c>
      <c r="C4092" s="14">
        <v>4</v>
      </c>
      <c r="D4092" s="86">
        <v>0.17871230574924912</v>
      </c>
      <c r="E4092" s="86"/>
      <c r="F4092" s="14"/>
    </row>
    <row r="4093" spans="1:6" x14ac:dyDescent="0.25">
      <c r="A4093" s="86">
        <v>4092</v>
      </c>
      <c r="B4093" s="87">
        <v>42.736149902673787</v>
      </c>
      <c r="C4093" s="14">
        <v>4</v>
      </c>
      <c r="D4093" s="86">
        <v>0.16937940298386811</v>
      </c>
      <c r="E4093" s="86"/>
      <c r="F4093" s="14"/>
    </row>
    <row r="4094" spans="1:6" x14ac:dyDescent="0.25">
      <c r="A4094" s="86">
        <v>4093</v>
      </c>
      <c r="B4094" s="87">
        <v>46.794178837779327</v>
      </c>
      <c r="C4094" s="14">
        <v>5</v>
      </c>
      <c r="D4094" s="86">
        <v>0.88579446870980816</v>
      </c>
      <c r="E4094" s="86"/>
      <c r="F4094" s="14"/>
    </row>
    <row r="4095" spans="1:6" x14ac:dyDescent="0.25">
      <c r="A4095" s="86">
        <v>4094</v>
      </c>
      <c r="B4095" s="87">
        <v>48.97297002968844</v>
      </c>
      <c r="C4095" s="14">
        <v>2</v>
      </c>
      <c r="D4095" s="86">
        <v>0.49092622636218353</v>
      </c>
      <c r="E4095" s="86"/>
      <c r="F4095" s="14"/>
    </row>
    <row r="4096" spans="1:6" x14ac:dyDescent="0.25">
      <c r="A4096" s="86">
        <v>4095</v>
      </c>
      <c r="B4096" s="87">
        <v>42.513272541662445</v>
      </c>
      <c r="C4096" s="14">
        <v>2</v>
      </c>
      <c r="D4096" s="86">
        <v>0.38269490686524055</v>
      </c>
      <c r="E4096" s="86"/>
      <c r="F4096" s="14"/>
    </row>
    <row r="4097" spans="1:6" x14ac:dyDescent="0.25">
      <c r="A4097" s="86">
        <v>4096</v>
      </c>
      <c r="B4097" s="87">
        <v>47.823186827707104</v>
      </c>
      <c r="C4097" s="14">
        <v>4</v>
      </c>
      <c r="D4097" s="86">
        <v>5.2944568242683787E-2</v>
      </c>
      <c r="E4097" s="86"/>
      <c r="F4097" s="14"/>
    </row>
    <row r="4098" spans="1:6" x14ac:dyDescent="0.25">
      <c r="A4098" s="86">
        <v>4097</v>
      </c>
      <c r="B4098" s="87">
        <v>42.867452515900368</v>
      </c>
      <c r="C4098" s="14">
        <v>4</v>
      </c>
      <c r="D4098" s="86">
        <v>0.49163778357081755</v>
      </c>
      <c r="E4098" s="86"/>
      <c r="F4098" s="14"/>
    </row>
    <row r="4099" spans="1:6" x14ac:dyDescent="0.25">
      <c r="A4099" s="86">
        <v>4098</v>
      </c>
      <c r="B4099" s="87">
        <v>42.515193849219941</v>
      </c>
      <c r="C4099" s="14">
        <v>2</v>
      </c>
      <c r="D4099" s="86">
        <v>0.3669006673116697</v>
      </c>
      <c r="E4099" s="86"/>
      <c r="F4099" s="14"/>
    </row>
    <row r="4100" spans="1:6" x14ac:dyDescent="0.25">
      <c r="A4100" s="86">
        <v>4099</v>
      </c>
      <c r="B4100" s="87">
        <v>42.401313743874198</v>
      </c>
      <c r="C4100" s="14">
        <v>2</v>
      </c>
      <c r="D4100" s="86">
        <v>6.6795239257801509E-2</v>
      </c>
      <c r="E4100" s="86"/>
      <c r="F4100" s="14"/>
    </row>
    <row r="4101" spans="1:6" x14ac:dyDescent="0.25">
      <c r="A4101" s="86">
        <v>4100</v>
      </c>
      <c r="B4101" s="87">
        <v>35.108678270597011</v>
      </c>
      <c r="C4101" s="14">
        <v>2</v>
      </c>
      <c r="D4101" s="86">
        <v>0.4411600390046867</v>
      </c>
      <c r="E4101" s="86"/>
      <c r="F4101" s="14"/>
    </row>
    <row r="4102" spans="1:6" x14ac:dyDescent="0.25">
      <c r="A4102" s="86">
        <v>4101</v>
      </c>
      <c r="B4102" s="87">
        <v>36.975188772310503</v>
      </c>
      <c r="C4102" s="14">
        <v>2</v>
      </c>
      <c r="D4102" s="86">
        <v>0.56051680870323572</v>
      </c>
      <c r="E4102" s="86"/>
      <c r="F4102" s="14"/>
    </row>
    <row r="4103" spans="1:6" x14ac:dyDescent="0.25">
      <c r="A4103" s="86">
        <v>4102</v>
      </c>
      <c r="B4103" s="87">
        <v>31.971558195771649</v>
      </c>
      <c r="C4103" s="14">
        <v>2</v>
      </c>
      <c r="D4103" s="86">
        <v>0.70820560348593264</v>
      </c>
      <c r="E4103" s="86"/>
      <c r="F4103" s="14"/>
    </row>
    <row r="4104" spans="1:6" x14ac:dyDescent="0.25">
      <c r="A4104" s="86">
        <v>4103</v>
      </c>
      <c r="B4104" s="87">
        <v>43.621037088421872</v>
      </c>
      <c r="C4104" s="14">
        <v>4</v>
      </c>
      <c r="D4104" s="86">
        <v>0.27854169688877961</v>
      </c>
      <c r="E4104" s="86"/>
      <c r="F4104" s="14"/>
    </row>
    <row r="4105" spans="1:6" x14ac:dyDescent="0.25">
      <c r="A4105" s="86">
        <v>4104</v>
      </c>
      <c r="B4105" s="87">
        <v>41.789348865102511</v>
      </c>
      <c r="C4105" s="14">
        <v>4</v>
      </c>
      <c r="D4105" s="86">
        <v>0.80459697604953628</v>
      </c>
      <c r="E4105" s="86"/>
      <c r="F4105" s="14"/>
    </row>
    <row r="4106" spans="1:6" x14ac:dyDescent="0.25">
      <c r="A4106" s="86">
        <v>4105</v>
      </c>
      <c r="B4106" s="87">
        <v>42.457133981195511</v>
      </c>
      <c r="C4106" s="14">
        <v>5</v>
      </c>
      <c r="D4106" s="86">
        <v>0.1771875158614471</v>
      </c>
      <c r="E4106" s="86"/>
      <c r="F4106" s="14"/>
    </row>
    <row r="4107" spans="1:6" x14ac:dyDescent="0.25">
      <c r="A4107" s="86">
        <v>4106</v>
      </c>
      <c r="B4107" s="87">
        <v>50.679227564949542</v>
      </c>
      <c r="C4107" s="14">
        <v>2</v>
      </c>
      <c r="D4107" s="86">
        <v>0.53415095730243678</v>
      </c>
      <c r="E4107" s="86"/>
      <c r="F4107" s="14"/>
    </row>
    <row r="4108" spans="1:6" x14ac:dyDescent="0.25">
      <c r="A4108" s="86">
        <v>4107</v>
      </c>
      <c r="B4108" s="87">
        <v>44.411365246895002</v>
      </c>
      <c r="C4108" s="14">
        <v>5</v>
      </c>
      <c r="D4108" s="86">
        <v>0.47595770885180688</v>
      </c>
      <c r="E4108" s="86"/>
      <c r="F4108" s="14"/>
    </row>
    <row r="4109" spans="1:6" x14ac:dyDescent="0.25">
      <c r="A4109" s="86">
        <v>4108</v>
      </c>
      <c r="B4109" s="87">
        <v>44.925963033500011</v>
      </c>
      <c r="C4109" s="14">
        <v>5</v>
      </c>
      <c r="D4109" s="86">
        <v>4.9686126633567196E-2</v>
      </c>
      <c r="E4109" s="86"/>
      <c r="F4109" s="14"/>
    </row>
    <row r="4110" spans="1:6" x14ac:dyDescent="0.25">
      <c r="A4110" s="86">
        <v>4109</v>
      </c>
      <c r="B4110" s="87">
        <v>44.697219431662234</v>
      </c>
      <c r="C4110" s="14">
        <v>2</v>
      </c>
      <c r="D4110" s="86">
        <v>0.25262345700929645</v>
      </c>
      <c r="E4110" s="86"/>
      <c r="F4110" s="14"/>
    </row>
    <row r="4111" spans="1:6" x14ac:dyDescent="0.25">
      <c r="A4111" s="86">
        <v>4110</v>
      </c>
      <c r="B4111" s="87">
        <v>35.023822414921597</v>
      </c>
      <c r="C4111" s="14">
        <v>4</v>
      </c>
      <c r="D4111" s="86">
        <v>0.95126605117360608</v>
      </c>
      <c r="E4111" s="86"/>
      <c r="F4111" s="14"/>
    </row>
    <row r="4112" spans="1:6" x14ac:dyDescent="0.25">
      <c r="A4112" s="86">
        <v>4111</v>
      </c>
      <c r="B4112" s="87">
        <v>38.149948972539278</v>
      </c>
      <c r="C4112" s="14">
        <v>5</v>
      </c>
      <c r="D4112" s="86">
        <v>0.45660747792326706</v>
      </c>
      <c r="E4112" s="86"/>
      <c r="F4112" s="14"/>
    </row>
    <row r="4113" spans="1:6" x14ac:dyDescent="0.25">
      <c r="A4113" s="86">
        <v>4112</v>
      </c>
      <c r="B4113" s="87">
        <v>45.98053919323138</v>
      </c>
      <c r="C4113" s="14">
        <v>2</v>
      </c>
      <c r="D4113" s="86">
        <v>0.19676312363093118</v>
      </c>
      <c r="E4113" s="86"/>
      <c r="F4113" s="14"/>
    </row>
    <row r="4114" spans="1:6" x14ac:dyDescent="0.25">
      <c r="A4114" s="86">
        <v>4113</v>
      </c>
      <c r="B4114" s="87">
        <v>47.264734343450982</v>
      </c>
      <c r="C4114" s="14">
        <v>2</v>
      </c>
      <c r="D4114" s="86">
        <v>0.14955437378089675</v>
      </c>
      <c r="E4114" s="86"/>
      <c r="F4114" s="14"/>
    </row>
    <row r="4115" spans="1:6" x14ac:dyDescent="0.25">
      <c r="A4115" s="86">
        <v>4114</v>
      </c>
      <c r="B4115" s="87">
        <v>43.36963001548429</v>
      </c>
      <c r="C4115" s="14">
        <v>4</v>
      </c>
      <c r="D4115" s="86">
        <v>0.70960886591636951</v>
      </c>
      <c r="E4115" s="86"/>
      <c r="F4115" s="14"/>
    </row>
    <row r="4116" spans="1:6" x14ac:dyDescent="0.25">
      <c r="A4116" s="86">
        <v>4115</v>
      </c>
      <c r="B4116" s="87">
        <v>40.244469795987243</v>
      </c>
      <c r="C4116" s="14">
        <v>5</v>
      </c>
      <c r="D4116" s="86">
        <v>1.9601131164490804E-2</v>
      </c>
      <c r="E4116" s="86"/>
      <c r="F4116" s="14"/>
    </row>
    <row r="4117" spans="1:6" x14ac:dyDescent="0.25">
      <c r="A4117" s="86">
        <v>4116</v>
      </c>
      <c r="B4117" s="87">
        <v>38.846474121208303</v>
      </c>
      <c r="C4117" s="14">
        <v>2</v>
      </c>
      <c r="D4117" s="86">
        <v>0.73620341415074231</v>
      </c>
      <c r="E4117" s="86"/>
      <c r="F4117" s="14"/>
    </row>
    <row r="4118" spans="1:6" x14ac:dyDescent="0.25">
      <c r="A4118" s="86">
        <v>4117</v>
      </c>
      <c r="B4118" s="87">
        <v>40.746323288083659</v>
      </c>
      <c r="C4118" s="14">
        <v>2</v>
      </c>
      <c r="D4118" s="86">
        <v>0.49537822059291503</v>
      </c>
      <c r="E4118" s="86"/>
      <c r="F4118" s="14"/>
    </row>
    <row r="4119" spans="1:6" x14ac:dyDescent="0.25">
      <c r="A4119" s="86">
        <v>4118</v>
      </c>
      <c r="B4119" s="87">
        <v>43.391116827813676</v>
      </c>
      <c r="C4119" s="14">
        <v>2</v>
      </c>
      <c r="D4119" s="86">
        <v>0.17348526857225044</v>
      </c>
      <c r="E4119" s="86"/>
      <c r="F4119" s="14"/>
    </row>
    <row r="4120" spans="1:6" x14ac:dyDescent="0.25">
      <c r="A4120" s="86">
        <v>4119</v>
      </c>
      <c r="B4120" s="87">
        <v>39.341648511588573</v>
      </c>
      <c r="C4120" s="14">
        <v>5</v>
      </c>
      <c r="D4120" s="86">
        <v>0.77061287484482077</v>
      </c>
      <c r="E4120" s="86"/>
      <c r="F4120" s="14"/>
    </row>
    <row r="4121" spans="1:6" x14ac:dyDescent="0.25">
      <c r="A4121" s="86">
        <v>4120</v>
      </c>
      <c r="B4121" s="87">
        <v>43.814281975181075</v>
      </c>
      <c r="C4121" s="14">
        <v>2</v>
      </c>
      <c r="D4121" s="86">
        <v>0.67967393346468696</v>
      </c>
      <c r="E4121" s="86"/>
      <c r="F4121" s="14"/>
    </row>
    <row r="4122" spans="1:6" x14ac:dyDescent="0.25">
      <c r="A4122" s="86">
        <v>4121</v>
      </c>
      <c r="B4122" s="87">
        <v>44.366049673379166</v>
      </c>
      <c r="C4122" s="14">
        <v>5</v>
      </c>
      <c r="D4122" s="86">
        <v>0.73447508562185804</v>
      </c>
      <c r="E4122" s="86"/>
      <c r="F4122" s="14"/>
    </row>
    <row r="4123" spans="1:6" x14ac:dyDescent="0.25">
      <c r="A4123" s="86">
        <v>4122</v>
      </c>
      <c r="B4123" s="87">
        <v>47.49718982054037</v>
      </c>
      <c r="C4123" s="14">
        <v>4</v>
      </c>
      <c r="D4123" s="86">
        <v>0.4724424789928463</v>
      </c>
      <c r="E4123" s="86"/>
      <c r="F4123" s="14"/>
    </row>
    <row r="4124" spans="1:6" x14ac:dyDescent="0.25">
      <c r="A4124" s="86">
        <v>4123</v>
      </c>
      <c r="B4124" s="87">
        <v>40.44704837212339</v>
      </c>
      <c r="C4124" s="14">
        <v>1</v>
      </c>
      <c r="D4124" s="86">
        <v>0.35708333887604093</v>
      </c>
      <c r="E4124" s="86"/>
      <c r="F4124" s="14"/>
    </row>
    <row r="4125" spans="1:6" x14ac:dyDescent="0.25">
      <c r="A4125" s="86">
        <v>4124</v>
      </c>
      <c r="B4125" s="87">
        <v>44.576961494720308</v>
      </c>
      <c r="C4125" s="14">
        <v>5</v>
      </c>
      <c r="D4125" s="86">
        <v>0.78256599841119356</v>
      </c>
      <c r="E4125" s="86"/>
      <c r="F4125" s="14"/>
    </row>
    <row r="4126" spans="1:6" x14ac:dyDescent="0.25">
      <c r="A4126" s="86">
        <v>4125</v>
      </c>
      <c r="B4126" s="87">
        <v>42.111207671376178</v>
      </c>
      <c r="C4126" s="14">
        <v>4</v>
      </c>
      <c r="D4126" s="86">
        <v>0.51300156483652437</v>
      </c>
      <c r="E4126" s="86"/>
      <c r="F4126" s="14"/>
    </row>
    <row r="4127" spans="1:6" x14ac:dyDescent="0.25">
      <c r="A4127" s="86">
        <v>4126</v>
      </c>
      <c r="B4127" s="87">
        <v>48.471633812703658</v>
      </c>
      <c r="C4127" s="14">
        <v>1</v>
      </c>
      <c r="D4127" s="86">
        <v>0.9697504549286311</v>
      </c>
      <c r="E4127" s="86"/>
      <c r="F4127" s="14"/>
    </row>
    <row r="4128" spans="1:6" x14ac:dyDescent="0.25">
      <c r="A4128" s="86">
        <v>4127</v>
      </c>
      <c r="B4128" s="87">
        <v>36.457140590180643</v>
      </c>
      <c r="C4128" s="14">
        <v>1</v>
      </c>
      <c r="D4128" s="86">
        <v>0.27131775158833926</v>
      </c>
      <c r="E4128" s="86"/>
      <c r="F4128" s="14"/>
    </row>
    <row r="4129" spans="1:6" x14ac:dyDescent="0.25">
      <c r="A4129" s="86">
        <v>4128</v>
      </c>
      <c r="B4129" s="87">
        <v>34.402228260994889</v>
      </c>
      <c r="C4129" s="14">
        <v>2</v>
      </c>
      <c r="D4129" s="86">
        <v>0.58380382113024376</v>
      </c>
      <c r="E4129" s="86"/>
      <c r="F4129" s="14"/>
    </row>
    <row r="4130" spans="1:6" x14ac:dyDescent="0.25">
      <c r="A4130" s="86">
        <v>4129</v>
      </c>
      <c r="B4130" s="87">
        <v>34.060553838906344</v>
      </c>
      <c r="C4130" s="14">
        <v>5</v>
      </c>
      <c r="D4130" s="86">
        <v>0.54200977539787687</v>
      </c>
      <c r="E4130" s="86"/>
      <c r="F4130" s="14"/>
    </row>
    <row r="4131" spans="1:6" x14ac:dyDescent="0.25">
      <c r="A4131" s="86">
        <v>4130</v>
      </c>
      <c r="B4131" s="87">
        <v>46.189217068211292</v>
      </c>
      <c r="C4131" s="14">
        <v>1</v>
      </c>
      <c r="D4131" s="86">
        <v>0.30197067192868388</v>
      </c>
      <c r="E4131" s="86"/>
      <c r="F4131" s="14"/>
    </row>
    <row r="4132" spans="1:6" x14ac:dyDescent="0.25">
      <c r="A4132" s="86">
        <v>4131</v>
      </c>
      <c r="B4132" s="87">
        <v>43.056417093219352</v>
      </c>
      <c r="C4132" s="14">
        <v>4</v>
      </c>
      <c r="D4132" s="86">
        <v>0.76414163590374051</v>
      </c>
      <c r="E4132" s="86"/>
      <c r="F4132" s="14"/>
    </row>
    <row r="4133" spans="1:6" x14ac:dyDescent="0.25">
      <c r="A4133" s="86">
        <v>4132</v>
      </c>
      <c r="B4133" s="87">
        <v>40.813438312732615</v>
      </c>
      <c r="C4133" s="14">
        <v>4</v>
      </c>
      <c r="D4133" s="86">
        <v>7.399054998336041E-5</v>
      </c>
      <c r="E4133" s="86"/>
      <c r="F4133" s="14"/>
    </row>
    <row r="4134" spans="1:6" x14ac:dyDescent="0.25">
      <c r="A4134" s="86">
        <v>4133</v>
      </c>
      <c r="B4134" s="87">
        <v>46.663853931357153</v>
      </c>
      <c r="C4134" s="14">
        <v>5</v>
      </c>
      <c r="D4134" s="86">
        <v>0.86827715641285197</v>
      </c>
      <c r="E4134" s="86"/>
      <c r="F4134" s="14"/>
    </row>
    <row r="4135" spans="1:6" x14ac:dyDescent="0.25">
      <c r="A4135" s="86">
        <v>4134</v>
      </c>
      <c r="B4135" s="87">
        <v>40.794907358183991</v>
      </c>
      <c r="C4135" s="14">
        <v>2</v>
      </c>
      <c r="D4135" s="86">
        <v>0.6321812801031641</v>
      </c>
      <c r="E4135" s="86"/>
      <c r="F4135" s="14"/>
    </row>
    <row r="4136" spans="1:6" x14ac:dyDescent="0.25">
      <c r="A4136" s="86">
        <v>4135</v>
      </c>
      <c r="B4136" s="87">
        <v>45.04058778763283</v>
      </c>
      <c r="C4136" s="14">
        <v>2</v>
      </c>
      <c r="D4136" s="86">
        <v>0.29868420363707537</v>
      </c>
      <c r="E4136" s="86"/>
      <c r="F4136" s="14"/>
    </row>
    <row r="4137" spans="1:6" x14ac:dyDescent="0.25">
      <c r="A4137" s="86">
        <v>4136</v>
      </c>
      <c r="B4137" s="87">
        <v>39.393933088256745</v>
      </c>
      <c r="C4137" s="14">
        <v>4</v>
      </c>
      <c r="D4137" s="86">
        <v>3.9049433494875441E-4</v>
      </c>
      <c r="E4137" s="86"/>
      <c r="F4137" s="14"/>
    </row>
    <row r="4138" spans="1:6" x14ac:dyDescent="0.25">
      <c r="A4138" s="86">
        <v>4137</v>
      </c>
      <c r="B4138" s="87">
        <v>43.065983840613626</v>
      </c>
      <c r="C4138" s="14">
        <v>4</v>
      </c>
      <c r="D4138" s="86">
        <v>0.75590294652908874</v>
      </c>
      <c r="E4138" s="86"/>
      <c r="F4138" s="14"/>
    </row>
    <row r="4139" spans="1:6" x14ac:dyDescent="0.25">
      <c r="A4139" s="86">
        <v>4138</v>
      </c>
      <c r="B4139" s="87">
        <v>37.129609603987774</v>
      </c>
      <c r="C4139" s="14">
        <v>2</v>
      </c>
      <c r="D4139" s="86">
        <v>0.71978633311421736</v>
      </c>
      <c r="E4139" s="86"/>
      <c r="F4139" s="14"/>
    </row>
    <row r="4140" spans="1:6" x14ac:dyDescent="0.25">
      <c r="A4140" s="86">
        <v>4139</v>
      </c>
      <c r="B4140" s="87">
        <v>39.141741576138884</v>
      </c>
      <c r="C4140" s="14">
        <v>4</v>
      </c>
      <c r="D4140" s="86">
        <v>0.36302327193164596</v>
      </c>
      <c r="E4140" s="86"/>
      <c r="F4140" s="14"/>
    </row>
    <row r="4141" spans="1:6" x14ac:dyDescent="0.25">
      <c r="A4141" s="86">
        <v>4140</v>
      </c>
      <c r="B4141" s="87">
        <v>50.4266608862672</v>
      </c>
      <c r="C4141" s="14">
        <v>1</v>
      </c>
      <c r="D4141" s="86">
        <v>0.7902788370023649</v>
      </c>
      <c r="E4141" s="86"/>
      <c r="F4141" s="14"/>
    </row>
    <row r="4142" spans="1:6" x14ac:dyDescent="0.25">
      <c r="A4142" s="86">
        <v>4141</v>
      </c>
      <c r="B4142" s="87">
        <v>46.054424269066658</v>
      </c>
      <c r="C4142" s="14">
        <v>5</v>
      </c>
      <c r="D4142" s="86">
        <v>0.49584361048673609</v>
      </c>
      <c r="E4142" s="86"/>
      <c r="F4142" s="14"/>
    </row>
    <row r="4143" spans="1:6" x14ac:dyDescent="0.25">
      <c r="A4143" s="86">
        <v>4142</v>
      </c>
      <c r="B4143" s="87">
        <v>37.771110323199537</v>
      </c>
      <c r="C4143" s="14">
        <v>4</v>
      </c>
      <c r="D4143" s="86">
        <v>0.79214638394785253</v>
      </c>
      <c r="E4143" s="86"/>
      <c r="F4143" s="14"/>
    </row>
    <row r="4144" spans="1:6" x14ac:dyDescent="0.25">
      <c r="A4144" s="86">
        <v>4143</v>
      </c>
      <c r="B4144" s="87">
        <v>37.444772255519638</v>
      </c>
      <c r="C4144" s="14">
        <v>4</v>
      </c>
      <c r="D4144" s="86">
        <v>0.7746577900385474</v>
      </c>
      <c r="E4144" s="86"/>
      <c r="F4144" s="14"/>
    </row>
    <row r="4145" spans="1:6" x14ac:dyDescent="0.25">
      <c r="A4145" s="86">
        <v>4144</v>
      </c>
      <c r="B4145" s="87">
        <v>49.917548489582259</v>
      </c>
      <c r="C4145" s="14">
        <v>2</v>
      </c>
      <c r="D4145" s="86">
        <v>0.52940814781629442</v>
      </c>
      <c r="E4145" s="86"/>
      <c r="F4145" s="14"/>
    </row>
    <row r="4146" spans="1:6" x14ac:dyDescent="0.25">
      <c r="A4146" s="86">
        <v>4145</v>
      </c>
      <c r="B4146" s="87">
        <v>42.495594238396734</v>
      </c>
      <c r="C4146" s="14">
        <v>2</v>
      </c>
      <c r="D4146" s="86">
        <v>0.42437319548196617</v>
      </c>
      <c r="E4146" s="86"/>
      <c r="F4146" s="14"/>
    </row>
    <row r="4147" spans="1:6" x14ac:dyDescent="0.25">
      <c r="A4147" s="86">
        <v>4146</v>
      </c>
      <c r="B4147" s="87">
        <v>40.544608731914195</v>
      </c>
      <c r="C4147" s="14">
        <v>2</v>
      </c>
      <c r="D4147" s="86">
        <v>0.19735924571508412</v>
      </c>
      <c r="E4147" s="86"/>
      <c r="F4147" s="14"/>
    </row>
    <row r="4148" spans="1:6" x14ac:dyDescent="0.25">
      <c r="A4148" s="86">
        <v>4147</v>
      </c>
      <c r="B4148" s="87">
        <v>40.768316006840905</v>
      </c>
      <c r="C4148" s="14">
        <v>5</v>
      </c>
      <c r="D4148" s="86">
        <v>0.58686587605547691</v>
      </c>
      <c r="E4148" s="86"/>
      <c r="F4148" s="14"/>
    </row>
    <row r="4149" spans="1:6" x14ac:dyDescent="0.25">
      <c r="A4149" s="86">
        <v>4148</v>
      </c>
      <c r="B4149" s="87">
        <v>32.695243129972368</v>
      </c>
      <c r="C4149" s="14">
        <v>4</v>
      </c>
      <c r="D4149" s="86">
        <v>0.79626624007387292</v>
      </c>
      <c r="E4149" s="86"/>
      <c r="F4149" s="14"/>
    </row>
    <row r="4150" spans="1:6" x14ac:dyDescent="0.25">
      <c r="A4150" s="86">
        <v>4149</v>
      </c>
      <c r="B4150" s="87">
        <v>48.405968295235652</v>
      </c>
      <c r="C4150" s="14">
        <v>2</v>
      </c>
      <c r="D4150" s="86">
        <v>0.19990499004774431</v>
      </c>
      <c r="E4150" s="86"/>
      <c r="F4150" s="14"/>
    </row>
    <row r="4151" spans="1:6" x14ac:dyDescent="0.25">
      <c r="A4151" s="86">
        <v>4150</v>
      </c>
      <c r="B4151" s="87">
        <v>45.345086613786407</v>
      </c>
      <c r="C4151" s="14">
        <v>2</v>
      </c>
      <c r="D4151" s="86">
        <v>0.79615234293982451</v>
      </c>
      <c r="E4151" s="86"/>
      <c r="F4151" s="14"/>
    </row>
    <row r="4152" spans="1:6" x14ac:dyDescent="0.25">
      <c r="A4152" s="86">
        <v>4151</v>
      </c>
      <c r="B4152" s="87">
        <v>41.99204112807638</v>
      </c>
      <c r="C4152" s="14">
        <v>4</v>
      </c>
      <c r="D4152" s="86">
        <v>0.11886532564055263</v>
      </c>
      <c r="E4152" s="86"/>
      <c r="F4152" s="14"/>
    </row>
    <row r="4153" spans="1:6" x14ac:dyDescent="0.25">
      <c r="A4153" s="86">
        <v>4152</v>
      </c>
      <c r="B4153" s="87">
        <v>42.009992279752623</v>
      </c>
      <c r="C4153" s="14">
        <v>2</v>
      </c>
      <c r="D4153" s="86">
        <v>4.2420261283380611E-2</v>
      </c>
      <c r="E4153" s="86"/>
      <c r="F4153" s="14"/>
    </row>
    <row r="4154" spans="1:6" x14ac:dyDescent="0.25">
      <c r="A4154" s="86">
        <v>4153</v>
      </c>
      <c r="B4154" s="87">
        <v>47.045392643092782</v>
      </c>
      <c r="C4154" s="14">
        <v>4</v>
      </c>
      <c r="D4154" s="86">
        <v>0.82301941819522995</v>
      </c>
      <c r="E4154" s="86"/>
      <c r="F4154" s="14"/>
    </row>
    <row r="4155" spans="1:6" x14ac:dyDescent="0.25">
      <c r="A4155" s="86">
        <v>4154</v>
      </c>
      <c r="B4155" s="87">
        <v>51.67944436322432</v>
      </c>
      <c r="C4155" s="14">
        <v>4</v>
      </c>
      <c r="D4155" s="86">
        <v>0.13008119906437376</v>
      </c>
      <c r="E4155" s="86"/>
      <c r="F4155" s="14"/>
    </row>
    <row r="4156" spans="1:6" x14ac:dyDescent="0.25">
      <c r="A4156" s="86">
        <v>4155</v>
      </c>
      <c r="B4156" s="87">
        <v>50.770063348289113</v>
      </c>
      <c r="C4156" s="14">
        <v>2</v>
      </c>
      <c r="D4156" s="86">
        <v>0.77393058666909131</v>
      </c>
      <c r="E4156" s="86"/>
      <c r="F4156" s="14"/>
    </row>
    <row r="4157" spans="1:6" x14ac:dyDescent="0.25">
      <c r="A4157" s="86">
        <v>4156</v>
      </c>
      <c r="B4157" s="87">
        <v>36.740948411868885</v>
      </c>
      <c r="C4157" s="14">
        <v>1</v>
      </c>
      <c r="D4157" s="86">
        <v>0.51184324704393391</v>
      </c>
      <c r="E4157" s="86"/>
      <c r="F4157" s="14"/>
    </row>
    <row r="4158" spans="1:6" x14ac:dyDescent="0.25">
      <c r="A4158" s="86">
        <v>4157</v>
      </c>
      <c r="B4158" s="87">
        <v>36.300889400416054</v>
      </c>
      <c r="C4158" s="14">
        <v>1</v>
      </c>
      <c r="D4158" s="86">
        <v>0.6107400776405929</v>
      </c>
      <c r="E4158" s="86"/>
      <c r="F4158" s="14"/>
    </row>
    <row r="4159" spans="1:6" x14ac:dyDescent="0.25">
      <c r="A4159" s="86">
        <v>4158</v>
      </c>
      <c r="B4159" s="87">
        <v>46.659351932583377</v>
      </c>
      <c r="C4159" s="14">
        <v>1</v>
      </c>
      <c r="D4159" s="86">
        <v>0.81567614245260434</v>
      </c>
      <c r="E4159" s="86"/>
      <c r="F4159" s="14"/>
    </row>
    <row r="4160" spans="1:6" x14ac:dyDescent="0.25">
      <c r="A4160" s="86">
        <v>4159</v>
      </c>
      <c r="B4160" s="87">
        <v>36.89617642009398</v>
      </c>
      <c r="C4160" s="14">
        <v>2</v>
      </c>
      <c r="D4160" s="86">
        <v>0.1990064860117392</v>
      </c>
      <c r="E4160" s="86"/>
      <c r="F4160" s="14"/>
    </row>
    <row r="4161" spans="1:6" x14ac:dyDescent="0.25">
      <c r="A4161" s="86">
        <v>4160</v>
      </c>
      <c r="B4161" s="87">
        <v>44.706541752355406</v>
      </c>
      <c r="C4161" s="14">
        <v>5</v>
      </c>
      <c r="D4161" s="86">
        <v>0.57780789708060287</v>
      </c>
      <c r="E4161" s="86"/>
      <c r="F4161" s="14"/>
    </row>
    <row r="4162" spans="1:6" x14ac:dyDescent="0.25">
      <c r="A4162" s="86">
        <v>4161</v>
      </c>
      <c r="B4162" s="87">
        <v>48.546735337702557</v>
      </c>
      <c r="C4162" s="14">
        <v>2</v>
      </c>
      <c r="D4162" s="86">
        <v>0.41983801972740653</v>
      </c>
      <c r="E4162" s="86"/>
      <c r="F4162" s="14"/>
    </row>
    <row r="4163" spans="1:6" x14ac:dyDescent="0.25">
      <c r="A4163" s="86">
        <v>4162</v>
      </c>
      <c r="B4163" s="87">
        <v>49.34454409009777</v>
      </c>
      <c r="C4163" s="14">
        <v>2</v>
      </c>
      <c r="D4163" s="86">
        <v>0.49758015933524458</v>
      </c>
      <c r="E4163" s="86"/>
      <c r="F4163" s="14"/>
    </row>
    <row r="4164" spans="1:6" x14ac:dyDescent="0.25">
      <c r="A4164" s="86">
        <v>4163</v>
      </c>
      <c r="B4164" s="87">
        <v>45.95863742394431</v>
      </c>
      <c r="C4164" s="14">
        <v>3</v>
      </c>
      <c r="D4164" s="86">
        <v>0.51093746139621044</v>
      </c>
      <c r="E4164" s="86"/>
      <c r="F4164" s="14"/>
    </row>
    <row r="4165" spans="1:6" x14ac:dyDescent="0.25">
      <c r="A4165" s="86">
        <v>4164</v>
      </c>
      <c r="B4165" s="87">
        <v>45.095589479722548</v>
      </c>
      <c r="C4165" s="14">
        <v>4</v>
      </c>
      <c r="D4165" s="86">
        <v>0.15699752247828092</v>
      </c>
      <c r="E4165" s="86"/>
      <c r="F4165" s="14"/>
    </row>
    <row r="4166" spans="1:6" x14ac:dyDescent="0.25">
      <c r="A4166" s="86">
        <v>4165</v>
      </c>
      <c r="B4166" s="87">
        <v>43.995083837551647</v>
      </c>
      <c r="C4166" s="14">
        <v>4</v>
      </c>
      <c r="D4166" s="86">
        <v>0.26514813261576764</v>
      </c>
      <c r="E4166" s="86"/>
      <c r="F4166" s="14"/>
    </row>
    <row r="4167" spans="1:6" x14ac:dyDescent="0.25">
      <c r="A4167" s="86">
        <v>4166</v>
      </c>
      <c r="B4167" s="87">
        <v>38.519976891955594</v>
      </c>
      <c r="C4167" s="14">
        <v>4</v>
      </c>
      <c r="D4167" s="86">
        <v>0.52181276013889555</v>
      </c>
      <c r="E4167" s="86"/>
      <c r="F4167" s="14"/>
    </row>
    <row r="4168" spans="1:6" x14ac:dyDescent="0.25">
      <c r="A4168" s="86">
        <v>4167</v>
      </c>
      <c r="B4168" s="87">
        <v>37.105155565193854</v>
      </c>
      <c r="C4168" s="14">
        <v>2</v>
      </c>
      <c r="D4168" s="86">
        <v>0.98816115988942133</v>
      </c>
      <c r="E4168" s="86"/>
      <c r="F4168" s="14"/>
    </row>
    <row r="4169" spans="1:6" x14ac:dyDescent="0.25">
      <c r="A4169" s="86">
        <v>4168</v>
      </c>
      <c r="B4169" s="87">
        <v>36.55668478528969</v>
      </c>
      <c r="C4169" s="14">
        <v>4</v>
      </c>
      <c r="D4169" s="86">
        <v>0.24249834171137119</v>
      </c>
      <c r="E4169" s="86"/>
      <c r="F4169" s="14"/>
    </row>
    <row r="4170" spans="1:6" x14ac:dyDescent="0.25">
      <c r="A4170" s="86">
        <v>4169</v>
      </c>
      <c r="B4170" s="87">
        <v>38.66884980595205</v>
      </c>
      <c r="C4170" s="14">
        <v>5</v>
      </c>
      <c r="D4170" s="86">
        <v>0.55454681004421913</v>
      </c>
      <c r="E4170" s="86"/>
      <c r="F4170" s="14"/>
    </row>
    <row r="4171" spans="1:6" x14ac:dyDescent="0.25">
      <c r="A4171" s="86">
        <v>4170</v>
      </c>
      <c r="B4171" s="87">
        <v>38.336384017718956</v>
      </c>
      <c r="C4171" s="14">
        <v>2</v>
      </c>
      <c r="D4171" s="86">
        <v>0.85291126462383382</v>
      </c>
      <c r="E4171" s="86"/>
      <c r="F4171" s="14"/>
    </row>
    <row r="4172" spans="1:6" x14ac:dyDescent="0.25">
      <c r="A4172" s="86">
        <v>4171</v>
      </c>
      <c r="B4172" s="87">
        <v>47.927778718410991</v>
      </c>
      <c r="C4172" s="14">
        <v>2</v>
      </c>
      <c r="D4172" s="86">
        <v>3.321381033737536E-2</v>
      </c>
      <c r="E4172" s="86"/>
      <c r="F4172" s="14"/>
    </row>
    <row r="4173" spans="1:6" x14ac:dyDescent="0.25">
      <c r="A4173" s="86">
        <v>4172</v>
      </c>
      <c r="B4173" s="87">
        <v>40.460980694086174</v>
      </c>
      <c r="C4173" s="14">
        <v>4</v>
      </c>
      <c r="D4173" s="86">
        <v>8.6681167346474908E-2</v>
      </c>
      <c r="E4173" s="86"/>
      <c r="F4173" s="14"/>
    </row>
    <row r="4174" spans="1:6" x14ac:dyDescent="0.25">
      <c r="A4174" s="86">
        <v>4173</v>
      </c>
      <c r="B4174" s="87">
        <v>38.585881151782814</v>
      </c>
      <c r="C4174" s="14">
        <v>2</v>
      </c>
      <c r="D4174" s="86">
        <v>0.95929481544592332</v>
      </c>
      <c r="E4174" s="86"/>
      <c r="F4174" s="14"/>
    </row>
    <row r="4175" spans="1:6" x14ac:dyDescent="0.25">
      <c r="A4175" s="86">
        <v>4174</v>
      </c>
      <c r="B4175" s="87">
        <v>39.207350250188028</v>
      </c>
      <c r="C4175" s="14">
        <v>5</v>
      </c>
      <c r="D4175" s="86">
        <v>0.18829050138993331</v>
      </c>
      <c r="E4175" s="86"/>
      <c r="F4175" s="14"/>
    </row>
    <row r="4176" spans="1:6" x14ac:dyDescent="0.25">
      <c r="A4176" s="86">
        <v>4175</v>
      </c>
      <c r="B4176" s="87">
        <v>50.470748641935643</v>
      </c>
      <c r="C4176" s="14">
        <v>5</v>
      </c>
      <c r="D4176" s="86">
        <v>0.12727182248393087</v>
      </c>
      <c r="E4176" s="86"/>
      <c r="F4176" s="14"/>
    </row>
    <row r="4177" spans="1:6" x14ac:dyDescent="0.25">
      <c r="A4177" s="86">
        <v>4176</v>
      </c>
      <c r="B4177" s="87">
        <v>39.840261928809923</v>
      </c>
      <c r="C4177" s="14">
        <v>5</v>
      </c>
      <c r="D4177" s="86">
        <v>0.63188625919020702</v>
      </c>
      <c r="E4177" s="86"/>
      <c r="F4177" s="14"/>
    </row>
    <row r="4178" spans="1:6" x14ac:dyDescent="0.25">
      <c r="A4178" s="86">
        <v>4177</v>
      </c>
      <c r="B4178" s="87">
        <v>45.640933871589368</v>
      </c>
      <c r="C4178" s="14">
        <v>4</v>
      </c>
      <c r="D4178" s="86">
        <v>0.43489955235273225</v>
      </c>
      <c r="E4178" s="86"/>
      <c r="F4178" s="14"/>
    </row>
    <row r="4179" spans="1:6" x14ac:dyDescent="0.25">
      <c r="A4179" s="86">
        <v>4178</v>
      </c>
      <c r="B4179" s="87">
        <v>38.667178609437542</v>
      </c>
      <c r="C4179" s="14">
        <v>1</v>
      </c>
      <c r="D4179" s="86">
        <v>0.20743631307267796</v>
      </c>
      <c r="E4179" s="86"/>
      <c r="F4179" s="14"/>
    </row>
    <row r="4180" spans="1:6" x14ac:dyDescent="0.25">
      <c r="A4180" s="86">
        <v>4179</v>
      </c>
      <c r="B4180" s="87">
        <v>43.082428641690058</v>
      </c>
      <c r="C4180" s="14">
        <v>4</v>
      </c>
      <c r="D4180" s="86">
        <v>0.34618908102597346</v>
      </c>
      <c r="E4180" s="86"/>
      <c r="F4180" s="14"/>
    </row>
    <row r="4181" spans="1:6" x14ac:dyDescent="0.25">
      <c r="A4181" s="86">
        <v>4180</v>
      </c>
      <c r="B4181" s="87">
        <v>36.354003890999593</v>
      </c>
      <c r="C4181" s="14">
        <v>1</v>
      </c>
      <c r="D4181" s="86">
        <v>0.29623945906055726</v>
      </c>
      <c r="E4181" s="86"/>
      <c r="F4181" s="14"/>
    </row>
    <row r="4182" spans="1:6" x14ac:dyDescent="0.25">
      <c r="A4182" s="86">
        <v>4181</v>
      </c>
      <c r="B4182" s="87">
        <v>44.039990138451685</v>
      </c>
      <c r="C4182" s="14">
        <v>4</v>
      </c>
      <c r="D4182" s="86">
        <v>0.85457935064565815</v>
      </c>
      <c r="E4182" s="86"/>
      <c r="F4182" s="14"/>
    </row>
    <row r="4183" spans="1:6" x14ac:dyDescent="0.25">
      <c r="A4183" s="86">
        <v>4182</v>
      </c>
      <c r="B4183" s="87">
        <v>41.736501538587618</v>
      </c>
      <c r="C4183" s="14">
        <v>2</v>
      </c>
      <c r="D4183" s="86">
        <v>0.33029928273431575</v>
      </c>
      <c r="E4183" s="86"/>
      <c r="F4183" s="14"/>
    </row>
    <row r="4184" spans="1:6" x14ac:dyDescent="0.25">
      <c r="A4184" s="86">
        <v>4183</v>
      </c>
      <c r="B4184" s="87">
        <v>42.903411662671715</v>
      </c>
      <c r="C4184" s="14">
        <v>5</v>
      </c>
      <c r="D4184" s="86">
        <v>0.95756530020267927</v>
      </c>
      <c r="E4184" s="86"/>
      <c r="F4184" s="14"/>
    </row>
    <row r="4185" spans="1:6" x14ac:dyDescent="0.25">
      <c r="A4185" s="86">
        <v>4184</v>
      </c>
      <c r="B4185" s="87">
        <v>47.943967724102549</v>
      </c>
      <c r="C4185" s="14">
        <v>5</v>
      </c>
      <c r="D4185" s="86">
        <v>0.37007656280126544</v>
      </c>
      <c r="E4185" s="86"/>
      <c r="F4185" s="14"/>
    </row>
    <row r="4186" spans="1:6" x14ac:dyDescent="0.25">
      <c r="A4186" s="86">
        <v>4185</v>
      </c>
      <c r="B4186" s="87">
        <v>44.986666120501468</v>
      </c>
      <c r="C4186" s="14">
        <v>2</v>
      </c>
      <c r="D4186" s="86">
        <v>0.40462013212842785</v>
      </c>
      <c r="E4186" s="86"/>
      <c r="F4186" s="14"/>
    </row>
    <row r="4187" spans="1:6" x14ac:dyDescent="0.25">
      <c r="A4187" s="86">
        <v>4186</v>
      </c>
      <c r="B4187" s="87">
        <v>52.887935448205099</v>
      </c>
      <c r="C4187" s="14">
        <v>5</v>
      </c>
      <c r="D4187" s="86">
        <v>0.96442903558946447</v>
      </c>
      <c r="E4187" s="86"/>
      <c r="F4187" s="14"/>
    </row>
    <row r="4188" spans="1:6" x14ac:dyDescent="0.25">
      <c r="A4188" s="86">
        <v>4187</v>
      </c>
      <c r="B4188" s="87">
        <v>38.859423052024795</v>
      </c>
      <c r="C4188" s="14">
        <v>2</v>
      </c>
      <c r="D4188" s="86">
        <v>0.29212002787654845</v>
      </c>
      <c r="E4188" s="86"/>
      <c r="F4188" s="14"/>
    </row>
    <row r="4189" spans="1:6" x14ac:dyDescent="0.25">
      <c r="A4189" s="86">
        <v>4188</v>
      </c>
      <c r="B4189" s="87">
        <v>50.966627890709788</v>
      </c>
      <c r="C4189" s="14">
        <v>4</v>
      </c>
      <c r="D4189" s="86">
        <v>0.7804060857443772</v>
      </c>
      <c r="E4189" s="86"/>
      <c r="F4189" s="14"/>
    </row>
    <row r="4190" spans="1:6" x14ac:dyDescent="0.25">
      <c r="A4190" s="86">
        <v>4189</v>
      </c>
      <c r="B4190" s="87">
        <v>51.02986050985055</v>
      </c>
      <c r="C4190" s="14">
        <v>4</v>
      </c>
      <c r="D4190" s="86">
        <v>0.77159767870903051</v>
      </c>
      <c r="E4190" s="86"/>
      <c r="F4190" s="14"/>
    </row>
    <row r="4191" spans="1:6" x14ac:dyDescent="0.25">
      <c r="A4191" s="86">
        <v>4190</v>
      </c>
      <c r="B4191" s="87">
        <v>40.159022768755676</v>
      </c>
      <c r="C4191" s="14">
        <v>5</v>
      </c>
      <c r="D4191" s="86">
        <v>0.65500639138336514</v>
      </c>
      <c r="E4191" s="86"/>
      <c r="F4191" s="14"/>
    </row>
    <row r="4192" spans="1:6" x14ac:dyDescent="0.25">
      <c r="A4192" s="86">
        <v>4191</v>
      </c>
      <c r="B4192" s="87">
        <v>45.594873649286455</v>
      </c>
      <c r="C4192" s="14">
        <v>2</v>
      </c>
      <c r="D4192" s="86">
        <v>0.81363867800159573</v>
      </c>
      <c r="E4192" s="86"/>
      <c r="F4192" s="14"/>
    </row>
    <row r="4193" spans="1:6" x14ac:dyDescent="0.25">
      <c r="A4193" s="86">
        <v>4192</v>
      </c>
      <c r="B4193" s="87">
        <v>40.172500343367574</v>
      </c>
      <c r="C4193" s="14">
        <v>2</v>
      </c>
      <c r="D4193" s="86">
        <v>0.31433576184201806</v>
      </c>
      <c r="E4193" s="86"/>
      <c r="F4193" s="14"/>
    </row>
    <row r="4194" spans="1:6" x14ac:dyDescent="0.25">
      <c r="A4194" s="86">
        <v>4193</v>
      </c>
      <c r="B4194" s="87">
        <v>38.517123352328781</v>
      </c>
      <c r="C4194" s="14">
        <v>4</v>
      </c>
      <c r="D4194" s="86">
        <v>0.66173554221130537</v>
      </c>
      <c r="E4194" s="86"/>
      <c r="F4194" s="14"/>
    </row>
    <row r="4195" spans="1:6" x14ac:dyDescent="0.25">
      <c r="A4195" s="86">
        <v>4194</v>
      </c>
      <c r="B4195" s="87">
        <v>43.858887005961151</v>
      </c>
      <c r="C4195" s="14">
        <v>2</v>
      </c>
      <c r="D4195" s="86">
        <v>0.65198361092573154</v>
      </c>
      <c r="E4195" s="86"/>
      <c r="F4195" s="14"/>
    </row>
    <row r="4196" spans="1:6" x14ac:dyDescent="0.25">
      <c r="A4196" s="86">
        <v>4195</v>
      </c>
      <c r="B4196" s="87">
        <v>42.663725702703232</v>
      </c>
      <c r="C4196" s="14">
        <v>4</v>
      </c>
      <c r="D4196" s="86">
        <v>0.20546811368453322</v>
      </c>
      <c r="E4196" s="86"/>
      <c r="F4196" s="14"/>
    </row>
    <row r="4197" spans="1:6" x14ac:dyDescent="0.25">
      <c r="A4197" s="86">
        <v>4196</v>
      </c>
      <c r="B4197" s="87">
        <v>38.884707004734082</v>
      </c>
      <c r="C4197" s="14">
        <v>4</v>
      </c>
      <c r="D4197" s="86">
        <v>3.2323912081229977E-2</v>
      </c>
      <c r="E4197" s="86"/>
      <c r="F4197" s="14"/>
    </row>
    <row r="4198" spans="1:6" x14ac:dyDescent="0.25">
      <c r="A4198" s="86">
        <v>4197</v>
      </c>
      <c r="B4198" s="87">
        <v>40.877660007361555</v>
      </c>
      <c r="C4198" s="14">
        <v>1</v>
      </c>
      <c r="D4198" s="86">
        <v>0.81829883103921985</v>
      </c>
      <c r="E4198" s="86"/>
      <c r="F4198" s="14"/>
    </row>
    <row r="4199" spans="1:6" x14ac:dyDescent="0.25">
      <c r="A4199" s="86">
        <v>4198</v>
      </c>
      <c r="B4199" s="87">
        <v>42.527494765061419</v>
      </c>
      <c r="C4199" s="14">
        <v>4</v>
      </c>
      <c r="D4199" s="86">
        <v>3.058769883342749E-3</v>
      </c>
      <c r="E4199" s="86"/>
      <c r="F4199" s="14"/>
    </row>
    <row r="4200" spans="1:6" x14ac:dyDescent="0.25">
      <c r="A4200" s="86">
        <v>4199</v>
      </c>
      <c r="B4200" s="87">
        <v>43.447926140623167</v>
      </c>
      <c r="C4200" s="14">
        <v>2</v>
      </c>
      <c r="D4200" s="86">
        <v>0.35892096240580229</v>
      </c>
      <c r="E4200" s="86"/>
      <c r="F4200" s="14"/>
    </row>
    <row r="4201" spans="1:6" x14ac:dyDescent="0.25">
      <c r="A4201" s="86">
        <v>4200</v>
      </c>
      <c r="B4201" s="87">
        <v>42.158580976654775</v>
      </c>
      <c r="C4201" s="14">
        <v>4</v>
      </c>
      <c r="D4201" s="86">
        <v>0.61251556722666056</v>
      </c>
      <c r="E4201" s="86"/>
      <c r="F4201" s="14"/>
    </row>
    <row r="4202" spans="1:6" x14ac:dyDescent="0.25">
      <c r="A4202" s="86">
        <v>4201</v>
      </c>
      <c r="B4202" s="87">
        <v>42.426728436446865</v>
      </c>
      <c r="C4202" s="14">
        <v>2</v>
      </c>
      <c r="D4202" s="86">
        <v>0.61666660110407445</v>
      </c>
      <c r="E4202" s="86"/>
      <c r="F4202" s="14"/>
    </row>
    <row r="4203" spans="1:6" x14ac:dyDescent="0.25">
      <c r="A4203" s="86">
        <v>4202</v>
      </c>
      <c r="B4203" s="87">
        <v>43.6538186880789</v>
      </c>
      <c r="C4203" s="14">
        <v>5</v>
      </c>
      <c r="D4203" s="86">
        <v>0.22796570163010543</v>
      </c>
      <c r="E4203" s="86"/>
      <c r="F4203" s="14"/>
    </row>
    <row r="4204" spans="1:6" x14ac:dyDescent="0.25">
      <c r="A4204" s="86">
        <v>4203</v>
      </c>
      <c r="B4204" s="87">
        <v>41.323028194135986</v>
      </c>
      <c r="C4204" s="14">
        <v>4</v>
      </c>
      <c r="D4204" s="86">
        <v>0.97806921544104897</v>
      </c>
      <c r="E4204" s="86"/>
      <c r="F4204" s="14"/>
    </row>
    <row r="4205" spans="1:6" x14ac:dyDescent="0.25">
      <c r="A4205" s="86">
        <v>4204</v>
      </c>
      <c r="B4205" s="87">
        <v>40.520416172847035</v>
      </c>
      <c r="C4205" s="14">
        <v>2</v>
      </c>
      <c r="D4205" s="86">
        <v>0.89964888401948517</v>
      </c>
      <c r="E4205" s="86"/>
      <c r="F4205" s="14"/>
    </row>
    <row r="4206" spans="1:6" x14ac:dyDescent="0.25">
      <c r="A4206" s="86">
        <v>4205</v>
      </c>
      <c r="B4206" s="87">
        <v>44.949877059814753</v>
      </c>
      <c r="C4206" s="14">
        <v>4</v>
      </c>
      <c r="D4206" s="86">
        <v>4.2028460825705105E-2</v>
      </c>
      <c r="E4206" s="86"/>
      <c r="F4206" s="14"/>
    </row>
    <row r="4207" spans="1:6" x14ac:dyDescent="0.25">
      <c r="A4207" s="86">
        <v>4206</v>
      </c>
      <c r="B4207" s="87">
        <v>44.416145778421196</v>
      </c>
      <c r="C4207" s="14">
        <v>2</v>
      </c>
      <c r="D4207" s="86">
        <v>0.28747921063881887</v>
      </c>
      <c r="E4207" s="86"/>
      <c r="F4207" s="14"/>
    </row>
    <row r="4208" spans="1:6" x14ac:dyDescent="0.25">
      <c r="A4208" s="86">
        <v>4207</v>
      </c>
      <c r="B4208" s="87">
        <v>47.79644768347498</v>
      </c>
      <c r="C4208" s="14">
        <v>4</v>
      </c>
      <c r="D4208" s="86">
        <v>0.48194121029388182</v>
      </c>
      <c r="E4208" s="86"/>
      <c r="F4208" s="14"/>
    </row>
    <row r="4209" spans="1:6" x14ac:dyDescent="0.25">
      <c r="A4209" s="86">
        <v>4208</v>
      </c>
      <c r="B4209" s="87">
        <v>39.000599367107498</v>
      </c>
      <c r="C4209" s="14">
        <v>4</v>
      </c>
      <c r="D4209" s="86">
        <v>0.62195771128476407</v>
      </c>
      <c r="E4209" s="86"/>
      <c r="F4209" s="14"/>
    </row>
    <row r="4210" spans="1:6" x14ac:dyDescent="0.25">
      <c r="A4210" s="86">
        <v>4209</v>
      </c>
      <c r="B4210" s="87">
        <v>42.219812707451638</v>
      </c>
      <c r="C4210" s="14">
        <v>4</v>
      </c>
      <c r="D4210" s="86">
        <v>0.15918338644334751</v>
      </c>
      <c r="E4210" s="86"/>
      <c r="F4210" s="14"/>
    </row>
    <row r="4211" spans="1:6" x14ac:dyDescent="0.25">
      <c r="A4211" s="86">
        <v>4210</v>
      </c>
      <c r="B4211" s="87">
        <v>45.513814933990943</v>
      </c>
      <c r="C4211" s="14">
        <v>3</v>
      </c>
      <c r="D4211" s="86">
        <v>0.74040191403390965</v>
      </c>
      <c r="E4211" s="86"/>
      <c r="F4211" s="14"/>
    </row>
    <row r="4212" spans="1:6" x14ac:dyDescent="0.25">
      <c r="A4212" s="86">
        <v>4211</v>
      </c>
      <c r="B4212" s="87">
        <v>43.263850097326213</v>
      </c>
      <c r="C4212" s="14">
        <v>4</v>
      </c>
      <c r="D4212" s="86">
        <v>0.21023063002584219</v>
      </c>
      <c r="E4212" s="86"/>
      <c r="F4212" s="14"/>
    </row>
    <row r="4213" spans="1:6" x14ac:dyDescent="0.25">
      <c r="A4213" s="86">
        <v>4212</v>
      </c>
      <c r="B4213" s="87">
        <v>44.124959680964821</v>
      </c>
      <c r="C4213" s="14">
        <v>4</v>
      </c>
      <c r="D4213" s="86">
        <v>0.88633696771911286</v>
      </c>
      <c r="E4213" s="86"/>
      <c r="F4213" s="14"/>
    </row>
    <row r="4214" spans="1:6" x14ac:dyDescent="0.25">
      <c r="A4214" s="86">
        <v>4213</v>
      </c>
      <c r="B4214" s="87">
        <v>39.388976342132082</v>
      </c>
      <c r="C4214" s="14">
        <v>5</v>
      </c>
      <c r="D4214" s="86">
        <v>0.75964552519931494</v>
      </c>
      <c r="E4214" s="86"/>
      <c r="F4214" s="14"/>
    </row>
    <row r="4215" spans="1:6" x14ac:dyDescent="0.25">
      <c r="A4215" s="86">
        <v>4214</v>
      </c>
      <c r="B4215" s="87">
        <v>45.814493882397073</v>
      </c>
      <c r="C4215" s="14">
        <v>1</v>
      </c>
      <c r="D4215" s="86">
        <v>0.75339630431417282</v>
      </c>
      <c r="E4215" s="86"/>
      <c r="F4215" s="14"/>
    </row>
    <row r="4216" spans="1:6" x14ac:dyDescent="0.25">
      <c r="A4216" s="86">
        <v>4215</v>
      </c>
      <c r="B4216" s="87">
        <v>44.666455773374764</v>
      </c>
      <c r="C4216" s="14">
        <v>3</v>
      </c>
      <c r="D4216" s="86">
        <v>0.55614889941477874</v>
      </c>
      <c r="E4216" s="86"/>
      <c r="F4216" s="14"/>
    </row>
    <row r="4217" spans="1:6" x14ac:dyDescent="0.25">
      <c r="A4217" s="86">
        <v>4216</v>
      </c>
      <c r="B4217" s="87">
        <v>43.25465851649642</v>
      </c>
      <c r="C4217" s="14">
        <v>5</v>
      </c>
      <c r="D4217" s="86">
        <v>0.91916473538319743</v>
      </c>
      <c r="E4217" s="86"/>
      <c r="F4217" s="14"/>
    </row>
    <row r="4218" spans="1:6" x14ac:dyDescent="0.25">
      <c r="A4218" s="86">
        <v>4217</v>
      </c>
      <c r="B4218" s="87">
        <v>40.877660007361555</v>
      </c>
      <c r="C4218" s="14">
        <v>4</v>
      </c>
      <c r="D4218" s="86">
        <v>0.52992269579614681</v>
      </c>
      <c r="E4218" s="86"/>
      <c r="F4218" s="14"/>
    </row>
    <row r="4219" spans="1:6" x14ac:dyDescent="0.25">
      <c r="A4219" s="86">
        <v>4218</v>
      </c>
      <c r="B4219" s="87">
        <v>45.719536951190094</v>
      </c>
      <c r="C4219" s="14">
        <v>4</v>
      </c>
      <c r="D4219" s="86">
        <v>0.64353778501382175</v>
      </c>
      <c r="E4219" s="86"/>
      <c r="F4219" s="14"/>
    </row>
    <row r="4220" spans="1:6" x14ac:dyDescent="0.25">
      <c r="A4220" s="86">
        <v>4219</v>
      </c>
      <c r="B4220" s="87">
        <v>47.756611815537326</v>
      </c>
      <c r="C4220" s="14">
        <v>4</v>
      </c>
      <c r="D4220" s="86">
        <v>0.11649600680564454</v>
      </c>
      <c r="E4220" s="86"/>
      <c r="F4220" s="14"/>
    </row>
    <row r="4221" spans="1:6" x14ac:dyDescent="0.25">
      <c r="A4221" s="86">
        <v>4220</v>
      </c>
      <c r="B4221" s="87">
        <v>38.666621543932706</v>
      </c>
      <c r="C4221" s="14">
        <v>2</v>
      </c>
      <c r="D4221" s="86">
        <v>4.9085683627216325E-2</v>
      </c>
      <c r="E4221" s="86"/>
      <c r="F4221" s="14"/>
    </row>
    <row r="4222" spans="1:6" x14ac:dyDescent="0.25">
      <c r="A4222" s="86">
        <v>4221</v>
      </c>
      <c r="B4222" s="87">
        <v>36.311200796597404</v>
      </c>
      <c r="C4222" s="14">
        <v>4</v>
      </c>
      <c r="D4222" s="86">
        <v>0.86417202294883166</v>
      </c>
      <c r="E4222" s="86"/>
      <c r="F4222" s="14"/>
    </row>
    <row r="4223" spans="1:6" x14ac:dyDescent="0.25">
      <c r="A4223" s="86">
        <v>4222</v>
      </c>
      <c r="B4223" s="87">
        <v>41.503642473224318</v>
      </c>
      <c r="C4223" s="14">
        <v>2</v>
      </c>
      <c r="D4223" s="86">
        <v>0.70787398896270548</v>
      </c>
      <c r="E4223" s="86"/>
      <c r="F4223" s="14"/>
    </row>
    <row r="4224" spans="1:6" x14ac:dyDescent="0.25">
      <c r="A4224" s="86">
        <v>4223</v>
      </c>
      <c r="B4224" s="87">
        <v>38.833502453024266</v>
      </c>
      <c r="C4224" s="14">
        <v>4</v>
      </c>
      <c r="D4224" s="86">
        <v>0.38317322835563861</v>
      </c>
      <c r="E4224" s="86"/>
      <c r="F4224" s="14"/>
    </row>
    <row r="4225" spans="1:6" x14ac:dyDescent="0.25">
      <c r="A4225" s="86">
        <v>4224</v>
      </c>
      <c r="B4225" s="87">
        <v>39.000076407653978</v>
      </c>
      <c r="C4225" s="14">
        <v>5</v>
      </c>
      <c r="D4225" s="86">
        <v>0.24473771037950587</v>
      </c>
      <c r="E4225" s="86"/>
      <c r="F4225" s="14"/>
    </row>
    <row r="4226" spans="1:6" x14ac:dyDescent="0.25">
      <c r="A4226" s="86">
        <v>4225</v>
      </c>
      <c r="B4226" s="87">
        <v>44.349383182969177</v>
      </c>
      <c r="C4226" s="14">
        <v>4</v>
      </c>
      <c r="D4226" s="86">
        <v>0.56723521213954931</v>
      </c>
      <c r="E4226" s="86"/>
      <c r="F4226" s="14"/>
    </row>
    <row r="4227" spans="1:6" x14ac:dyDescent="0.25">
      <c r="A4227" s="86">
        <v>4226</v>
      </c>
      <c r="B4227" s="87">
        <v>38.006521658069687</v>
      </c>
      <c r="C4227" s="14">
        <v>5</v>
      </c>
      <c r="D4227" s="86">
        <v>4.4330277584093247E-2</v>
      </c>
      <c r="E4227" s="86"/>
      <c r="F4227" s="14"/>
    </row>
    <row r="4228" spans="1:6" x14ac:dyDescent="0.25">
      <c r="A4228" s="86">
        <v>4227</v>
      </c>
      <c r="B4228" s="87">
        <v>46.808986548392568</v>
      </c>
      <c r="C4228" s="14">
        <v>2</v>
      </c>
      <c r="D4228" s="86">
        <v>0.24552245570707087</v>
      </c>
      <c r="E4228" s="86"/>
      <c r="F4228" s="14"/>
    </row>
    <row r="4229" spans="1:6" x14ac:dyDescent="0.25">
      <c r="A4229" s="86">
        <v>4228</v>
      </c>
      <c r="B4229" s="87">
        <v>37.691802385204937</v>
      </c>
      <c r="C4229" s="14">
        <v>5</v>
      </c>
      <c r="D4229" s="86">
        <v>0.40617603471732866</v>
      </c>
      <c r="E4229" s="86"/>
      <c r="F4229" s="14"/>
    </row>
    <row r="4230" spans="1:6" x14ac:dyDescent="0.25">
      <c r="A4230" s="86">
        <v>4229</v>
      </c>
      <c r="B4230" s="87">
        <v>46.124324621239793</v>
      </c>
      <c r="C4230" s="14">
        <v>4</v>
      </c>
      <c r="D4230" s="86">
        <v>0.1096265821147171</v>
      </c>
      <c r="E4230" s="86"/>
      <c r="F4230" s="14"/>
    </row>
    <row r="4231" spans="1:6" x14ac:dyDescent="0.25">
      <c r="A4231" s="86">
        <v>4230</v>
      </c>
      <c r="B4231" s="87">
        <v>40.725984712815261</v>
      </c>
      <c r="C4231" s="14">
        <v>3</v>
      </c>
      <c r="D4231" s="86">
        <v>0.25540126723931078</v>
      </c>
      <c r="E4231" s="86"/>
      <c r="F4231" s="14"/>
    </row>
    <row r="4232" spans="1:6" x14ac:dyDescent="0.25">
      <c r="A4232" s="86">
        <v>4231</v>
      </c>
      <c r="B4232" s="87">
        <v>45.168894752685446</v>
      </c>
      <c r="C4232" s="14">
        <v>2</v>
      </c>
      <c r="D4232" s="86">
        <v>0.45693723250084872</v>
      </c>
      <c r="E4232" s="86"/>
      <c r="F4232" s="14"/>
    </row>
    <row r="4233" spans="1:6" x14ac:dyDescent="0.25">
      <c r="A4233" s="86">
        <v>4232</v>
      </c>
      <c r="B4233" s="87">
        <v>38.942926034331322</v>
      </c>
      <c r="C4233" s="14">
        <v>2</v>
      </c>
      <c r="D4233" s="86">
        <v>0.45488278201737509</v>
      </c>
      <c r="E4233" s="86"/>
      <c r="F4233" s="14"/>
    </row>
    <row r="4234" spans="1:6" x14ac:dyDescent="0.25">
      <c r="A4234" s="86">
        <v>4233</v>
      </c>
      <c r="B4234" s="87">
        <v>44.644235680942074</v>
      </c>
      <c r="C4234" s="14">
        <v>2</v>
      </c>
      <c r="D4234" s="86">
        <v>3.2388860131125519E-2</v>
      </c>
      <c r="E4234" s="86"/>
      <c r="F4234" s="14"/>
    </row>
    <row r="4235" spans="1:6" x14ac:dyDescent="0.25">
      <c r="A4235" s="86">
        <v>4234</v>
      </c>
      <c r="B4235" s="87">
        <v>42.743806711194338</v>
      </c>
      <c r="C4235" s="14">
        <v>2</v>
      </c>
      <c r="D4235" s="86">
        <v>0.49596322093766643</v>
      </c>
      <c r="E4235" s="86"/>
      <c r="F4235" s="14"/>
    </row>
    <row r="4236" spans="1:6" x14ac:dyDescent="0.25">
      <c r="A4236" s="86">
        <v>4235</v>
      </c>
      <c r="B4236" s="87">
        <v>41.386817878781585</v>
      </c>
      <c r="C4236" s="14">
        <v>2</v>
      </c>
      <c r="D4236" s="86">
        <v>0.17130418246252921</v>
      </c>
      <c r="E4236" s="86"/>
      <c r="F4236" s="14"/>
    </row>
    <row r="4237" spans="1:6" x14ac:dyDescent="0.25">
      <c r="A4237" s="86">
        <v>4236</v>
      </c>
      <c r="B4237" s="87">
        <v>43.142881617648527</v>
      </c>
      <c r="C4237" s="14">
        <v>1</v>
      </c>
      <c r="D4237" s="86">
        <v>0.24570005869649436</v>
      </c>
      <c r="E4237" s="86"/>
      <c r="F4237" s="14"/>
    </row>
    <row r="4238" spans="1:6" x14ac:dyDescent="0.25">
      <c r="A4238" s="86">
        <v>4237</v>
      </c>
      <c r="B4238" s="87">
        <v>45.138676791219041</v>
      </c>
      <c r="C4238" s="14">
        <v>2</v>
      </c>
      <c r="D4238" s="86">
        <v>0.80811163992098589</v>
      </c>
      <c r="E4238" s="86"/>
      <c r="F4238" s="14"/>
    </row>
    <row r="4239" spans="1:6" x14ac:dyDescent="0.25">
      <c r="A4239" s="86">
        <v>4238</v>
      </c>
      <c r="B4239" s="87">
        <v>49.9828729465371</v>
      </c>
      <c r="C4239" s="14">
        <v>3</v>
      </c>
      <c r="D4239" s="86">
        <v>0.34844516382582258</v>
      </c>
      <c r="E4239" s="86"/>
      <c r="F4239" s="14"/>
    </row>
    <row r="4240" spans="1:6" x14ac:dyDescent="0.25">
      <c r="A4240" s="86">
        <v>4239</v>
      </c>
      <c r="B4240" s="87">
        <v>39.689359704760136</v>
      </c>
      <c r="C4240" s="14">
        <v>2</v>
      </c>
      <c r="D4240" s="86">
        <v>4.8888245800152386E-2</v>
      </c>
      <c r="E4240" s="86"/>
      <c r="F4240" s="14"/>
    </row>
    <row r="4241" spans="1:6" x14ac:dyDescent="0.25">
      <c r="A4241" s="86">
        <v>4240</v>
      </c>
      <c r="B4241" s="87">
        <v>46.202819698344683</v>
      </c>
      <c r="C4241" s="14">
        <v>4</v>
      </c>
      <c r="D4241" s="86">
        <v>4.9978153902360045E-2</v>
      </c>
      <c r="E4241" s="86"/>
      <c r="F4241" s="14"/>
    </row>
    <row r="4242" spans="1:6" x14ac:dyDescent="0.25">
      <c r="A4242" s="86">
        <v>4241</v>
      </c>
      <c r="B4242" s="87">
        <v>54.059182725148275</v>
      </c>
      <c r="C4242" s="14">
        <v>4</v>
      </c>
      <c r="D4242" s="86">
        <v>0.63382236403699233</v>
      </c>
      <c r="E4242" s="86"/>
      <c r="F4242" s="14"/>
    </row>
    <row r="4243" spans="1:6" x14ac:dyDescent="0.25">
      <c r="A4243" s="86">
        <v>4242</v>
      </c>
      <c r="B4243" s="87">
        <v>36.861365510383621</v>
      </c>
      <c r="C4243" s="14">
        <v>5</v>
      </c>
      <c r="D4243" s="86">
        <v>0.40126707918733395</v>
      </c>
      <c r="E4243" s="86"/>
      <c r="F4243" s="14"/>
    </row>
    <row r="4244" spans="1:6" x14ac:dyDescent="0.25">
      <c r="A4244" s="86">
        <v>4243</v>
      </c>
      <c r="B4244" s="87">
        <v>45.929073161794804</v>
      </c>
      <c r="C4244" s="14">
        <v>5</v>
      </c>
      <c r="D4244" s="86">
        <v>0.21629565691656494</v>
      </c>
      <c r="E4244" s="86"/>
      <c r="F4244" s="14"/>
    </row>
    <row r="4245" spans="1:6" x14ac:dyDescent="0.25">
      <c r="A4245" s="86">
        <v>4244</v>
      </c>
      <c r="B4245" s="87">
        <v>45.787197672660113</v>
      </c>
      <c r="C4245" s="14">
        <v>4</v>
      </c>
      <c r="D4245" s="86">
        <v>5.723546599829421E-2</v>
      </c>
      <c r="E4245" s="86"/>
      <c r="F4245" s="14"/>
    </row>
    <row r="4246" spans="1:6" x14ac:dyDescent="0.25">
      <c r="A4246" s="86">
        <v>4245</v>
      </c>
      <c r="B4246" s="87">
        <v>42.586248122795951</v>
      </c>
      <c r="C4246" s="14">
        <v>4</v>
      </c>
      <c r="D4246" s="86">
        <v>0.83284181018821346</v>
      </c>
      <c r="E4246" s="86"/>
      <c r="F4246" s="14"/>
    </row>
    <row r="4247" spans="1:6" x14ac:dyDescent="0.25">
      <c r="A4247" s="86">
        <v>4246</v>
      </c>
      <c r="B4247" s="87">
        <v>50.141557034628931</v>
      </c>
      <c r="C4247" s="14">
        <v>2</v>
      </c>
      <c r="D4247" s="86">
        <v>0.87182783189441349</v>
      </c>
      <c r="E4247" s="86"/>
      <c r="F4247" s="14"/>
    </row>
    <row r="4248" spans="1:6" x14ac:dyDescent="0.25">
      <c r="A4248" s="86">
        <v>4247</v>
      </c>
      <c r="B4248" s="87">
        <v>38.288305854046484</v>
      </c>
      <c r="C4248" s="14">
        <v>4</v>
      </c>
      <c r="D4248" s="86">
        <v>0.4541934867993489</v>
      </c>
      <c r="E4248" s="86"/>
      <c r="F4248" s="14"/>
    </row>
    <row r="4249" spans="1:6" x14ac:dyDescent="0.25">
      <c r="A4249" s="86">
        <v>4248</v>
      </c>
      <c r="B4249" s="87">
        <v>45.653700903465506</v>
      </c>
      <c r="C4249" s="14">
        <v>5</v>
      </c>
      <c r="D4249" s="86">
        <v>0.27275654236396552</v>
      </c>
      <c r="E4249" s="86"/>
      <c r="F4249" s="14"/>
    </row>
    <row r="4250" spans="1:6" x14ac:dyDescent="0.25">
      <c r="A4250" s="86">
        <v>4249</v>
      </c>
      <c r="B4250" s="87">
        <v>41.440318904613378</v>
      </c>
      <c r="C4250" s="14">
        <v>4</v>
      </c>
      <c r="D4250" s="86">
        <v>0.1538639760060152</v>
      </c>
      <c r="E4250" s="86"/>
      <c r="F4250" s="14"/>
    </row>
    <row r="4251" spans="1:6" x14ac:dyDescent="0.25">
      <c r="A4251" s="86">
        <v>4250</v>
      </c>
      <c r="B4251" s="87">
        <v>46.716081664606463</v>
      </c>
      <c r="C4251" s="14">
        <v>5</v>
      </c>
      <c r="D4251" s="86">
        <v>0.48567084617343037</v>
      </c>
      <c r="E4251" s="86"/>
      <c r="F4251" s="14"/>
    </row>
    <row r="4252" spans="1:6" x14ac:dyDescent="0.25">
      <c r="A4252" s="86">
        <v>4251</v>
      </c>
      <c r="B4252" s="87">
        <v>38.883626979775727</v>
      </c>
      <c r="C4252" s="14">
        <v>4</v>
      </c>
      <c r="D4252" s="86">
        <v>0.11475796051747644</v>
      </c>
      <c r="E4252" s="86"/>
      <c r="F4252" s="14"/>
    </row>
    <row r="4253" spans="1:6" x14ac:dyDescent="0.25">
      <c r="A4253" s="86">
        <v>4252</v>
      </c>
      <c r="B4253" s="87">
        <v>50.55114797357237</v>
      </c>
      <c r="C4253" s="14">
        <v>2</v>
      </c>
      <c r="D4253" s="86">
        <v>0.81437046145022352</v>
      </c>
      <c r="E4253" s="86"/>
      <c r="F4253" s="14"/>
    </row>
    <row r="4254" spans="1:6" x14ac:dyDescent="0.25">
      <c r="A4254" s="86">
        <v>4253</v>
      </c>
      <c r="B4254" s="87">
        <v>43.305993808069616</v>
      </c>
      <c r="C4254" s="14">
        <v>2</v>
      </c>
      <c r="D4254" s="86">
        <v>0.472798321736287</v>
      </c>
      <c r="E4254" s="86"/>
      <c r="F4254" s="14"/>
    </row>
    <row r="4255" spans="1:6" x14ac:dyDescent="0.25">
      <c r="A4255" s="86">
        <v>4254</v>
      </c>
      <c r="B4255" s="87">
        <v>40.511758920154534</v>
      </c>
      <c r="C4255" s="14">
        <v>2</v>
      </c>
      <c r="D4255" s="86">
        <v>0.19543299647651846</v>
      </c>
      <c r="E4255" s="86"/>
      <c r="F4255" s="14"/>
    </row>
    <row r="4256" spans="1:6" x14ac:dyDescent="0.25">
      <c r="A4256" s="86">
        <v>4255</v>
      </c>
      <c r="B4256" s="87">
        <v>37.272741332679288</v>
      </c>
      <c r="C4256" s="14">
        <v>2</v>
      </c>
      <c r="D4256" s="86">
        <v>0.59023237393856021</v>
      </c>
      <c r="E4256" s="86"/>
      <c r="F4256" s="14"/>
    </row>
    <row r="4257" spans="1:6" x14ac:dyDescent="0.25">
      <c r="A4257" s="86">
        <v>4256</v>
      </c>
      <c r="B4257" s="87">
        <v>37.923962276516249</v>
      </c>
      <c r="C4257" s="14">
        <v>4</v>
      </c>
      <c r="D4257" s="86">
        <v>0.69677296361408436</v>
      </c>
      <c r="E4257" s="86"/>
      <c r="F4257" s="14"/>
    </row>
    <row r="4258" spans="1:6" x14ac:dyDescent="0.25">
      <c r="A4258" s="86">
        <v>4257</v>
      </c>
      <c r="B4258" s="87">
        <v>37.822383087011985</v>
      </c>
      <c r="C4258" s="14">
        <v>4</v>
      </c>
      <c r="D4258" s="86">
        <v>0.92624779094573439</v>
      </c>
      <c r="E4258" s="86"/>
      <c r="F4258" s="14"/>
    </row>
    <row r="4259" spans="1:6" x14ac:dyDescent="0.25">
      <c r="A4259" s="86">
        <v>4258</v>
      </c>
      <c r="B4259" s="87">
        <v>48.418337423179764</v>
      </c>
      <c r="C4259" s="14">
        <v>1</v>
      </c>
      <c r="D4259" s="86">
        <v>0.42850402808993693</v>
      </c>
      <c r="E4259" s="86"/>
      <c r="F4259" s="14"/>
    </row>
    <row r="4260" spans="1:6" x14ac:dyDescent="0.25">
      <c r="A4260" s="86">
        <v>4259</v>
      </c>
      <c r="B4260" s="87">
        <v>40.550219177355757</v>
      </c>
      <c r="C4260" s="14">
        <v>5</v>
      </c>
      <c r="D4260" s="86">
        <v>0.65860056142078849</v>
      </c>
      <c r="E4260" s="86"/>
      <c r="F4260" s="14"/>
    </row>
    <row r="4261" spans="1:6" x14ac:dyDescent="0.25">
      <c r="A4261" s="86">
        <v>4260</v>
      </c>
      <c r="B4261" s="87">
        <v>45.556441813794663</v>
      </c>
      <c r="C4261" s="14">
        <v>4</v>
      </c>
      <c r="D4261" s="86">
        <v>0.19997907925603498</v>
      </c>
      <c r="E4261" s="86"/>
      <c r="F4261" s="14"/>
    </row>
    <row r="4262" spans="1:6" x14ac:dyDescent="0.25">
      <c r="A4262" s="86">
        <v>4261</v>
      </c>
      <c r="B4262" s="87">
        <v>41.415802338058711</v>
      </c>
      <c r="C4262" s="14">
        <v>2</v>
      </c>
      <c r="D4262" s="86">
        <v>0.54380708472481765</v>
      </c>
      <c r="E4262" s="86"/>
      <c r="F4262" s="14"/>
    </row>
    <row r="4263" spans="1:6" x14ac:dyDescent="0.25">
      <c r="A4263" s="86">
        <v>4262</v>
      </c>
      <c r="B4263" s="87">
        <v>39.079111497238046</v>
      </c>
      <c r="C4263" s="14">
        <v>4</v>
      </c>
      <c r="D4263" s="86">
        <v>0.73012187961035591</v>
      </c>
      <c r="E4263" s="86"/>
      <c r="F4263" s="14"/>
    </row>
    <row r="4264" spans="1:6" x14ac:dyDescent="0.25">
      <c r="A4264" s="86">
        <v>4263</v>
      </c>
      <c r="B4264" s="87">
        <v>42.140339923542342</v>
      </c>
      <c r="C4264" s="14">
        <v>5</v>
      </c>
      <c r="D4264" s="86">
        <v>5.4595024962787453E-2</v>
      </c>
      <c r="E4264" s="86"/>
      <c r="F4264" s="14"/>
    </row>
    <row r="4265" spans="1:6" x14ac:dyDescent="0.25">
      <c r="A4265" s="86">
        <v>4264</v>
      </c>
      <c r="B4265" s="87">
        <v>50.24053279554937</v>
      </c>
      <c r="C4265" s="14">
        <v>4</v>
      </c>
      <c r="D4265" s="86">
        <v>0.49759093792965614</v>
      </c>
      <c r="E4265" s="86"/>
      <c r="F4265" s="14"/>
    </row>
    <row r="4266" spans="1:6" x14ac:dyDescent="0.25">
      <c r="A4266" s="86">
        <v>4265</v>
      </c>
      <c r="B4266" s="87">
        <v>42.536328232352389</v>
      </c>
      <c r="C4266" s="14">
        <v>3</v>
      </c>
      <c r="D4266" s="86">
        <v>0.20961883575222939</v>
      </c>
      <c r="E4266" s="86"/>
      <c r="F4266" s="14"/>
    </row>
    <row r="4267" spans="1:6" x14ac:dyDescent="0.25">
      <c r="A4267" s="86">
        <v>4266</v>
      </c>
      <c r="B4267" s="87">
        <v>52.339737516711466</v>
      </c>
      <c r="C4267" s="14">
        <v>2</v>
      </c>
      <c r="D4267" s="86">
        <v>0.53317986675660423</v>
      </c>
      <c r="E4267" s="86"/>
      <c r="F4267" s="14"/>
    </row>
    <row r="4268" spans="1:6" x14ac:dyDescent="0.25">
      <c r="A4268" s="86">
        <v>4267</v>
      </c>
      <c r="B4268" s="87">
        <v>35.59400738083059</v>
      </c>
      <c r="C4268" s="14">
        <v>4</v>
      </c>
      <c r="D4268" s="86">
        <v>0.9347142732237903</v>
      </c>
      <c r="E4268" s="86"/>
      <c r="F4268" s="14"/>
    </row>
    <row r="4269" spans="1:6" x14ac:dyDescent="0.25">
      <c r="A4269" s="86">
        <v>4268</v>
      </c>
      <c r="B4269" s="87">
        <v>43.112271436591982</v>
      </c>
      <c r="C4269" s="14">
        <v>1</v>
      </c>
      <c r="D4269" s="86">
        <v>0.31047209308163981</v>
      </c>
      <c r="E4269" s="86"/>
      <c r="F4269" s="14"/>
    </row>
    <row r="4270" spans="1:6" x14ac:dyDescent="0.25">
      <c r="A4270" s="86">
        <v>4269</v>
      </c>
      <c r="B4270" s="87">
        <v>45.389151632087305</v>
      </c>
      <c r="C4270" s="14">
        <v>2</v>
      </c>
      <c r="D4270" s="86">
        <v>0.59890450798008077</v>
      </c>
      <c r="E4270" s="86"/>
      <c r="F4270" s="14"/>
    </row>
    <row r="4271" spans="1:6" x14ac:dyDescent="0.25">
      <c r="A4271" s="86">
        <v>4270</v>
      </c>
      <c r="B4271" s="87">
        <v>33.979949870961718</v>
      </c>
      <c r="C4271" s="14">
        <v>2</v>
      </c>
      <c r="D4271" s="86">
        <v>0.69187895879705763</v>
      </c>
      <c r="E4271" s="86"/>
      <c r="F4271" s="14"/>
    </row>
    <row r="4272" spans="1:6" x14ac:dyDescent="0.25">
      <c r="A4272" s="86">
        <v>4271</v>
      </c>
      <c r="B4272" s="87">
        <v>46.873208243021509</v>
      </c>
      <c r="C4272" s="14">
        <v>4</v>
      </c>
      <c r="D4272" s="86">
        <v>0.86009648846071762</v>
      </c>
      <c r="E4272" s="86"/>
      <c r="F4272" s="14"/>
    </row>
    <row r="4273" spans="1:6" x14ac:dyDescent="0.25">
      <c r="A4273" s="86">
        <v>4272</v>
      </c>
      <c r="B4273" s="87">
        <v>41.131579559412785</v>
      </c>
      <c r="C4273" s="14">
        <v>4</v>
      </c>
      <c r="D4273" s="86">
        <v>0.28576838348079037</v>
      </c>
      <c r="E4273" s="86"/>
      <c r="F4273" s="14"/>
    </row>
    <row r="4274" spans="1:6" x14ac:dyDescent="0.25">
      <c r="A4274" s="86">
        <v>4273</v>
      </c>
      <c r="B4274" s="87">
        <v>35.611151355959009</v>
      </c>
      <c r="C4274" s="14">
        <v>2</v>
      </c>
      <c r="D4274" s="86">
        <v>0.93296059383770014</v>
      </c>
      <c r="E4274" s="86"/>
      <c r="F4274" s="14"/>
    </row>
    <row r="4275" spans="1:6" x14ac:dyDescent="0.25">
      <c r="A4275" s="86">
        <v>4274</v>
      </c>
      <c r="B4275" s="87">
        <v>43.331669980369043</v>
      </c>
      <c r="C4275" s="14">
        <v>5</v>
      </c>
      <c r="D4275" s="86">
        <v>0.58200830785526603</v>
      </c>
      <c r="E4275" s="86"/>
      <c r="F4275" s="14"/>
    </row>
    <row r="4276" spans="1:6" x14ac:dyDescent="0.25">
      <c r="A4276" s="86">
        <v>4275</v>
      </c>
      <c r="B4276" s="87">
        <v>36.932271991070593</v>
      </c>
      <c r="C4276" s="14">
        <v>2</v>
      </c>
      <c r="D4276" s="86">
        <v>0.44539269579047058</v>
      </c>
      <c r="E4276" s="86"/>
      <c r="F4276" s="14"/>
    </row>
    <row r="4277" spans="1:6" x14ac:dyDescent="0.25">
      <c r="A4277" s="86">
        <v>4276</v>
      </c>
      <c r="B4277" s="87">
        <v>45.489969119778834</v>
      </c>
      <c r="C4277" s="14">
        <v>2</v>
      </c>
      <c r="D4277" s="86">
        <v>0.42147247943022437</v>
      </c>
      <c r="E4277" s="86"/>
      <c r="F4277" s="14"/>
    </row>
    <row r="4278" spans="1:6" x14ac:dyDescent="0.25">
      <c r="A4278" s="86">
        <v>4277</v>
      </c>
      <c r="B4278" s="87">
        <v>47.832327249459922</v>
      </c>
      <c r="C4278" s="14">
        <v>1</v>
      </c>
      <c r="D4278" s="86">
        <v>0.93204827298962689</v>
      </c>
      <c r="E4278" s="86"/>
      <c r="F4278" s="14"/>
    </row>
    <row r="4279" spans="1:6" x14ac:dyDescent="0.25">
      <c r="A4279" s="86">
        <v>4278</v>
      </c>
      <c r="B4279" s="87">
        <v>44.47357468449627</v>
      </c>
      <c r="C4279" s="14">
        <v>2</v>
      </c>
      <c r="D4279" s="86">
        <v>0.3695803392982413</v>
      </c>
      <c r="E4279" s="86"/>
      <c r="F4279" s="14"/>
    </row>
    <row r="4280" spans="1:6" x14ac:dyDescent="0.25">
      <c r="A4280" s="86">
        <v>4279</v>
      </c>
      <c r="B4280" s="87">
        <v>44.450416675652377</v>
      </c>
      <c r="C4280" s="14">
        <v>2</v>
      </c>
      <c r="D4280" s="86">
        <v>0.22259096337362505</v>
      </c>
      <c r="E4280" s="86"/>
      <c r="F4280" s="14"/>
    </row>
    <row r="4281" spans="1:6" x14ac:dyDescent="0.25">
      <c r="A4281" s="86">
        <v>4280</v>
      </c>
      <c r="B4281" s="87">
        <v>37.841959960467648</v>
      </c>
      <c r="C4281" s="14">
        <v>3</v>
      </c>
      <c r="D4281" s="86">
        <v>0.31032501692013215</v>
      </c>
      <c r="E4281" s="86"/>
      <c r="F4281" s="14"/>
    </row>
    <row r="4282" spans="1:6" x14ac:dyDescent="0.25">
      <c r="A4282" s="86">
        <v>4281</v>
      </c>
      <c r="B4282" s="87">
        <v>46.059028585994383</v>
      </c>
      <c r="C4282" s="14">
        <v>2</v>
      </c>
      <c r="D4282" s="86">
        <v>0.90289180772706734</v>
      </c>
      <c r="E4282" s="86"/>
      <c r="F4282" s="14"/>
    </row>
    <row r="4283" spans="1:6" x14ac:dyDescent="0.25">
      <c r="A4283" s="86">
        <v>4282</v>
      </c>
      <c r="B4283" s="87">
        <v>43.898899088497274</v>
      </c>
      <c r="C4283" s="14">
        <v>4</v>
      </c>
      <c r="D4283" s="86">
        <v>0.13501453164304544</v>
      </c>
      <c r="E4283" s="86"/>
      <c r="F4283" s="14"/>
    </row>
    <row r="4284" spans="1:6" x14ac:dyDescent="0.25">
      <c r="A4284" s="86">
        <v>4283</v>
      </c>
      <c r="B4284" s="87">
        <v>41.429069592020824</v>
      </c>
      <c r="C4284" s="14">
        <v>5</v>
      </c>
      <c r="D4284" s="86">
        <v>0.57560370286214946</v>
      </c>
      <c r="E4284" s="86"/>
      <c r="F4284" s="14"/>
    </row>
    <row r="4285" spans="1:6" x14ac:dyDescent="0.25">
      <c r="A4285" s="86">
        <v>4284</v>
      </c>
      <c r="B4285" s="87">
        <v>40.133363649481907</v>
      </c>
      <c r="C4285" s="14">
        <v>2</v>
      </c>
      <c r="D4285" s="86">
        <v>0.12939730029570562</v>
      </c>
      <c r="E4285" s="86"/>
      <c r="F4285" s="14"/>
    </row>
    <row r="4286" spans="1:6" x14ac:dyDescent="0.25">
      <c r="A4286" s="86">
        <v>4285</v>
      </c>
      <c r="B4286" s="87">
        <v>37.902145772357471</v>
      </c>
      <c r="C4286" s="14">
        <v>4</v>
      </c>
      <c r="D4286" s="86">
        <v>0.43798801994020509</v>
      </c>
      <c r="E4286" s="86"/>
      <c r="F4286" s="14"/>
    </row>
    <row r="4287" spans="1:6" x14ac:dyDescent="0.25">
      <c r="A4287" s="86">
        <v>4286</v>
      </c>
      <c r="B4287" s="87">
        <v>44.221286538566346</v>
      </c>
      <c r="C4287" s="14">
        <v>4</v>
      </c>
      <c r="D4287" s="86">
        <v>0.44615732141596065</v>
      </c>
      <c r="E4287" s="86"/>
      <c r="F4287" s="14"/>
    </row>
    <row r="4288" spans="1:6" x14ac:dyDescent="0.25">
      <c r="A4288" s="86">
        <v>4287</v>
      </c>
      <c r="B4288" s="87">
        <v>37.309439443895826</v>
      </c>
      <c r="C4288" s="14">
        <v>2</v>
      </c>
      <c r="D4288" s="86">
        <v>0.69700687713764642</v>
      </c>
      <c r="E4288" s="86"/>
      <c r="F4288" s="14"/>
    </row>
    <row r="4289" spans="1:6" x14ac:dyDescent="0.25">
      <c r="A4289" s="86">
        <v>4288</v>
      </c>
      <c r="B4289" s="87">
        <v>41.602157802451984</v>
      </c>
      <c r="C4289" s="14">
        <v>4</v>
      </c>
      <c r="D4289" s="86">
        <v>0.64311662336986941</v>
      </c>
      <c r="E4289" s="86"/>
      <c r="F4289" s="14"/>
    </row>
    <row r="4290" spans="1:6" x14ac:dyDescent="0.25">
      <c r="A4290" s="86">
        <v>4289</v>
      </c>
      <c r="B4290" s="87">
        <v>39.511024846768123</v>
      </c>
      <c r="C4290" s="14">
        <v>2</v>
      </c>
      <c r="D4290" s="86">
        <v>0.94937672312525845</v>
      </c>
      <c r="E4290" s="86"/>
      <c r="F4290" s="14"/>
    </row>
    <row r="4291" spans="1:6" x14ac:dyDescent="0.25">
      <c r="A4291" s="86">
        <v>4290</v>
      </c>
      <c r="B4291" s="87">
        <v>44.864725618361263</v>
      </c>
      <c r="C4291" s="14">
        <v>4</v>
      </c>
      <c r="D4291" s="86">
        <v>0.68025102955233951</v>
      </c>
      <c r="E4291" s="86"/>
      <c r="F4291" s="14"/>
    </row>
    <row r="4292" spans="1:6" x14ac:dyDescent="0.25">
      <c r="A4292" s="86">
        <v>4291</v>
      </c>
      <c r="B4292" s="87">
        <v>41.90013100412034</v>
      </c>
      <c r="C4292" s="14">
        <v>2</v>
      </c>
      <c r="D4292" s="86">
        <v>0.18797494081656729</v>
      </c>
      <c r="E4292" s="86"/>
      <c r="F4292" s="14"/>
    </row>
    <row r="4293" spans="1:6" x14ac:dyDescent="0.25">
      <c r="A4293" s="86">
        <v>4292</v>
      </c>
      <c r="B4293" s="87">
        <v>36.764322425704449</v>
      </c>
      <c r="C4293" s="14">
        <v>5</v>
      </c>
      <c r="D4293" s="86">
        <v>0.5046416843030852</v>
      </c>
      <c r="E4293" s="86"/>
      <c r="F4293" s="14"/>
    </row>
    <row r="4294" spans="1:6" x14ac:dyDescent="0.25">
      <c r="A4294" s="86">
        <v>4293</v>
      </c>
      <c r="B4294" s="87">
        <v>46.675870630104328</v>
      </c>
      <c r="C4294" s="14">
        <v>4</v>
      </c>
      <c r="D4294" s="86">
        <v>0.21279225574100724</v>
      </c>
      <c r="E4294" s="86"/>
      <c r="F4294" s="14"/>
    </row>
    <row r="4295" spans="1:6" x14ac:dyDescent="0.25">
      <c r="A4295" s="86">
        <v>4294</v>
      </c>
      <c r="B4295" s="87">
        <v>48.486970167112304</v>
      </c>
      <c r="C4295" s="14">
        <v>3</v>
      </c>
      <c r="D4295" s="86">
        <v>0.56181388641952557</v>
      </c>
      <c r="E4295" s="86"/>
      <c r="F4295" s="14"/>
    </row>
    <row r="4296" spans="1:6" x14ac:dyDescent="0.25">
      <c r="A4296" s="86">
        <v>4295</v>
      </c>
      <c r="B4296" s="87">
        <v>49.410982678062283</v>
      </c>
      <c r="C4296" s="14">
        <v>4</v>
      </c>
      <c r="D4296" s="86">
        <v>0.83997237404205627</v>
      </c>
      <c r="E4296" s="86"/>
      <c r="F4296" s="14"/>
    </row>
    <row r="4297" spans="1:6" x14ac:dyDescent="0.25">
      <c r="A4297" s="86">
        <v>4296</v>
      </c>
      <c r="B4297" s="87">
        <v>44.507561364633148</v>
      </c>
      <c r="C4297" s="14">
        <v>5</v>
      </c>
      <c r="D4297" s="86">
        <v>0.31270033598762037</v>
      </c>
      <c r="E4297" s="86"/>
      <c r="F4297" s="14"/>
    </row>
    <row r="4298" spans="1:6" x14ac:dyDescent="0.25">
      <c r="A4298" s="86">
        <v>4297</v>
      </c>
      <c r="B4298" s="87">
        <v>36.854044078034349</v>
      </c>
      <c r="C4298" s="14">
        <v>4</v>
      </c>
      <c r="D4298" s="86">
        <v>0.71832839912311386</v>
      </c>
      <c r="E4298" s="86"/>
      <c r="F4298" s="14"/>
    </row>
    <row r="4299" spans="1:6" x14ac:dyDescent="0.25">
      <c r="A4299" s="86">
        <v>4298</v>
      </c>
      <c r="B4299" s="87">
        <v>47.441869805305032</v>
      </c>
      <c r="C4299" s="14">
        <v>4</v>
      </c>
      <c r="D4299" s="86">
        <v>0.40729464035505147</v>
      </c>
      <c r="E4299" s="86"/>
      <c r="F4299" s="14"/>
    </row>
    <row r="4300" spans="1:6" x14ac:dyDescent="0.25">
      <c r="A4300" s="86">
        <v>4299</v>
      </c>
      <c r="B4300" s="87">
        <v>40.791957184745115</v>
      </c>
      <c r="C4300" s="14">
        <v>2</v>
      </c>
      <c r="D4300" s="86">
        <v>8.2436787222953556E-2</v>
      </c>
      <c r="E4300" s="86"/>
      <c r="F4300" s="14"/>
    </row>
    <row r="4301" spans="1:6" x14ac:dyDescent="0.25">
      <c r="A4301" s="86">
        <v>4300</v>
      </c>
      <c r="B4301" s="87">
        <v>50.483640729333274</v>
      </c>
      <c r="C4301" s="14">
        <v>5</v>
      </c>
      <c r="D4301" s="86">
        <v>0.36325725749234894</v>
      </c>
      <c r="E4301" s="86"/>
      <c r="F4301" s="14"/>
    </row>
    <row r="4302" spans="1:6" x14ac:dyDescent="0.25">
      <c r="A4302" s="86">
        <v>4301</v>
      </c>
      <c r="B4302" s="87">
        <v>35.446464602835476</v>
      </c>
      <c r="C4302" s="14">
        <v>2</v>
      </c>
      <c r="D4302" s="86">
        <v>0.9300759876787219</v>
      </c>
      <c r="E4302" s="86"/>
      <c r="F4302" s="14"/>
    </row>
    <row r="4303" spans="1:6" x14ac:dyDescent="0.25">
      <c r="A4303" s="86">
        <v>4302</v>
      </c>
      <c r="B4303" s="87">
        <v>37.446898199385032</v>
      </c>
      <c r="C4303" s="14">
        <v>4</v>
      </c>
      <c r="D4303" s="86">
        <v>0.68967789857324702</v>
      </c>
      <c r="E4303" s="86"/>
      <c r="F4303" s="14"/>
    </row>
    <row r="4304" spans="1:6" x14ac:dyDescent="0.25">
      <c r="A4304" s="86">
        <v>4303</v>
      </c>
      <c r="B4304" s="87">
        <v>37.779034295788733</v>
      </c>
      <c r="C4304" s="14">
        <v>4</v>
      </c>
      <c r="D4304" s="86">
        <v>0.29806090264570062</v>
      </c>
      <c r="E4304" s="86"/>
      <c r="F4304" s="14"/>
    </row>
    <row r="4305" spans="1:6" x14ac:dyDescent="0.25">
      <c r="A4305" s="86">
        <v>4304</v>
      </c>
      <c r="B4305" s="87">
        <v>36.530275332886958</v>
      </c>
      <c r="C4305" s="14">
        <v>2</v>
      </c>
      <c r="D4305" s="86">
        <v>0.29666065256352148</v>
      </c>
      <c r="E4305" s="86"/>
      <c r="F4305" s="14"/>
    </row>
    <row r="4306" spans="1:6" x14ac:dyDescent="0.25">
      <c r="A4306" s="86">
        <v>4305</v>
      </c>
      <c r="B4306" s="87">
        <v>47.51785808763816</v>
      </c>
      <c r="C4306" s="14">
        <v>4</v>
      </c>
      <c r="D4306" s="86">
        <v>0.53032797465364512</v>
      </c>
      <c r="E4306" s="86"/>
      <c r="F4306" s="14"/>
    </row>
    <row r="4307" spans="1:6" x14ac:dyDescent="0.25">
      <c r="A4307" s="86">
        <v>4306</v>
      </c>
      <c r="B4307" s="87">
        <v>47.297294253774453</v>
      </c>
      <c r="C4307" s="14">
        <v>3</v>
      </c>
      <c r="D4307" s="86">
        <v>0.9271514952855664</v>
      </c>
      <c r="E4307" s="86"/>
      <c r="F4307" s="14"/>
    </row>
    <row r="4308" spans="1:6" x14ac:dyDescent="0.25">
      <c r="A4308" s="86">
        <v>4307</v>
      </c>
      <c r="B4308" s="87">
        <v>41.179077920212876</v>
      </c>
      <c r="C4308" s="14">
        <v>4</v>
      </c>
      <c r="D4308" s="86">
        <v>0.44300884625385217</v>
      </c>
      <c r="E4308" s="86"/>
      <c r="F4308" s="14"/>
    </row>
    <row r="4309" spans="1:6" x14ac:dyDescent="0.25">
      <c r="A4309" s="86">
        <v>4308</v>
      </c>
      <c r="B4309" s="87">
        <v>47.032676770293619</v>
      </c>
      <c r="C4309" s="14">
        <v>5</v>
      </c>
      <c r="D4309" s="86">
        <v>0.78055363357618213</v>
      </c>
      <c r="E4309" s="86"/>
      <c r="F4309" s="14"/>
    </row>
    <row r="4310" spans="1:6" x14ac:dyDescent="0.25">
      <c r="A4310" s="86">
        <v>4309</v>
      </c>
      <c r="B4310" s="87">
        <v>47.10993834520923</v>
      </c>
      <c r="C4310" s="14">
        <v>5</v>
      </c>
      <c r="D4310" s="86">
        <v>0.73241558306679111</v>
      </c>
      <c r="E4310" s="86"/>
      <c r="F4310" s="14"/>
    </row>
    <row r="4311" spans="1:6" x14ac:dyDescent="0.25">
      <c r="A4311" s="86">
        <v>4310</v>
      </c>
      <c r="B4311" s="87">
        <v>45.0243874132575</v>
      </c>
      <c r="C4311" s="14">
        <v>2</v>
      </c>
      <c r="D4311" s="86">
        <v>0.37741095473895991</v>
      </c>
      <c r="E4311" s="86"/>
      <c r="F4311" s="14"/>
    </row>
    <row r="4312" spans="1:6" x14ac:dyDescent="0.25">
      <c r="A4312" s="86">
        <v>4311</v>
      </c>
      <c r="B4312" s="87">
        <v>44.324406184721738</v>
      </c>
      <c r="C4312" s="14">
        <v>2</v>
      </c>
      <c r="D4312" s="86">
        <v>0.2256939758722063</v>
      </c>
      <c r="E4312" s="86"/>
      <c r="F4312" s="14"/>
    </row>
    <row r="4313" spans="1:6" x14ac:dyDescent="0.25">
      <c r="A4313" s="86">
        <v>4312</v>
      </c>
      <c r="B4313" s="87">
        <v>38.134010077890707</v>
      </c>
      <c r="C4313" s="14">
        <v>4</v>
      </c>
      <c r="D4313" s="86">
        <v>0.88477761094790952</v>
      </c>
      <c r="E4313" s="86"/>
      <c r="F4313" s="14"/>
    </row>
    <row r="4314" spans="1:6" x14ac:dyDescent="0.25">
      <c r="A4314" s="86">
        <v>4313</v>
      </c>
      <c r="B4314" s="87">
        <v>46.335924247949151</v>
      </c>
      <c r="C4314" s="14">
        <v>2</v>
      </c>
      <c r="D4314" s="86">
        <v>0.87079922937134036</v>
      </c>
      <c r="E4314" s="86"/>
      <c r="F4314" s="14"/>
    </row>
    <row r="4315" spans="1:6" x14ac:dyDescent="0.25">
      <c r="A4315" s="86">
        <v>4314</v>
      </c>
      <c r="B4315" s="87">
        <v>40.228428583184723</v>
      </c>
      <c r="C4315" s="14">
        <v>5</v>
      </c>
      <c r="D4315" s="86">
        <v>0.46894364385463005</v>
      </c>
      <c r="E4315" s="86"/>
      <c r="F4315" s="14"/>
    </row>
    <row r="4316" spans="1:6" x14ac:dyDescent="0.25">
      <c r="A4316" s="86">
        <v>4315</v>
      </c>
      <c r="B4316" s="87">
        <v>34.536651577916928</v>
      </c>
      <c r="C4316" s="14">
        <v>1</v>
      </c>
      <c r="D4316" s="86">
        <v>0.76293117389670517</v>
      </c>
      <c r="E4316" s="86"/>
      <c r="F4316" s="14"/>
    </row>
    <row r="4317" spans="1:6" x14ac:dyDescent="0.25">
      <c r="A4317" s="86">
        <v>4316</v>
      </c>
      <c r="B4317" s="87">
        <v>41.53760641599365</v>
      </c>
      <c r="C4317" s="14">
        <v>4</v>
      </c>
      <c r="D4317" s="86">
        <v>0.65499539360122361</v>
      </c>
      <c r="E4317" s="86"/>
      <c r="F4317" s="14"/>
    </row>
    <row r="4318" spans="1:6" x14ac:dyDescent="0.25">
      <c r="A4318" s="86">
        <v>4317</v>
      </c>
      <c r="B4318" s="87">
        <v>47.068249381816713</v>
      </c>
      <c r="C4318" s="14">
        <v>5</v>
      </c>
      <c r="D4318" s="86">
        <v>0.96074928900747558</v>
      </c>
      <c r="E4318" s="86"/>
      <c r="F4318" s="14"/>
    </row>
    <row r="4319" spans="1:6" x14ac:dyDescent="0.25">
      <c r="A4319" s="86">
        <v>4318</v>
      </c>
      <c r="B4319" s="87">
        <v>35.029279383132234</v>
      </c>
      <c r="C4319" s="14">
        <v>2</v>
      </c>
      <c r="D4319" s="86">
        <v>0.15632531282146989</v>
      </c>
      <c r="E4319" s="86"/>
      <c r="F4319" s="14"/>
    </row>
    <row r="4320" spans="1:6" x14ac:dyDescent="0.25">
      <c r="A4320" s="86">
        <v>4319</v>
      </c>
      <c r="B4320" s="87">
        <v>32.894786267541349</v>
      </c>
      <c r="C4320" s="14">
        <v>1</v>
      </c>
      <c r="D4320" s="86">
        <v>0.57964938088732343</v>
      </c>
      <c r="E4320" s="86"/>
      <c r="F4320" s="14"/>
    </row>
    <row r="4321" spans="1:6" x14ac:dyDescent="0.25">
      <c r="A4321" s="86">
        <v>4320</v>
      </c>
      <c r="B4321" s="87">
        <v>45.950895350295468</v>
      </c>
      <c r="C4321" s="14">
        <v>5</v>
      </c>
      <c r="D4321" s="86">
        <v>0.67572926564152191</v>
      </c>
      <c r="E4321" s="86"/>
      <c r="F4321" s="14"/>
    </row>
    <row r="4322" spans="1:6" x14ac:dyDescent="0.25">
      <c r="A4322" s="86">
        <v>4321</v>
      </c>
      <c r="B4322" s="87">
        <v>45.853118985512992</v>
      </c>
      <c r="C4322" s="14">
        <v>4</v>
      </c>
      <c r="D4322" s="86">
        <v>0.61668638115774121</v>
      </c>
      <c r="E4322" s="86"/>
      <c r="F4322" s="14"/>
    </row>
    <row r="4323" spans="1:6" x14ac:dyDescent="0.25">
      <c r="A4323" s="86">
        <v>4322</v>
      </c>
      <c r="B4323" s="87">
        <v>39.878000274591614</v>
      </c>
      <c r="C4323" s="14">
        <v>1</v>
      </c>
      <c r="D4323" s="86">
        <v>0.882311235601413</v>
      </c>
      <c r="E4323" s="86"/>
      <c r="F4323" s="14"/>
    </row>
    <row r="4324" spans="1:6" x14ac:dyDescent="0.25">
      <c r="A4324" s="86">
        <v>4323</v>
      </c>
      <c r="B4324" s="87">
        <v>35.621405908721499</v>
      </c>
      <c r="C4324" s="14">
        <v>2</v>
      </c>
      <c r="D4324" s="86">
        <v>0.62840540754383711</v>
      </c>
      <c r="E4324" s="86"/>
      <c r="F4324" s="14"/>
    </row>
    <row r="4325" spans="1:6" x14ac:dyDescent="0.25">
      <c r="A4325" s="86">
        <v>4324</v>
      </c>
      <c r="B4325" s="87">
        <v>44.994942522287602</v>
      </c>
      <c r="C4325" s="14">
        <v>2</v>
      </c>
      <c r="D4325" s="86">
        <v>0.4412926995004689</v>
      </c>
      <c r="E4325" s="86"/>
      <c r="F4325" s="14"/>
    </row>
    <row r="4326" spans="1:6" x14ac:dyDescent="0.25">
      <c r="A4326" s="86">
        <v>4325</v>
      </c>
      <c r="B4326" s="87">
        <v>40.769589299423387</v>
      </c>
      <c r="C4326" s="14">
        <v>5</v>
      </c>
      <c r="D4326" s="86">
        <v>0.44592961291824673</v>
      </c>
      <c r="E4326" s="86"/>
      <c r="F4326" s="14"/>
    </row>
    <row r="4327" spans="1:6" x14ac:dyDescent="0.25">
      <c r="A4327" s="86">
        <v>4326</v>
      </c>
      <c r="B4327" s="87">
        <v>39.989254213985987</v>
      </c>
      <c r="C4327" s="14">
        <v>2</v>
      </c>
      <c r="D4327" s="86">
        <v>0.45415367662664563</v>
      </c>
      <c r="E4327" s="86"/>
      <c r="F4327" s="14"/>
    </row>
    <row r="4328" spans="1:6" x14ac:dyDescent="0.25">
      <c r="A4328" s="86">
        <v>4327</v>
      </c>
      <c r="B4328" s="87">
        <v>40.401624796111719</v>
      </c>
      <c r="C4328" s="14">
        <v>1</v>
      </c>
      <c r="D4328" s="86">
        <v>0.2405435994203361</v>
      </c>
      <c r="E4328" s="86"/>
      <c r="F4328" s="14"/>
    </row>
    <row r="4329" spans="1:6" x14ac:dyDescent="0.25">
      <c r="A4329" s="86">
        <v>4328</v>
      </c>
      <c r="B4329" s="87">
        <v>48.165213678992586</v>
      </c>
      <c r="C4329" s="14">
        <v>2</v>
      </c>
      <c r="D4329" s="86">
        <v>0.74173467466799203</v>
      </c>
      <c r="E4329" s="86"/>
      <c r="F4329" s="14"/>
    </row>
    <row r="4330" spans="1:6" x14ac:dyDescent="0.25">
      <c r="A4330" s="86">
        <v>4329</v>
      </c>
      <c r="B4330" s="87">
        <v>37.2977296996105</v>
      </c>
      <c r="C4330" s="14">
        <v>5</v>
      </c>
      <c r="D4330" s="86">
        <v>0.61969020652177598</v>
      </c>
      <c r="E4330" s="86"/>
      <c r="F4330" s="14"/>
    </row>
    <row r="4331" spans="1:6" x14ac:dyDescent="0.25">
      <c r="A4331" s="86">
        <v>4330</v>
      </c>
      <c r="B4331" s="87">
        <v>44.06423385659582</v>
      </c>
      <c r="C4331" s="14">
        <v>4</v>
      </c>
      <c r="D4331" s="86">
        <v>0.95113256099364063</v>
      </c>
      <c r="E4331" s="86"/>
      <c r="F4331" s="14"/>
    </row>
    <row r="4332" spans="1:6" x14ac:dyDescent="0.25">
      <c r="A4332" s="86">
        <v>4331</v>
      </c>
      <c r="B4332" s="87">
        <v>45.385297648288542</v>
      </c>
      <c r="C4332" s="14">
        <v>4</v>
      </c>
      <c r="D4332" s="86">
        <v>0.40964440122086221</v>
      </c>
      <c r="E4332" s="86"/>
      <c r="F4332" s="14"/>
    </row>
    <row r="4333" spans="1:6" x14ac:dyDescent="0.25">
      <c r="A4333" s="86">
        <v>4332</v>
      </c>
      <c r="B4333" s="87">
        <v>42.298313468898414</v>
      </c>
      <c r="C4333" s="14">
        <v>5</v>
      </c>
      <c r="D4333" s="86">
        <v>0.73611906303260211</v>
      </c>
      <c r="E4333" s="86"/>
      <c r="F4333" s="14"/>
    </row>
    <row r="4334" spans="1:6" x14ac:dyDescent="0.25">
      <c r="A4334" s="86">
        <v>4333</v>
      </c>
      <c r="B4334" s="87">
        <v>35.871153153828345</v>
      </c>
      <c r="C4334" s="14">
        <v>2</v>
      </c>
      <c r="D4334" s="86">
        <v>0.80236540239498833</v>
      </c>
      <c r="E4334" s="86"/>
      <c r="F4334" s="14"/>
    </row>
    <row r="4335" spans="1:6" x14ac:dyDescent="0.25">
      <c r="A4335" s="86">
        <v>4334</v>
      </c>
      <c r="B4335" s="87">
        <v>45.121925035680761</v>
      </c>
      <c r="C4335" s="14">
        <v>1</v>
      </c>
      <c r="D4335" s="86">
        <v>0.21485822035134972</v>
      </c>
      <c r="E4335" s="86"/>
      <c r="F4335" s="14"/>
    </row>
    <row r="4336" spans="1:6" x14ac:dyDescent="0.25">
      <c r="A4336" s="86">
        <v>4335</v>
      </c>
      <c r="B4336" s="87">
        <v>39.614695874086465</v>
      </c>
      <c r="C4336" s="14">
        <v>5</v>
      </c>
      <c r="D4336" s="86">
        <v>0.11442939249746642</v>
      </c>
      <c r="E4336" s="86"/>
      <c r="F4336" s="14"/>
    </row>
    <row r="4337" spans="1:6" x14ac:dyDescent="0.25">
      <c r="A4337" s="86">
        <v>4336</v>
      </c>
      <c r="B4337" s="87">
        <v>43.517479747941252</v>
      </c>
      <c r="C4337" s="14">
        <v>1</v>
      </c>
      <c r="D4337" s="86">
        <v>0.46885771004075893</v>
      </c>
      <c r="E4337" s="86"/>
      <c r="F4337" s="14"/>
    </row>
    <row r="4338" spans="1:6" x14ac:dyDescent="0.25">
      <c r="A4338" s="86">
        <v>4337</v>
      </c>
      <c r="B4338" s="87">
        <v>46.5852622204402</v>
      </c>
      <c r="C4338" s="14">
        <v>5</v>
      </c>
      <c r="D4338" s="86">
        <v>0.91007951970723711</v>
      </c>
      <c r="E4338" s="86"/>
      <c r="F4338" s="14"/>
    </row>
    <row r="4339" spans="1:6" x14ac:dyDescent="0.25">
      <c r="A4339" s="86">
        <v>4338</v>
      </c>
      <c r="B4339" s="87">
        <v>44.12613633973524</v>
      </c>
      <c r="C4339" s="14">
        <v>1</v>
      </c>
      <c r="D4339" s="86">
        <v>0.80050946881297713</v>
      </c>
      <c r="E4339" s="86"/>
      <c r="F4339" s="14"/>
    </row>
    <row r="4340" spans="1:6" x14ac:dyDescent="0.25">
      <c r="A4340" s="86">
        <v>4339</v>
      </c>
      <c r="B4340" s="87">
        <v>46.790103164647007</v>
      </c>
      <c r="C4340" s="14">
        <v>2</v>
      </c>
      <c r="D4340" s="86">
        <v>0.82821201834697133</v>
      </c>
      <c r="E4340" s="86"/>
      <c r="F4340" s="14"/>
    </row>
    <row r="4341" spans="1:6" x14ac:dyDescent="0.25">
      <c r="A4341" s="86">
        <v>4340</v>
      </c>
      <c r="B4341" s="87">
        <v>40.426982645265525</v>
      </c>
      <c r="C4341" s="14">
        <v>5</v>
      </c>
      <c r="D4341" s="86">
        <v>6.7877547352093504E-2</v>
      </c>
      <c r="E4341" s="86"/>
      <c r="F4341" s="14"/>
    </row>
    <row r="4342" spans="1:6" x14ac:dyDescent="0.25">
      <c r="A4342" s="86">
        <v>4341</v>
      </c>
      <c r="B4342" s="87">
        <v>45.892818429245381</v>
      </c>
      <c r="C4342" s="14">
        <v>5</v>
      </c>
      <c r="D4342" s="86">
        <v>5.5617049000212582E-2</v>
      </c>
      <c r="E4342" s="86"/>
      <c r="F4342" s="14"/>
    </row>
    <row r="4343" spans="1:6" x14ac:dyDescent="0.25">
      <c r="A4343" s="86">
        <v>4342</v>
      </c>
      <c r="B4343" s="87">
        <v>38.703262811730383</v>
      </c>
      <c r="C4343" s="14">
        <v>2</v>
      </c>
      <c r="D4343" s="86">
        <v>0.11551287456797066</v>
      </c>
      <c r="E4343" s="86"/>
      <c r="F4343" s="14"/>
    </row>
    <row r="4344" spans="1:6" x14ac:dyDescent="0.25">
      <c r="A4344" s="86">
        <v>4343</v>
      </c>
      <c r="B4344" s="87">
        <v>51.271013030025642</v>
      </c>
      <c r="C4344" s="14">
        <v>4</v>
      </c>
      <c r="D4344" s="86">
        <v>0.61421213355982374</v>
      </c>
      <c r="E4344" s="86"/>
      <c r="F4344" s="14"/>
    </row>
    <row r="4345" spans="1:6" x14ac:dyDescent="0.25">
      <c r="A4345" s="86">
        <v>4344</v>
      </c>
      <c r="B4345" s="87">
        <v>43.930401711229933</v>
      </c>
      <c r="C4345" s="14">
        <v>4</v>
      </c>
      <c r="D4345" s="86">
        <v>0.20774778869072674</v>
      </c>
      <c r="E4345" s="86"/>
      <c r="F4345" s="14"/>
    </row>
    <row r="4346" spans="1:6" x14ac:dyDescent="0.25">
      <c r="A4346" s="86">
        <v>4345</v>
      </c>
      <c r="B4346" s="87">
        <v>38.674977526505245</v>
      </c>
      <c r="C4346" s="14">
        <v>2</v>
      </c>
      <c r="D4346" s="86">
        <v>0.77240983190040091</v>
      </c>
      <c r="E4346" s="86"/>
      <c r="F4346" s="14"/>
    </row>
    <row r="4347" spans="1:6" x14ac:dyDescent="0.25">
      <c r="A4347" s="86">
        <v>4346</v>
      </c>
      <c r="B4347" s="87">
        <v>49.14431883150246</v>
      </c>
      <c r="C4347" s="14">
        <v>2</v>
      </c>
      <c r="D4347" s="86">
        <v>3.0410140005743824E-2</v>
      </c>
      <c r="E4347" s="86"/>
      <c r="F4347" s="14"/>
    </row>
    <row r="4348" spans="1:6" x14ac:dyDescent="0.25">
      <c r="A4348" s="86">
        <v>4347</v>
      </c>
      <c r="B4348" s="87">
        <v>43.863155946717598</v>
      </c>
      <c r="C4348" s="14">
        <v>5</v>
      </c>
      <c r="D4348" s="86">
        <v>0.26631101892584874</v>
      </c>
      <c r="E4348" s="86"/>
      <c r="F4348" s="14"/>
    </row>
    <row r="4349" spans="1:6" x14ac:dyDescent="0.25">
      <c r="A4349" s="86">
        <v>4348</v>
      </c>
      <c r="B4349" s="87">
        <v>41.949061819075723</v>
      </c>
      <c r="C4349" s="14">
        <v>2</v>
      </c>
      <c r="D4349" s="86">
        <v>0.14544517778526878</v>
      </c>
      <c r="E4349" s="86"/>
      <c r="F4349" s="14"/>
    </row>
    <row r="4350" spans="1:6" x14ac:dyDescent="0.25">
      <c r="A4350" s="86">
        <v>4349</v>
      </c>
      <c r="B4350" s="87">
        <v>37.977463302348042</v>
      </c>
      <c r="C4350" s="14">
        <v>1</v>
      </c>
      <c r="D4350" s="86">
        <v>0.91784021435053786</v>
      </c>
      <c r="E4350" s="86"/>
      <c r="F4350" s="14"/>
    </row>
    <row r="4351" spans="1:6" x14ac:dyDescent="0.25">
      <c r="A4351" s="86">
        <v>4350</v>
      </c>
      <c r="B4351" s="87">
        <v>46.850016128126299</v>
      </c>
      <c r="C4351" s="14">
        <v>5</v>
      </c>
      <c r="D4351" s="86">
        <v>0.71220976036107331</v>
      </c>
      <c r="E4351" s="86"/>
      <c r="F4351" s="14"/>
    </row>
    <row r="4352" spans="1:6" x14ac:dyDescent="0.25">
      <c r="A4352" s="86">
        <v>4351</v>
      </c>
      <c r="B4352" s="87">
        <v>46.849504537356552</v>
      </c>
      <c r="C4352" s="14">
        <v>2</v>
      </c>
      <c r="D4352" s="86">
        <v>0.70280450837344233</v>
      </c>
      <c r="E4352" s="86"/>
      <c r="F4352" s="14"/>
    </row>
    <row r="4353" spans="1:6" x14ac:dyDescent="0.25">
      <c r="A4353" s="86">
        <v>4352</v>
      </c>
      <c r="B4353" s="87">
        <v>42.872807165957056</v>
      </c>
      <c r="C4353" s="14">
        <v>4</v>
      </c>
      <c r="D4353" s="86">
        <v>5.7349913432114485E-2</v>
      </c>
      <c r="E4353" s="86"/>
      <c r="F4353" s="14"/>
    </row>
    <row r="4354" spans="1:6" x14ac:dyDescent="0.25">
      <c r="A4354" s="86">
        <v>4353</v>
      </c>
      <c r="B4354" s="87">
        <v>47.360720140539343</v>
      </c>
      <c r="C4354" s="14">
        <v>5</v>
      </c>
      <c r="D4354" s="86">
        <v>1.1733291707343163E-2</v>
      </c>
      <c r="E4354" s="86"/>
      <c r="F4354" s="14"/>
    </row>
    <row r="4355" spans="1:6" x14ac:dyDescent="0.25">
      <c r="A4355" s="86">
        <v>4354</v>
      </c>
      <c r="B4355" s="87">
        <v>39.743929386866512</v>
      </c>
      <c r="C4355" s="14">
        <v>2</v>
      </c>
      <c r="D4355" s="86">
        <v>0.43148158252423607</v>
      </c>
      <c r="E4355" s="86"/>
      <c r="F4355" s="14"/>
    </row>
    <row r="4356" spans="1:6" x14ac:dyDescent="0.25">
      <c r="A4356" s="86">
        <v>4355</v>
      </c>
      <c r="B4356" s="87">
        <v>50.378594091278501</v>
      </c>
      <c r="C4356" s="14">
        <v>4</v>
      </c>
      <c r="D4356" s="86">
        <v>0.11951710552533357</v>
      </c>
      <c r="E4356" s="86"/>
      <c r="F4356" s="14"/>
    </row>
    <row r="4357" spans="1:6" x14ac:dyDescent="0.25">
      <c r="A4357" s="86">
        <v>4356</v>
      </c>
      <c r="B4357" s="87">
        <v>44.951531203303603</v>
      </c>
      <c r="C4357" s="14">
        <v>4</v>
      </c>
      <c r="D4357" s="86">
        <v>0.73264276537094009</v>
      </c>
      <c r="E4357" s="86"/>
      <c r="F4357" s="14"/>
    </row>
    <row r="4358" spans="1:6" x14ac:dyDescent="0.25">
      <c r="A4358" s="86">
        <v>4357</v>
      </c>
      <c r="B4358" s="87">
        <v>41.380371835082769</v>
      </c>
      <c r="C4358" s="14">
        <v>2</v>
      </c>
      <c r="D4358" s="86">
        <v>0.75859521953950004</v>
      </c>
      <c r="E4358" s="86"/>
      <c r="F4358" s="14"/>
    </row>
    <row r="4359" spans="1:6" x14ac:dyDescent="0.25">
      <c r="A4359" s="86">
        <v>4358</v>
      </c>
      <c r="B4359" s="87">
        <v>46.128047865175176</v>
      </c>
      <c r="C4359" s="14">
        <v>2</v>
      </c>
      <c r="D4359" s="86">
        <v>0.36628106912422453</v>
      </c>
      <c r="E4359" s="86"/>
      <c r="F4359" s="14"/>
    </row>
    <row r="4360" spans="1:6" x14ac:dyDescent="0.25">
      <c r="A4360" s="86">
        <v>4359</v>
      </c>
      <c r="B4360" s="87">
        <v>32.865136740263551</v>
      </c>
      <c r="C4360" s="14">
        <v>4</v>
      </c>
      <c r="D4360" s="86">
        <v>1.4111680906650492E-2</v>
      </c>
      <c r="E4360" s="86"/>
      <c r="F4360" s="14"/>
    </row>
    <row r="4361" spans="1:6" x14ac:dyDescent="0.25">
      <c r="A4361" s="86">
        <v>4360</v>
      </c>
      <c r="B4361" s="87">
        <v>45.814942945406074</v>
      </c>
      <c r="C4361" s="14">
        <v>2</v>
      </c>
      <c r="D4361" s="86">
        <v>0.57448274763870522</v>
      </c>
      <c r="E4361" s="86"/>
      <c r="F4361" s="14"/>
    </row>
    <row r="4362" spans="1:6" x14ac:dyDescent="0.25">
      <c r="A4362" s="86">
        <v>4361</v>
      </c>
      <c r="B4362" s="87">
        <v>42.759131696919212</v>
      </c>
      <c r="C4362" s="14">
        <v>3</v>
      </c>
      <c r="D4362" s="86">
        <v>0.26870076790759989</v>
      </c>
      <c r="E4362" s="86"/>
      <c r="F4362" s="14"/>
    </row>
    <row r="4363" spans="1:6" x14ac:dyDescent="0.25">
      <c r="A4363" s="86">
        <v>4362</v>
      </c>
      <c r="B4363" s="87">
        <v>44.767892854331876</v>
      </c>
      <c r="C4363" s="14">
        <v>5</v>
      </c>
      <c r="D4363" s="86">
        <v>0.92985210196642465</v>
      </c>
      <c r="E4363" s="86"/>
      <c r="F4363" s="14"/>
    </row>
    <row r="4364" spans="1:6" x14ac:dyDescent="0.25">
      <c r="A4364" s="86">
        <v>4363</v>
      </c>
      <c r="B4364" s="87">
        <v>40.617703684227308</v>
      </c>
      <c r="C4364" s="14">
        <v>5</v>
      </c>
      <c r="D4364" s="86">
        <v>0.20402046417799624</v>
      </c>
      <c r="E4364" s="86"/>
      <c r="F4364" s="14"/>
    </row>
    <row r="4365" spans="1:6" x14ac:dyDescent="0.25">
      <c r="A4365" s="86">
        <v>4364</v>
      </c>
      <c r="B4365" s="87">
        <v>46.153672878397629</v>
      </c>
      <c r="C4365" s="14">
        <v>5</v>
      </c>
      <c r="D4365" s="86">
        <v>0.21057095987915808</v>
      </c>
      <c r="E4365" s="86"/>
      <c r="F4365" s="14"/>
    </row>
    <row r="4366" spans="1:6" x14ac:dyDescent="0.25">
      <c r="A4366" s="86">
        <v>4365</v>
      </c>
      <c r="B4366" s="87">
        <v>49.141067387943622</v>
      </c>
      <c r="C4366" s="14">
        <v>4</v>
      </c>
      <c r="D4366" s="86">
        <v>0.55463726899733179</v>
      </c>
      <c r="E4366" s="86"/>
      <c r="F4366" s="14"/>
    </row>
    <row r="4367" spans="1:6" x14ac:dyDescent="0.25">
      <c r="A4367" s="86">
        <v>4366</v>
      </c>
      <c r="B4367" s="87">
        <v>41.236989995348267</v>
      </c>
      <c r="C4367" s="14">
        <v>2</v>
      </c>
      <c r="D4367" s="86">
        <v>0.89595507367486793</v>
      </c>
      <c r="E4367" s="86"/>
      <c r="F4367" s="14"/>
    </row>
    <row r="4368" spans="1:6" x14ac:dyDescent="0.25">
      <c r="A4368" s="86">
        <v>4367</v>
      </c>
      <c r="B4368" s="87">
        <v>37.432698713353602</v>
      </c>
      <c r="C4368" s="14">
        <v>4</v>
      </c>
      <c r="D4368" s="86">
        <v>0.91574039071769087</v>
      </c>
      <c r="E4368" s="86"/>
      <c r="F4368" s="14"/>
    </row>
    <row r="4369" spans="1:6" x14ac:dyDescent="0.25">
      <c r="A4369" s="86">
        <v>4368</v>
      </c>
      <c r="B4369" s="87">
        <v>46.984666818723781</v>
      </c>
      <c r="C4369" s="14">
        <v>2</v>
      </c>
      <c r="D4369" s="86">
        <v>0.51201548402022168</v>
      </c>
      <c r="E4369" s="86"/>
      <c r="F4369" s="14"/>
    </row>
    <row r="4370" spans="1:6" x14ac:dyDescent="0.25">
      <c r="A4370" s="86">
        <v>4369</v>
      </c>
      <c r="B4370" s="87">
        <v>48.197273367230082</v>
      </c>
      <c r="C4370" s="14">
        <v>1</v>
      </c>
      <c r="D4370" s="86">
        <v>0.55522421670101896</v>
      </c>
      <c r="E4370" s="86"/>
      <c r="F4370" s="14"/>
    </row>
    <row r="4371" spans="1:6" x14ac:dyDescent="0.25">
      <c r="A4371" s="86">
        <v>4370</v>
      </c>
      <c r="B4371" s="87">
        <v>40.434406395768747</v>
      </c>
      <c r="C4371" s="14">
        <v>4</v>
      </c>
      <c r="D4371" s="86">
        <v>0.59920977757006078</v>
      </c>
      <c r="E4371" s="86"/>
      <c r="F4371" s="14"/>
    </row>
    <row r="4372" spans="1:6" x14ac:dyDescent="0.25">
      <c r="A4372" s="86">
        <v>4371</v>
      </c>
      <c r="B4372" s="87">
        <v>40.951510977145517</v>
      </c>
      <c r="C4372" s="14">
        <v>3</v>
      </c>
      <c r="D4372" s="86">
        <v>0.60223659850405342</v>
      </c>
      <c r="E4372" s="86"/>
      <c r="F4372" s="14"/>
    </row>
    <row r="4373" spans="1:6" x14ac:dyDescent="0.25">
      <c r="A4373" s="86">
        <v>4372</v>
      </c>
      <c r="B4373" s="87">
        <v>43.709025016476517</v>
      </c>
      <c r="C4373" s="14">
        <v>2</v>
      </c>
      <c r="D4373" s="86">
        <v>0.57009884010930856</v>
      </c>
      <c r="E4373" s="86"/>
      <c r="F4373" s="14"/>
    </row>
    <row r="4374" spans="1:6" x14ac:dyDescent="0.25">
      <c r="A4374" s="86">
        <v>4373</v>
      </c>
      <c r="B4374" s="87">
        <v>48.852905360370642</v>
      </c>
      <c r="C4374" s="14">
        <v>3</v>
      </c>
      <c r="D4374" s="86">
        <v>0.35924036828352257</v>
      </c>
      <c r="E4374" s="86"/>
      <c r="F4374" s="14"/>
    </row>
    <row r="4375" spans="1:6" x14ac:dyDescent="0.25">
      <c r="A4375" s="86">
        <v>4374</v>
      </c>
      <c r="B4375" s="87">
        <v>45.04058778763283</v>
      </c>
      <c r="C4375" s="14">
        <v>5</v>
      </c>
      <c r="D4375" s="86">
        <v>0.72108194620983312</v>
      </c>
      <c r="E4375" s="86"/>
      <c r="F4375" s="14"/>
    </row>
    <row r="4376" spans="1:6" x14ac:dyDescent="0.25">
      <c r="A4376" s="86">
        <v>4375</v>
      </c>
      <c r="B4376" s="87">
        <v>44.483965661464026</v>
      </c>
      <c r="C4376" s="14">
        <v>2</v>
      </c>
      <c r="D4376" s="86">
        <v>0.45015035434466932</v>
      </c>
      <c r="E4376" s="86"/>
      <c r="F4376" s="14"/>
    </row>
    <row r="4377" spans="1:6" x14ac:dyDescent="0.25">
      <c r="A4377" s="86">
        <v>4376</v>
      </c>
      <c r="B4377" s="87">
        <v>46.177501639584079</v>
      </c>
      <c r="C4377" s="14">
        <v>4</v>
      </c>
      <c r="D4377" s="86">
        <v>0.77783421521813045</v>
      </c>
      <c r="E4377" s="86"/>
      <c r="F4377" s="14"/>
    </row>
    <row r="4378" spans="1:6" x14ac:dyDescent="0.25">
      <c r="A4378" s="86">
        <v>4377</v>
      </c>
      <c r="B4378" s="87">
        <v>39.395422385830898</v>
      </c>
      <c r="C4378" s="14">
        <v>3</v>
      </c>
      <c r="D4378" s="86">
        <v>4.8038224821941089E-2</v>
      </c>
      <c r="E4378" s="86"/>
      <c r="F4378" s="14"/>
    </row>
    <row r="4379" spans="1:6" x14ac:dyDescent="0.25">
      <c r="A4379" s="86">
        <v>4378</v>
      </c>
      <c r="B4379" s="87">
        <v>37.098254774144152</v>
      </c>
      <c r="C4379" s="14">
        <v>4</v>
      </c>
      <c r="D4379" s="86">
        <v>0.99936747216487598</v>
      </c>
      <c r="E4379" s="86"/>
      <c r="F4379" s="14"/>
    </row>
    <row r="4380" spans="1:6" x14ac:dyDescent="0.25">
      <c r="A4380" s="86">
        <v>4379</v>
      </c>
      <c r="B4380" s="87">
        <v>51.777760740485974</v>
      </c>
      <c r="C4380" s="14">
        <v>4</v>
      </c>
      <c r="D4380" s="86">
        <v>5.378376389046835E-2</v>
      </c>
      <c r="E4380" s="86"/>
      <c r="F4380" s="14"/>
    </row>
    <row r="4381" spans="1:6" x14ac:dyDescent="0.25">
      <c r="A4381" s="86">
        <v>4380</v>
      </c>
      <c r="B4381" s="87">
        <v>44.097123458748683</v>
      </c>
      <c r="C4381" s="14">
        <v>4</v>
      </c>
      <c r="D4381" s="86">
        <v>0.63832062061047024</v>
      </c>
      <c r="E4381" s="86"/>
      <c r="F4381" s="14"/>
    </row>
    <row r="4382" spans="1:6" x14ac:dyDescent="0.25">
      <c r="A4382" s="86">
        <v>4381</v>
      </c>
      <c r="B4382" s="87">
        <v>48.771721589553636</v>
      </c>
      <c r="C4382" s="14">
        <v>2</v>
      </c>
      <c r="D4382" s="86">
        <v>0.12323925537026026</v>
      </c>
      <c r="E4382" s="86"/>
      <c r="F4382" s="14"/>
    </row>
    <row r="4383" spans="1:6" x14ac:dyDescent="0.25">
      <c r="A4383" s="86">
        <v>4382</v>
      </c>
      <c r="B4383" s="87">
        <v>37.65131850229227</v>
      </c>
      <c r="C4383" s="14">
        <v>2</v>
      </c>
      <c r="D4383" s="86">
        <v>7.416612928118127E-3</v>
      </c>
      <c r="E4383" s="86"/>
      <c r="F4383" s="14"/>
    </row>
    <row r="4384" spans="1:6" x14ac:dyDescent="0.25">
      <c r="A4384" s="86">
        <v>4383</v>
      </c>
      <c r="B4384" s="87">
        <v>43.347006334777689</v>
      </c>
      <c r="C4384" s="14">
        <v>1</v>
      </c>
      <c r="D4384" s="86">
        <v>0.23764451502759498</v>
      </c>
      <c r="E4384" s="86"/>
      <c r="F4384" s="14"/>
    </row>
    <row r="4385" spans="1:6" x14ac:dyDescent="0.25">
      <c r="A4385" s="86">
        <v>4384</v>
      </c>
      <c r="B4385" s="87">
        <v>43.760837792768143</v>
      </c>
      <c r="C4385" s="14">
        <v>5</v>
      </c>
      <c r="D4385" s="86">
        <v>0.10142170607436418</v>
      </c>
      <c r="E4385" s="86"/>
      <c r="F4385" s="14"/>
    </row>
    <row r="4386" spans="1:6" x14ac:dyDescent="0.25">
      <c r="A4386" s="86">
        <v>4385</v>
      </c>
      <c r="B4386" s="87">
        <v>38.130929164588451</v>
      </c>
      <c r="C4386" s="14">
        <v>5</v>
      </c>
      <c r="D4386" s="86">
        <v>0.3280852239198615</v>
      </c>
      <c r="E4386" s="86"/>
      <c r="F4386" s="14"/>
    </row>
    <row r="4387" spans="1:6" x14ac:dyDescent="0.25">
      <c r="A4387" s="86">
        <v>4386</v>
      </c>
      <c r="B4387" s="87">
        <v>50.56792815082008</v>
      </c>
      <c r="C4387" s="14">
        <v>1</v>
      </c>
      <c r="D4387" s="86">
        <v>0.46179920580241574</v>
      </c>
      <c r="E4387" s="86"/>
      <c r="F4387" s="14"/>
    </row>
    <row r="4388" spans="1:6" x14ac:dyDescent="0.25">
      <c r="A4388" s="86">
        <v>4387</v>
      </c>
      <c r="B4388" s="87">
        <v>40.317638644744875</v>
      </c>
      <c r="C4388" s="14">
        <v>2</v>
      </c>
      <c r="D4388" s="86">
        <v>1.1084675687127343E-2</v>
      </c>
      <c r="E4388" s="86"/>
      <c r="F4388" s="14"/>
    </row>
    <row r="4389" spans="1:6" x14ac:dyDescent="0.25">
      <c r="A4389" s="86">
        <v>4388</v>
      </c>
      <c r="B4389" s="87">
        <v>42.21477638054057</v>
      </c>
      <c r="C4389" s="14">
        <v>1</v>
      </c>
      <c r="D4389" s="86">
        <v>0.7879772443452463</v>
      </c>
      <c r="E4389" s="86"/>
      <c r="F4389" s="14"/>
    </row>
    <row r="4390" spans="1:6" x14ac:dyDescent="0.25">
      <c r="A4390" s="86">
        <v>4389</v>
      </c>
      <c r="B4390" s="87">
        <v>37.399877323303372</v>
      </c>
      <c r="C4390" s="14">
        <v>2</v>
      </c>
      <c r="D4390" s="86">
        <v>0.82306531719150133</v>
      </c>
      <c r="E4390" s="86"/>
      <c r="F4390" s="14"/>
    </row>
    <row r="4391" spans="1:6" x14ac:dyDescent="0.25">
      <c r="A4391" s="86">
        <v>4390</v>
      </c>
      <c r="B4391" s="87">
        <v>47.4874582272314</v>
      </c>
      <c r="C4391" s="14">
        <v>2</v>
      </c>
      <c r="D4391" s="86">
        <v>0.5730293808983985</v>
      </c>
      <c r="E4391" s="86"/>
      <c r="F4391" s="14"/>
    </row>
    <row r="4392" spans="1:6" x14ac:dyDescent="0.25">
      <c r="A4392" s="86">
        <v>4391</v>
      </c>
      <c r="B4392" s="87">
        <v>44.273372163268505</v>
      </c>
      <c r="C4392" s="14">
        <v>4</v>
      </c>
      <c r="D4392" s="86">
        <v>0.3737746217593958</v>
      </c>
      <c r="E4392" s="86"/>
      <c r="F4392" s="14"/>
    </row>
    <row r="4393" spans="1:6" x14ac:dyDescent="0.25">
      <c r="A4393" s="86">
        <v>4392</v>
      </c>
      <c r="B4393" s="87">
        <v>47.910407369607128</v>
      </c>
      <c r="C4393" s="14">
        <v>3</v>
      </c>
      <c r="D4393" s="86">
        <v>0.13575439786094934</v>
      </c>
      <c r="E4393" s="86"/>
      <c r="F4393" s="14"/>
    </row>
    <row r="4394" spans="1:6" x14ac:dyDescent="0.25">
      <c r="A4394" s="86">
        <v>4393</v>
      </c>
      <c r="B4394" s="87">
        <v>43.528245891473489</v>
      </c>
      <c r="C4394" s="14">
        <v>4</v>
      </c>
      <c r="D4394" s="86">
        <v>0.49584925685192816</v>
      </c>
      <c r="E4394" s="86"/>
      <c r="F4394" s="14"/>
    </row>
    <row r="4395" spans="1:6" x14ac:dyDescent="0.25">
      <c r="A4395" s="86">
        <v>4394</v>
      </c>
      <c r="B4395" s="87">
        <v>36.880021520453738</v>
      </c>
      <c r="C4395" s="14">
        <v>4</v>
      </c>
      <c r="D4395" s="86">
        <v>0.7349903131190495</v>
      </c>
      <c r="E4395" s="86"/>
      <c r="F4395" s="14"/>
    </row>
    <row r="4396" spans="1:6" x14ac:dyDescent="0.25">
      <c r="A4396" s="86">
        <v>4395</v>
      </c>
      <c r="B4396" s="87">
        <v>35.698917594680097</v>
      </c>
      <c r="C4396" s="14">
        <v>2</v>
      </c>
      <c r="D4396" s="86">
        <v>0.49705783787619162</v>
      </c>
      <c r="E4396" s="86"/>
      <c r="F4396" s="14"/>
    </row>
    <row r="4397" spans="1:6" x14ac:dyDescent="0.25">
      <c r="A4397" s="86">
        <v>4396</v>
      </c>
      <c r="B4397" s="87">
        <v>43.398017618863378</v>
      </c>
      <c r="C4397" s="14">
        <v>4</v>
      </c>
      <c r="D4397" s="86">
        <v>0.13214493747720812</v>
      </c>
      <c r="E4397" s="86"/>
      <c r="F4397" s="14"/>
    </row>
    <row r="4398" spans="1:6" x14ac:dyDescent="0.25">
      <c r="A4398" s="86">
        <v>4397</v>
      </c>
      <c r="B4398" s="87">
        <v>44.058367615769384</v>
      </c>
      <c r="C4398" s="14">
        <v>5</v>
      </c>
      <c r="D4398" s="86">
        <v>0.60344103770815571</v>
      </c>
      <c r="E4398" s="86"/>
      <c r="F4398" s="14"/>
    </row>
    <row r="4399" spans="1:6" x14ac:dyDescent="0.25">
      <c r="A4399" s="86">
        <v>4398</v>
      </c>
      <c r="B4399" s="87">
        <v>39.497842857934302</v>
      </c>
      <c r="C4399" s="14">
        <v>4</v>
      </c>
      <c r="D4399" s="86">
        <v>0.86630672027036293</v>
      </c>
      <c r="E4399" s="86"/>
      <c r="F4399" s="14"/>
    </row>
    <row r="4400" spans="1:6" x14ac:dyDescent="0.25">
      <c r="A4400" s="86">
        <v>4399</v>
      </c>
      <c r="B4400" s="87">
        <v>29.839247867465019</v>
      </c>
      <c r="C4400" s="14">
        <v>5</v>
      </c>
      <c r="D4400" s="86">
        <v>0.653849670847791</v>
      </c>
      <c r="E4400" s="86"/>
      <c r="F4400" s="14"/>
    </row>
    <row r="4401" spans="1:6" x14ac:dyDescent="0.25">
      <c r="A4401" s="86">
        <v>4400</v>
      </c>
      <c r="B4401" s="87">
        <v>42.622309587721247</v>
      </c>
      <c r="C4401" s="14">
        <v>5</v>
      </c>
      <c r="D4401" s="86">
        <v>0.53757783644579848</v>
      </c>
      <c r="E4401" s="86"/>
      <c r="F4401" s="14"/>
    </row>
    <row r="4402" spans="1:6" x14ac:dyDescent="0.25">
      <c r="A4402" s="86">
        <v>4401</v>
      </c>
      <c r="B4402" s="87">
        <v>42.078545442898758</v>
      </c>
      <c r="C4402" s="14">
        <v>5</v>
      </c>
      <c r="D4402" s="86">
        <v>0.44129461829695105</v>
      </c>
      <c r="E4402" s="86"/>
      <c r="F4402" s="14"/>
    </row>
    <row r="4403" spans="1:6" x14ac:dyDescent="0.25">
      <c r="A4403" s="86">
        <v>4402</v>
      </c>
      <c r="B4403" s="87">
        <v>37.939946645899909</v>
      </c>
      <c r="C4403" s="14">
        <v>2</v>
      </c>
      <c r="D4403" s="86">
        <v>0.71389472749751048</v>
      </c>
      <c r="E4403" s="86"/>
      <c r="F4403" s="14"/>
    </row>
    <row r="4404" spans="1:6" x14ac:dyDescent="0.25">
      <c r="A4404" s="86">
        <v>4403</v>
      </c>
      <c r="B4404" s="87">
        <v>45.405454324616585</v>
      </c>
      <c r="C4404" s="14">
        <v>2</v>
      </c>
      <c r="D4404" s="86">
        <v>6.4605341357817037E-2</v>
      </c>
      <c r="E4404" s="86"/>
      <c r="F4404" s="14"/>
    </row>
    <row r="4405" spans="1:6" x14ac:dyDescent="0.25">
      <c r="A4405" s="86">
        <v>4404</v>
      </c>
      <c r="B4405" s="87">
        <v>49.56996235193219</v>
      </c>
      <c r="C4405" s="14">
        <v>4</v>
      </c>
      <c r="D4405" s="86">
        <v>0.22493064128900664</v>
      </c>
      <c r="E4405" s="86"/>
      <c r="F4405" s="14"/>
    </row>
    <row r="4406" spans="1:6" x14ac:dyDescent="0.25">
      <c r="A4406" s="86">
        <v>4405</v>
      </c>
      <c r="B4406" s="87">
        <v>42.447516074724263</v>
      </c>
      <c r="C4406" s="14">
        <v>2</v>
      </c>
      <c r="D4406" s="86">
        <v>0.94771182354647487</v>
      </c>
      <c r="E4406" s="86"/>
      <c r="F4406" s="14"/>
    </row>
    <row r="4407" spans="1:6" x14ac:dyDescent="0.25">
      <c r="A4407" s="86">
        <v>4406</v>
      </c>
      <c r="B4407" s="87">
        <v>46.4904360290966</v>
      </c>
      <c r="C4407" s="14">
        <v>5</v>
      </c>
      <c r="D4407" s="86">
        <v>0.35073411766254325</v>
      </c>
      <c r="E4407" s="86"/>
      <c r="F4407" s="14"/>
    </row>
    <row r="4408" spans="1:6" x14ac:dyDescent="0.25">
      <c r="A4408" s="86">
        <v>4407</v>
      </c>
      <c r="B4408" s="87">
        <v>45.930431719505577</v>
      </c>
      <c r="C4408" s="14">
        <v>4</v>
      </c>
      <c r="D4408" s="86">
        <v>0.96855324037759805</v>
      </c>
      <c r="E4408" s="86"/>
      <c r="F4408" s="14"/>
    </row>
    <row r="4409" spans="1:6" x14ac:dyDescent="0.25">
      <c r="A4409" s="86">
        <v>4408</v>
      </c>
      <c r="B4409" s="87">
        <v>43.603699845669325</v>
      </c>
      <c r="C4409" s="14">
        <v>2</v>
      </c>
      <c r="D4409" s="86">
        <v>0.50328925581335981</v>
      </c>
      <c r="E4409" s="86"/>
      <c r="F4409" s="14"/>
    </row>
    <row r="4410" spans="1:6" x14ac:dyDescent="0.25">
      <c r="A4410" s="86">
        <v>4409</v>
      </c>
      <c r="B4410" s="87">
        <v>42.3461813119211</v>
      </c>
      <c r="C4410" s="14">
        <v>2</v>
      </c>
      <c r="D4410" s="86">
        <v>0.76487122779672778</v>
      </c>
      <c r="E4410" s="86"/>
      <c r="F4410" s="14"/>
    </row>
    <row r="4411" spans="1:6" x14ac:dyDescent="0.25">
      <c r="A4411" s="86">
        <v>4410</v>
      </c>
      <c r="B4411" s="87">
        <v>43.023521806724602</v>
      </c>
      <c r="C4411" s="14">
        <v>2</v>
      </c>
      <c r="D4411" s="86">
        <v>0.99286935206158156</v>
      </c>
      <c r="E4411" s="86"/>
      <c r="F4411" s="14"/>
    </row>
    <row r="4412" spans="1:6" x14ac:dyDescent="0.25">
      <c r="A4412" s="86">
        <v>4411</v>
      </c>
      <c r="B4412" s="87">
        <v>49.161440069263335</v>
      </c>
      <c r="C4412" s="14">
        <v>4</v>
      </c>
      <c r="D4412" s="86">
        <v>5.3415730646071746E-2</v>
      </c>
      <c r="E4412" s="86"/>
      <c r="F4412" s="14"/>
    </row>
    <row r="4413" spans="1:6" x14ac:dyDescent="0.25">
      <c r="A4413" s="86">
        <v>4412</v>
      </c>
      <c r="B4413" s="87">
        <v>37.47796881213435</v>
      </c>
      <c r="C4413" s="14">
        <v>5</v>
      </c>
      <c r="D4413" s="86">
        <v>0.67395479821225923</v>
      </c>
      <c r="E4413" s="86"/>
      <c r="F4413" s="14"/>
    </row>
    <row r="4414" spans="1:6" x14ac:dyDescent="0.25">
      <c r="A4414" s="86">
        <v>4413</v>
      </c>
      <c r="B4414" s="87">
        <v>42.726958321843995</v>
      </c>
      <c r="C4414" s="14">
        <v>2</v>
      </c>
      <c r="D4414" s="86">
        <v>0.85869189706194393</v>
      </c>
      <c r="E4414" s="86"/>
      <c r="F4414" s="14"/>
    </row>
    <row r="4415" spans="1:6" x14ac:dyDescent="0.25">
      <c r="A4415" s="86">
        <v>4414</v>
      </c>
      <c r="B4415" s="87">
        <v>47.209960025036708</v>
      </c>
      <c r="C4415" s="14">
        <v>2</v>
      </c>
      <c r="D4415" s="86">
        <v>0.51565937510470783</v>
      </c>
      <c r="E4415" s="86"/>
      <c r="F4415" s="14"/>
    </row>
    <row r="4416" spans="1:6" x14ac:dyDescent="0.25">
      <c r="A4416" s="86">
        <v>4415</v>
      </c>
      <c r="B4416" s="87">
        <v>43.630291197012411</v>
      </c>
      <c r="C4416" s="14">
        <v>3</v>
      </c>
      <c r="D4416" s="86">
        <v>7.9862055237429397E-2</v>
      </c>
      <c r="E4416" s="86"/>
      <c r="F4416" s="14"/>
    </row>
    <row r="4417" spans="1:6" x14ac:dyDescent="0.25">
      <c r="A4417" s="86">
        <v>4416</v>
      </c>
      <c r="B4417" s="87">
        <v>40.855451283612638</v>
      </c>
      <c r="C4417" s="14">
        <v>4</v>
      </c>
      <c r="D4417" s="86">
        <v>0.9410473492160204</v>
      </c>
      <c r="E4417" s="86"/>
      <c r="F4417" s="14"/>
    </row>
    <row r="4418" spans="1:6" x14ac:dyDescent="0.25">
      <c r="A4418" s="86">
        <v>4417</v>
      </c>
      <c r="B4418" s="87">
        <v>47.908542905468494</v>
      </c>
      <c r="C4418" s="14">
        <v>1</v>
      </c>
      <c r="D4418" s="86">
        <v>0.87170439351877838</v>
      </c>
      <c r="E4418" s="86"/>
      <c r="F4418" s="14"/>
    </row>
    <row r="4419" spans="1:6" x14ac:dyDescent="0.25">
      <c r="A4419" s="86">
        <v>4418</v>
      </c>
      <c r="B4419" s="87">
        <v>41.675195911346236</v>
      </c>
      <c r="C4419" s="14">
        <v>2</v>
      </c>
      <c r="D4419" s="86">
        <v>0.17166398555913709</v>
      </c>
      <c r="E4419" s="86"/>
      <c r="F4419" s="14"/>
    </row>
    <row r="4420" spans="1:6" x14ac:dyDescent="0.25">
      <c r="A4420" s="86">
        <v>4419</v>
      </c>
      <c r="B4420" s="87">
        <v>37.291124494338874</v>
      </c>
      <c r="C4420" s="14">
        <v>5</v>
      </c>
      <c r="D4420" s="86">
        <v>0.89187898064814031</v>
      </c>
      <c r="E4420" s="86"/>
      <c r="F4420" s="14"/>
    </row>
    <row r="4421" spans="1:6" x14ac:dyDescent="0.25">
      <c r="A4421" s="86">
        <v>4420</v>
      </c>
      <c r="B4421" s="87">
        <v>41.534013911921647</v>
      </c>
      <c r="C4421" s="14">
        <v>2</v>
      </c>
      <c r="D4421" s="86">
        <v>0.76252906561401756</v>
      </c>
      <c r="E4421" s="86"/>
      <c r="F4421" s="14"/>
    </row>
    <row r="4422" spans="1:6" x14ac:dyDescent="0.25">
      <c r="A4422" s="86">
        <v>4421</v>
      </c>
      <c r="B4422" s="87">
        <v>46.15320676236297</v>
      </c>
      <c r="C4422" s="14">
        <v>2</v>
      </c>
      <c r="D4422" s="86">
        <v>0.5129807590671841</v>
      </c>
      <c r="E4422" s="86"/>
      <c r="F4422" s="14"/>
    </row>
    <row r="4423" spans="1:6" x14ac:dyDescent="0.25">
      <c r="A4423" s="86">
        <v>4422</v>
      </c>
      <c r="B4423" s="87">
        <v>41.308857129813987</v>
      </c>
      <c r="C4423" s="14">
        <v>4</v>
      </c>
      <c r="D4423" s="86">
        <v>0.18816901371415207</v>
      </c>
      <c r="E4423" s="86"/>
      <c r="F4423" s="14"/>
    </row>
    <row r="4424" spans="1:6" x14ac:dyDescent="0.25">
      <c r="A4424" s="86">
        <v>4423</v>
      </c>
      <c r="B4424" s="87">
        <v>46.164410600220435</v>
      </c>
      <c r="C4424" s="14">
        <v>2</v>
      </c>
      <c r="D4424" s="86">
        <v>1.2000787164854865E-2</v>
      </c>
      <c r="E4424" s="86"/>
      <c r="F4424" s="14"/>
    </row>
    <row r="4425" spans="1:6" x14ac:dyDescent="0.25">
      <c r="A4425" s="86">
        <v>4424</v>
      </c>
      <c r="B4425" s="87">
        <v>41.442325477299164</v>
      </c>
      <c r="C4425" s="14">
        <v>2</v>
      </c>
      <c r="D4425" s="86">
        <v>0.43855745909942689</v>
      </c>
      <c r="E4425" s="86"/>
      <c r="F4425" s="14"/>
    </row>
    <row r="4426" spans="1:6" x14ac:dyDescent="0.25">
      <c r="A4426" s="86">
        <v>4425</v>
      </c>
      <c r="B4426" s="87">
        <v>36.247956808772869</v>
      </c>
      <c r="C4426" s="14">
        <v>4</v>
      </c>
      <c r="D4426" s="86">
        <v>0.64650335923459878</v>
      </c>
      <c r="E4426" s="86"/>
      <c r="F4426" s="14"/>
    </row>
    <row r="4427" spans="1:6" x14ac:dyDescent="0.25">
      <c r="A4427" s="86">
        <v>4426</v>
      </c>
      <c r="B4427" s="87">
        <v>49.974778443691321</v>
      </c>
      <c r="C4427" s="14">
        <v>1</v>
      </c>
      <c r="D4427" s="86">
        <v>0.8500641424119032</v>
      </c>
      <c r="E4427" s="86"/>
      <c r="F4427" s="14"/>
    </row>
    <row r="4428" spans="1:6" x14ac:dyDescent="0.25">
      <c r="A4428" s="86">
        <v>4427</v>
      </c>
      <c r="B4428" s="87">
        <v>42.337694589485181</v>
      </c>
      <c r="C4428" s="14">
        <v>4</v>
      </c>
      <c r="D4428" s="86">
        <v>0.89284821013815885</v>
      </c>
      <c r="E4428" s="86"/>
      <c r="F4428" s="14"/>
    </row>
    <row r="4429" spans="1:6" x14ac:dyDescent="0.25">
      <c r="A4429" s="86">
        <v>4428</v>
      </c>
      <c r="B4429" s="87">
        <v>44.097123458748683</v>
      </c>
      <c r="C4429" s="14">
        <v>2</v>
      </c>
      <c r="D4429" s="86">
        <v>0.60130313870606455</v>
      </c>
      <c r="E4429" s="86"/>
      <c r="F4429" s="14"/>
    </row>
    <row r="4430" spans="1:6" x14ac:dyDescent="0.25">
      <c r="A4430" s="86">
        <v>4429</v>
      </c>
      <c r="B4430" s="87">
        <v>37.644531398080289</v>
      </c>
      <c r="C4430" s="14">
        <v>2</v>
      </c>
      <c r="D4430" s="86">
        <v>0.7336797192269513</v>
      </c>
      <c r="E4430" s="86"/>
      <c r="F4430" s="14"/>
    </row>
    <row r="4431" spans="1:6" x14ac:dyDescent="0.25">
      <c r="A4431" s="86">
        <v>4430</v>
      </c>
      <c r="B4431" s="87">
        <v>44.258365500689251</v>
      </c>
      <c r="C4431" s="14">
        <v>2</v>
      </c>
      <c r="D4431" s="86">
        <v>0.62686301375484998</v>
      </c>
      <c r="E4431" s="86"/>
      <c r="F4431" s="14"/>
    </row>
    <row r="4432" spans="1:6" x14ac:dyDescent="0.25">
      <c r="A4432" s="86">
        <v>4431</v>
      </c>
      <c r="B4432" s="87">
        <v>39.226699749968247</v>
      </c>
      <c r="C4432" s="14">
        <v>5</v>
      </c>
      <c r="D4432" s="86">
        <v>0.35428759972184443</v>
      </c>
      <c r="E4432" s="86"/>
      <c r="F4432" s="14"/>
    </row>
    <row r="4433" spans="1:6" x14ac:dyDescent="0.25">
      <c r="A4433" s="86">
        <v>4432</v>
      </c>
      <c r="B4433" s="87">
        <v>46.444222329562763</v>
      </c>
      <c r="C4433" s="14">
        <v>2</v>
      </c>
      <c r="D4433" s="86">
        <v>0.252780298713003</v>
      </c>
      <c r="E4433" s="86"/>
      <c r="F4433" s="14"/>
    </row>
    <row r="4434" spans="1:6" x14ac:dyDescent="0.25">
      <c r="A4434" s="86">
        <v>4433</v>
      </c>
      <c r="B4434" s="87">
        <v>39.565463789011119</v>
      </c>
      <c r="C4434" s="14">
        <v>5</v>
      </c>
      <c r="D4434" s="86">
        <v>0.81070585681598972</v>
      </c>
      <c r="E4434" s="86"/>
      <c r="F4434" s="14"/>
    </row>
    <row r="4435" spans="1:6" x14ac:dyDescent="0.25">
      <c r="A4435" s="86">
        <v>4434</v>
      </c>
      <c r="B4435" s="87">
        <v>37.418453752587084</v>
      </c>
      <c r="C4435" s="14">
        <v>5</v>
      </c>
      <c r="D4435" s="86">
        <v>0.35799463525426778</v>
      </c>
      <c r="E4435" s="86"/>
      <c r="F4435" s="14"/>
    </row>
    <row r="4436" spans="1:6" x14ac:dyDescent="0.25">
      <c r="A4436" s="86">
        <v>4435</v>
      </c>
      <c r="B4436" s="87">
        <v>36.426399669260718</v>
      </c>
      <c r="C4436" s="14">
        <v>1</v>
      </c>
      <c r="D4436" s="86">
        <v>0.46138197603524234</v>
      </c>
      <c r="E4436" s="86"/>
      <c r="F4436" s="14"/>
    </row>
    <row r="4437" spans="1:6" x14ac:dyDescent="0.25">
      <c r="A4437" s="86">
        <v>4436</v>
      </c>
      <c r="B4437" s="87">
        <v>46.200477749487618</v>
      </c>
      <c r="C4437" s="14">
        <v>5</v>
      </c>
      <c r="D4437" s="86">
        <v>0.79178991040996405</v>
      </c>
      <c r="E4437" s="86"/>
      <c r="F4437" s="14"/>
    </row>
    <row r="4438" spans="1:6" x14ac:dyDescent="0.25">
      <c r="A4438" s="86">
        <v>4437</v>
      </c>
      <c r="B4438" s="87">
        <v>43.444850911662797</v>
      </c>
      <c r="C4438" s="14">
        <v>2</v>
      </c>
      <c r="D4438" s="86">
        <v>0.79864207034742307</v>
      </c>
      <c r="E4438" s="86"/>
      <c r="F4438" s="14"/>
    </row>
    <row r="4439" spans="1:6" x14ac:dyDescent="0.25">
      <c r="A4439" s="86">
        <v>4438</v>
      </c>
      <c r="B4439" s="87">
        <v>42.793971028339001</v>
      </c>
      <c r="C4439" s="14">
        <v>2</v>
      </c>
      <c r="D4439" s="86">
        <v>0.53155325744664006</v>
      </c>
      <c r="E4439" s="86"/>
      <c r="F4439" s="14"/>
    </row>
    <row r="4440" spans="1:6" x14ac:dyDescent="0.25">
      <c r="A4440" s="86">
        <v>4439</v>
      </c>
      <c r="B4440" s="87">
        <v>43.499409225085401</v>
      </c>
      <c r="C4440" s="14">
        <v>4</v>
      </c>
      <c r="D4440" s="86">
        <v>0.84712668434437377</v>
      </c>
      <c r="E4440" s="86"/>
      <c r="F4440" s="14"/>
    </row>
    <row r="4441" spans="1:6" x14ac:dyDescent="0.25">
      <c r="A4441" s="86">
        <v>4440</v>
      </c>
      <c r="B4441" s="87">
        <v>42.100714376254473</v>
      </c>
      <c r="C4441" s="14">
        <v>4</v>
      </c>
      <c r="D4441" s="86">
        <v>0.23241749409336099</v>
      </c>
      <c r="E4441" s="86"/>
      <c r="F4441" s="14"/>
    </row>
    <row r="4442" spans="1:6" x14ac:dyDescent="0.25">
      <c r="A4442" s="86">
        <v>4441</v>
      </c>
      <c r="B4442" s="87">
        <v>47.421474386617774</v>
      </c>
      <c r="C4442" s="14">
        <v>5</v>
      </c>
      <c r="D4442" s="86">
        <v>4.8842471576760138E-2</v>
      </c>
      <c r="E4442" s="86"/>
      <c r="F4442" s="14"/>
    </row>
    <row r="4443" spans="1:6" x14ac:dyDescent="0.25">
      <c r="A4443" s="86">
        <v>4442</v>
      </c>
      <c r="B4443" s="87">
        <v>41.033604242664296</v>
      </c>
      <c r="C4443" s="14">
        <v>5</v>
      </c>
      <c r="D4443" s="86">
        <v>0.19678940938694578</v>
      </c>
      <c r="E4443" s="86"/>
      <c r="F4443" s="14"/>
    </row>
    <row r="4444" spans="1:6" x14ac:dyDescent="0.25">
      <c r="A4444" s="86">
        <v>4443</v>
      </c>
      <c r="B4444" s="87">
        <v>45.435990609228611</v>
      </c>
      <c r="C4444" s="14">
        <v>4</v>
      </c>
      <c r="D4444" s="86">
        <v>0.36267139837705986</v>
      </c>
      <c r="E4444" s="86"/>
      <c r="F4444" s="14"/>
    </row>
    <row r="4445" spans="1:6" x14ac:dyDescent="0.25">
      <c r="A4445" s="86">
        <v>4444</v>
      </c>
      <c r="B4445" s="87">
        <v>40.815967844871921</v>
      </c>
      <c r="C4445" s="14">
        <v>4</v>
      </c>
      <c r="D4445" s="86">
        <v>5.2823328478092124E-2</v>
      </c>
      <c r="E4445" s="86"/>
      <c r="F4445" s="14"/>
    </row>
    <row r="4446" spans="1:6" x14ac:dyDescent="0.25">
      <c r="A4446" s="86">
        <v>4445</v>
      </c>
      <c r="B4446" s="87">
        <v>41.76649212637858</v>
      </c>
      <c r="C4446" s="14">
        <v>1</v>
      </c>
      <c r="D4446" s="86">
        <v>0.37335425654873788</v>
      </c>
      <c r="E4446" s="86"/>
      <c r="F4446" s="14"/>
    </row>
    <row r="4447" spans="1:6" x14ac:dyDescent="0.25">
      <c r="A4447" s="86">
        <v>4446</v>
      </c>
      <c r="B4447" s="87">
        <v>45.468777893227525</v>
      </c>
      <c r="C4447" s="14">
        <v>5</v>
      </c>
      <c r="D4447" s="86">
        <v>6.0575326405195695E-2</v>
      </c>
      <c r="E4447" s="86"/>
      <c r="F4447" s="14"/>
    </row>
    <row r="4448" spans="1:6" x14ac:dyDescent="0.25">
      <c r="A4448" s="86">
        <v>4447</v>
      </c>
      <c r="B4448" s="87">
        <v>40.18236836088181</v>
      </c>
      <c r="C4448" s="14">
        <v>2</v>
      </c>
      <c r="D4448" s="86">
        <v>0.94455186920707945</v>
      </c>
      <c r="E4448" s="86"/>
      <c r="F4448" s="14"/>
    </row>
    <row r="4449" spans="1:6" x14ac:dyDescent="0.25">
      <c r="A4449" s="86">
        <v>4448</v>
      </c>
      <c r="B4449" s="87">
        <v>46.237653345422586</v>
      </c>
      <c r="C4449" s="14">
        <v>5</v>
      </c>
      <c r="D4449" s="86">
        <v>6.9753264005227522E-2</v>
      </c>
      <c r="E4449" s="86"/>
      <c r="F4449" s="14"/>
    </row>
    <row r="4450" spans="1:6" x14ac:dyDescent="0.25">
      <c r="A4450" s="86">
        <v>4449</v>
      </c>
      <c r="B4450" s="87">
        <v>40.101753024253412</v>
      </c>
      <c r="C4450" s="14">
        <v>2</v>
      </c>
      <c r="D4450" s="86">
        <v>0.93578558854978999</v>
      </c>
      <c r="E4450" s="86"/>
      <c r="F4450" s="14"/>
    </row>
    <row r="4451" spans="1:6" x14ac:dyDescent="0.25">
      <c r="A4451" s="86">
        <v>4450</v>
      </c>
      <c r="B4451" s="87">
        <v>43.218278728425503</v>
      </c>
      <c r="C4451" s="14">
        <v>4</v>
      </c>
      <c r="D4451" s="86">
        <v>0.93091169837411269</v>
      </c>
      <c r="E4451" s="86"/>
      <c r="F4451" s="14"/>
    </row>
    <row r="4452" spans="1:6" x14ac:dyDescent="0.25">
      <c r="A4452" s="86">
        <v>4451</v>
      </c>
      <c r="B4452" s="87">
        <v>34.146228239813354</v>
      </c>
      <c r="C4452" s="14">
        <v>2</v>
      </c>
      <c r="D4452" s="86">
        <v>0.77306930097434745</v>
      </c>
      <c r="E4452" s="86"/>
      <c r="F4452" s="14"/>
    </row>
    <row r="4453" spans="1:6" x14ac:dyDescent="0.25">
      <c r="A4453" s="86">
        <v>4452</v>
      </c>
      <c r="B4453" s="87">
        <v>49.313860012596706</v>
      </c>
      <c r="C4453" s="14">
        <v>4</v>
      </c>
      <c r="D4453" s="86">
        <v>0.9649771575195486</v>
      </c>
      <c r="E4453" s="86"/>
      <c r="F4453" s="14"/>
    </row>
    <row r="4454" spans="1:6" x14ac:dyDescent="0.25">
      <c r="A4454" s="86">
        <v>4453</v>
      </c>
      <c r="B4454" s="87">
        <v>39.23686335326056</v>
      </c>
      <c r="C4454" s="14">
        <v>5</v>
      </c>
      <c r="D4454" s="86">
        <v>0.58084294080025978</v>
      </c>
      <c r="E4454" s="86"/>
      <c r="F4454" s="14"/>
    </row>
    <row r="4455" spans="1:6" x14ac:dyDescent="0.25">
      <c r="A4455" s="86">
        <v>4454</v>
      </c>
      <c r="B4455" s="87">
        <v>43.291430524157477</v>
      </c>
      <c r="C4455" s="14">
        <v>5</v>
      </c>
      <c r="D4455" s="86">
        <v>0.26083204634277357</v>
      </c>
      <c r="E4455" s="86"/>
      <c r="F4455" s="14"/>
    </row>
    <row r="4456" spans="1:6" x14ac:dyDescent="0.25">
      <c r="A4456" s="86">
        <v>4455</v>
      </c>
      <c r="B4456" s="87">
        <v>40.135171270201681</v>
      </c>
      <c r="C4456" s="14">
        <v>2</v>
      </c>
      <c r="D4456" s="86">
        <v>0.90654933466801535</v>
      </c>
      <c r="E4456" s="86"/>
      <c r="F4456" s="14"/>
    </row>
    <row r="4457" spans="1:6" x14ac:dyDescent="0.25">
      <c r="A4457" s="86">
        <v>4456</v>
      </c>
      <c r="B4457" s="87">
        <v>33.13361957622692</v>
      </c>
      <c r="C4457" s="14">
        <v>2</v>
      </c>
      <c r="D4457" s="86">
        <v>0.34346149453381813</v>
      </c>
      <c r="E4457" s="86"/>
      <c r="F4457" s="14"/>
    </row>
    <row r="4458" spans="1:6" x14ac:dyDescent="0.25">
      <c r="A4458" s="86">
        <v>4457</v>
      </c>
      <c r="B4458" s="87">
        <v>40.432655618467834</v>
      </c>
      <c r="C4458" s="14">
        <v>4</v>
      </c>
      <c r="D4458" s="86">
        <v>0.75437752092116916</v>
      </c>
      <c r="E4458" s="86"/>
      <c r="F4458" s="14"/>
    </row>
    <row r="4459" spans="1:6" x14ac:dyDescent="0.25">
      <c r="A4459" s="86">
        <v>4458</v>
      </c>
      <c r="B4459" s="87">
        <v>46.541867954481859</v>
      </c>
      <c r="C4459" s="14">
        <v>2</v>
      </c>
      <c r="D4459" s="86">
        <v>0.13764616929239848</v>
      </c>
      <c r="E4459" s="86"/>
      <c r="F4459" s="14"/>
    </row>
    <row r="4460" spans="1:6" x14ac:dyDescent="0.25">
      <c r="A4460" s="86">
        <v>4459</v>
      </c>
      <c r="B4460" s="87">
        <v>44.227988377650036</v>
      </c>
      <c r="C4460" s="14">
        <v>4</v>
      </c>
      <c r="D4460" s="86">
        <v>0.23859458912684772</v>
      </c>
      <c r="E4460" s="86"/>
      <c r="F4460" s="14"/>
    </row>
    <row r="4461" spans="1:6" x14ac:dyDescent="0.25">
      <c r="A4461" s="86">
        <v>4460</v>
      </c>
      <c r="B4461" s="87">
        <v>45.445040081511252</v>
      </c>
      <c r="C4461" s="14">
        <v>4</v>
      </c>
      <c r="D4461" s="86">
        <v>0.60968240482499947</v>
      </c>
      <c r="E4461" s="86"/>
      <c r="F4461" s="14"/>
    </row>
    <row r="4462" spans="1:6" x14ac:dyDescent="0.25">
      <c r="A4462" s="86">
        <v>4461</v>
      </c>
      <c r="B4462" s="87">
        <v>42.447516074724263</v>
      </c>
      <c r="C4462" s="14">
        <v>4</v>
      </c>
      <c r="D4462" s="86">
        <v>0.63218818391416443</v>
      </c>
      <c r="E4462" s="86"/>
      <c r="F4462" s="14"/>
    </row>
    <row r="4463" spans="1:6" x14ac:dyDescent="0.25">
      <c r="A4463" s="86">
        <v>4462</v>
      </c>
      <c r="B4463" s="87">
        <v>31.737636158475652</v>
      </c>
      <c r="C4463" s="14">
        <v>4</v>
      </c>
      <c r="D4463" s="86">
        <v>0.14940256673884034</v>
      </c>
      <c r="E4463" s="86"/>
      <c r="F4463" s="14"/>
    </row>
    <row r="4464" spans="1:6" x14ac:dyDescent="0.25">
      <c r="A4464" s="86">
        <v>4463</v>
      </c>
      <c r="B4464" s="87">
        <v>40.570034793170635</v>
      </c>
      <c r="C4464" s="14">
        <v>5</v>
      </c>
      <c r="D4464" s="86">
        <v>0.69560374890107191</v>
      </c>
      <c r="E4464" s="86"/>
      <c r="F4464" s="14"/>
    </row>
    <row r="4465" spans="1:6" x14ac:dyDescent="0.25">
      <c r="A4465" s="86">
        <v>4464</v>
      </c>
      <c r="B4465" s="87">
        <v>40.905251802876592</v>
      </c>
      <c r="C4465" s="14">
        <v>2</v>
      </c>
      <c r="D4465" s="86">
        <v>0.56218798306413642</v>
      </c>
      <c r="E4465" s="86"/>
      <c r="F4465" s="14"/>
    </row>
    <row r="4466" spans="1:6" x14ac:dyDescent="0.25">
      <c r="A4466" s="86">
        <v>4465</v>
      </c>
      <c r="B4466" s="87">
        <v>42.606967548970715</v>
      </c>
      <c r="C4466" s="14">
        <v>2</v>
      </c>
      <c r="D4466" s="86">
        <v>0.7443528851283896</v>
      </c>
      <c r="E4466" s="86"/>
      <c r="F4466" s="14"/>
    </row>
    <row r="4467" spans="1:6" x14ac:dyDescent="0.25">
      <c r="A4467" s="86">
        <v>4466</v>
      </c>
      <c r="B4467" s="87">
        <v>28.496469889767468</v>
      </c>
      <c r="C4467" s="14">
        <v>2</v>
      </c>
      <c r="D4467" s="86">
        <v>0.31831515718480763</v>
      </c>
      <c r="E4467" s="86"/>
      <c r="F4467" s="14"/>
    </row>
    <row r="4468" spans="1:6" x14ac:dyDescent="0.25">
      <c r="A4468" s="86">
        <v>4467</v>
      </c>
      <c r="B4468" s="87">
        <v>43.166608060681028</v>
      </c>
      <c r="C4468" s="14">
        <v>5</v>
      </c>
      <c r="D4468" s="86">
        <v>0.7371798244769594</v>
      </c>
      <c r="E4468" s="86"/>
      <c r="F4468" s="14"/>
    </row>
    <row r="4469" spans="1:6" x14ac:dyDescent="0.25">
      <c r="A4469" s="86">
        <v>4468</v>
      </c>
      <c r="B4469" s="87">
        <v>42.694773578085005</v>
      </c>
      <c r="C4469" s="14">
        <v>4</v>
      </c>
      <c r="D4469" s="86">
        <v>0.3037793897977249</v>
      </c>
      <c r="E4469" s="86"/>
      <c r="F4469" s="14"/>
    </row>
    <row r="4470" spans="1:6" x14ac:dyDescent="0.25">
      <c r="A4470" s="86">
        <v>4469</v>
      </c>
      <c r="B4470" s="87">
        <v>36.863809777394636</v>
      </c>
      <c r="C4470" s="14">
        <v>4</v>
      </c>
      <c r="D4470" s="86">
        <v>0.45953957493836473</v>
      </c>
      <c r="E4470" s="86"/>
      <c r="F4470" s="14"/>
    </row>
    <row r="4471" spans="1:6" x14ac:dyDescent="0.25">
      <c r="A4471" s="86">
        <v>4470</v>
      </c>
      <c r="B4471" s="87">
        <v>36.85568116849754</v>
      </c>
      <c r="C4471" s="14">
        <v>2</v>
      </c>
      <c r="D4471" s="86">
        <v>0.26389006555321726</v>
      </c>
      <c r="E4471" s="86"/>
      <c r="F4471" s="14"/>
    </row>
    <row r="4472" spans="1:6" x14ac:dyDescent="0.25">
      <c r="A4472" s="86">
        <v>4471</v>
      </c>
      <c r="B4472" s="87">
        <v>43.058332716434961</v>
      </c>
      <c r="C4472" s="14">
        <v>5</v>
      </c>
      <c r="D4472" s="86">
        <v>0.89732127722886812</v>
      </c>
      <c r="E4472" s="86"/>
      <c r="F4472" s="14"/>
    </row>
    <row r="4473" spans="1:6" x14ac:dyDescent="0.25">
      <c r="A4473" s="86">
        <v>4472</v>
      </c>
      <c r="B4473" s="87">
        <v>40.850420641043456</v>
      </c>
      <c r="C4473" s="14">
        <v>2</v>
      </c>
      <c r="D4473" s="86">
        <v>0.34205572040369869</v>
      </c>
      <c r="E4473" s="86"/>
      <c r="F4473" s="14"/>
    </row>
    <row r="4474" spans="1:6" x14ac:dyDescent="0.25">
      <c r="A4474" s="86">
        <v>4473</v>
      </c>
      <c r="B4474" s="87">
        <v>45.821218458848307</v>
      </c>
      <c r="C4474" s="14">
        <v>4</v>
      </c>
      <c r="D4474" s="86">
        <v>0.45934309208302149</v>
      </c>
      <c r="E4474" s="86"/>
      <c r="F4474" s="14"/>
    </row>
    <row r="4475" spans="1:6" x14ac:dyDescent="0.25">
      <c r="A4475" s="86">
        <v>4474</v>
      </c>
      <c r="B4475" s="87">
        <v>46.272162985012983</v>
      </c>
      <c r="C4475" s="14">
        <v>1</v>
      </c>
      <c r="D4475" s="86">
        <v>0.29008811249795907</v>
      </c>
      <c r="E4475" s="86"/>
      <c r="F4475" s="14"/>
    </row>
    <row r="4476" spans="1:6" x14ac:dyDescent="0.25">
      <c r="A4476" s="86">
        <v>4475</v>
      </c>
      <c r="B4476" s="87">
        <v>40.809231899736915</v>
      </c>
      <c r="C4476" s="14">
        <v>5</v>
      </c>
      <c r="D4476" s="86">
        <v>0.6518192914566705</v>
      </c>
      <c r="E4476" s="86"/>
      <c r="F4476" s="14"/>
    </row>
    <row r="4477" spans="1:6" x14ac:dyDescent="0.25">
      <c r="A4477" s="86">
        <v>4476</v>
      </c>
      <c r="B4477" s="87">
        <v>42.725423549534753</v>
      </c>
      <c r="C4477" s="14">
        <v>4</v>
      </c>
      <c r="D4477" s="86">
        <v>0.97209164626504763</v>
      </c>
      <c r="E4477" s="86"/>
      <c r="F4477" s="14"/>
    </row>
    <row r="4478" spans="1:6" x14ac:dyDescent="0.25">
      <c r="A4478" s="86">
        <v>4477</v>
      </c>
      <c r="B4478" s="87">
        <v>55.258078641025349</v>
      </c>
      <c r="C4478" s="14">
        <v>5</v>
      </c>
      <c r="D4478" s="86">
        <v>0.15619330957881461</v>
      </c>
      <c r="E4478" s="86"/>
      <c r="F4478" s="14"/>
    </row>
    <row r="4479" spans="1:6" x14ac:dyDescent="0.25">
      <c r="A4479" s="86">
        <v>4478</v>
      </c>
      <c r="B4479" s="87">
        <v>33.436572261387482</v>
      </c>
      <c r="C4479" s="14">
        <v>1</v>
      </c>
      <c r="D4479" s="86">
        <v>0.67017060246322757</v>
      </c>
      <c r="E4479" s="86"/>
      <c r="F4479" s="14"/>
    </row>
    <row r="4480" spans="1:6" x14ac:dyDescent="0.25">
      <c r="A4480" s="86">
        <v>4479</v>
      </c>
      <c r="B4480" s="87">
        <v>40.838244780723471</v>
      </c>
      <c r="C4480" s="14">
        <v>1</v>
      </c>
      <c r="D4480" s="86">
        <v>3.2958294445644354E-2</v>
      </c>
      <c r="E4480" s="86"/>
      <c r="F4480" s="14"/>
    </row>
    <row r="4481" spans="1:6" x14ac:dyDescent="0.25">
      <c r="A4481" s="86">
        <v>4480</v>
      </c>
      <c r="B4481" s="87">
        <v>39.542669578047935</v>
      </c>
      <c r="C4481" s="14">
        <v>1</v>
      </c>
      <c r="D4481" s="86">
        <v>0.85576157277678977</v>
      </c>
      <c r="E4481" s="86"/>
      <c r="F4481" s="14"/>
    </row>
    <row r="4482" spans="1:6" x14ac:dyDescent="0.25">
      <c r="A4482" s="86">
        <v>4481</v>
      </c>
      <c r="B4482" s="87">
        <v>41.22396148374537</v>
      </c>
      <c r="C4482" s="14">
        <v>4</v>
      </c>
      <c r="D4482" s="86">
        <v>0.72058118769899482</v>
      </c>
      <c r="E4482" s="86"/>
      <c r="F4482" s="14"/>
    </row>
    <row r="4483" spans="1:6" x14ac:dyDescent="0.25">
      <c r="A4483" s="86">
        <v>4482</v>
      </c>
      <c r="B4483" s="87">
        <v>51.75286332302494</v>
      </c>
      <c r="C4483" s="14">
        <v>4</v>
      </c>
      <c r="D4483" s="86">
        <v>0.12845796379150265</v>
      </c>
      <c r="E4483" s="86"/>
      <c r="F4483" s="14"/>
    </row>
    <row r="4484" spans="1:6" x14ac:dyDescent="0.25">
      <c r="A4484" s="86">
        <v>4483</v>
      </c>
      <c r="B4484" s="87">
        <v>40.409497609623941</v>
      </c>
      <c r="C4484" s="14">
        <v>5</v>
      </c>
      <c r="D4484" s="86">
        <v>0.40275797817270242</v>
      </c>
      <c r="E4484" s="86"/>
      <c r="F4484" s="14"/>
    </row>
    <row r="4485" spans="1:6" x14ac:dyDescent="0.25">
      <c r="A4485" s="86">
        <v>4484</v>
      </c>
      <c r="B4485" s="87">
        <v>41.84009866946144</v>
      </c>
      <c r="C4485" s="14">
        <v>4</v>
      </c>
      <c r="D4485" s="86">
        <v>0.29170874549244852</v>
      </c>
      <c r="E4485" s="86"/>
      <c r="F4485" s="14"/>
    </row>
    <row r="4486" spans="1:6" x14ac:dyDescent="0.25">
      <c r="A4486" s="86">
        <v>4485</v>
      </c>
      <c r="B4486" s="87">
        <v>43.589056980970781</v>
      </c>
      <c r="C4486" s="14">
        <v>2</v>
      </c>
      <c r="D4486" s="86">
        <v>0.63730484680459643</v>
      </c>
      <c r="E4486" s="86"/>
      <c r="F4486" s="14"/>
    </row>
    <row r="4487" spans="1:6" x14ac:dyDescent="0.25">
      <c r="A4487" s="86">
        <v>4486</v>
      </c>
      <c r="B4487" s="87">
        <v>45.558618916737032</v>
      </c>
      <c r="C4487" s="14">
        <v>5</v>
      </c>
      <c r="D4487" s="86">
        <v>6.2425196777758041E-2</v>
      </c>
      <c r="E4487" s="86"/>
      <c r="F4487" s="14"/>
    </row>
    <row r="4488" spans="1:6" x14ac:dyDescent="0.25">
      <c r="A4488" s="86">
        <v>4487</v>
      </c>
      <c r="B4488" s="87">
        <v>39.640622157428879</v>
      </c>
      <c r="C4488" s="14">
        <v>2</v>
      </c>
      <c r="D4488" s="86">
        <v>0.89494249943062942</v>
      </c>
      <c r="E4488" s="86"/>
      <c r="F4488" s="14"/>
    </row>
    <row r="4489" spans="1:6" x14ac:dyDescent="0.25">
      <c r="A4489" s="86">
        <v>4488</v>
      </c>
      <c r="B4489" s="87">
        <v>56.523640518542379</v>
      </c>
      <c r="C4489" s="14">
        <v>1</v>
      </c>
      <c r="D4489" s="86">
        <v>0.70507611659100622</v>
      </c>
      <c r="E4489" s="86"/>
      <c r="F4489" s="14"/>
    </row>
    <row r="4490" spans="1:6" x14ac:dyDescent="0.25">
      <c r="A4490" s="86">
        <v>4489</v>
      </c>
      <c r="B4490" s="87">
        <v>46.830496098089498</v>
      </c>
      <c r="C4490" s="14">
        <v>5</v>
      </c>
      <c r="D4490" s="86">
        <v>0.79744692319897048</v>
      </c>
      <c r="E4490" s="86"/>
      <c r="F4490" s="14"/>
    </row>
    <row r="4491" spans="1:6" x14ac:dyDescent="0.25">
      <c r="A4491" s="86">
        <v>4490</v>
      </c>
      <c r="B4491" s="87">
        <v>37.0402858555899</v>
      </c>
      <c r="C4491" s="14">
        <v>4</v>
      </c>
      <c r="D4491" s="86">
        <v>0.88266295027358932</v>
      </c>
      <c r="E4491" s="86"/>
      <c r="F4491" s="14"/>
    </row>
    <row r="4492" spans="1:6" x14ac:dyDescent="0.25">
      <c r="A4492" s="86">
        <v>4491</v>
      </c>
      <c r="B4492" s="87">
        <v>40.827740116917994</v>
      </c>
      <c r="C4492" s="14">
        <v>2</v>
      </c>
      <c r="D4492" s="86">
        <v>0.80561495273934169</v>
      </c>
      <c r="E4492" s="86"/>
      <c r="F4492" s="14"/>
    </row>
    <row r="4493" spans="1:6" x14ac:dyDescent="0.25">
      <c r="A4493" s="86">
        <v>4492</v>
      </c>
      <c r="B4493" s="87">
        <v>44.94822860066779</v>
      </c>
      <c r="C4493" s="14">
        <v>2</v>
      </c>
      <c r="D4493" s="86">
        <v>0.32764340053555796</v>
      </c>
      <c r="E4493" s="86"/>
      <c r="F4493" s="14"/>
    </row>
    <row r="4494" spans="1:6" x14ac:dyDescent="0.25">
      <c r="A4494" s="86">
        <v>4493</v>
      </c>
      <c r="B4494" s="87">
        <v>40.699649156857049</v>
      </c>
      <c r="C4494" s="14">
        <v>2</v>
      </c>
      <c r="D4494" s="86">
        <v>0.63800671006038723</v>
      </c>
      <c r="E4494" s="86"/>
      <c r="F4494" s="14"/>
    </row>
    <row r="4495" spans="1:6" x14ac:dyDescent="0.25">
      <c r="A4495" s="86">
        <v>4494</v>
      </c>
      <c r="B4495" s="87">
        <v>40.922770944569493</v>
      </c>
      <c r="C4495" s="14">
        <v>4</v>
      </c>
      <c r="D4495" s="86">
        <v>0.47651646360365874</v>
      </c>
      <c r="E4495" s="86"/>
      <c r="F4495" s="14"/>
    </row>
    <row r="4496" spans="1:6" x14ac:dyDescent="0.25">
      <c r="A4496" s="86">
        <v>4495</v>
      </c>
      <c r="B4496" s="87">
        <v>50.909966370789334</v>
      </c>
      <c r="C4496" s="14">
        <v>5</v>
      </c>
      <c r="D4496" s="86">
        <v>0.64648582176901948</v>
      </c>
      <c r="E4496" s="86"/>
      <c r="F4496" s="14"/>
    </row>
    <row r="4497" spans="1:6" x14ac:dyDescent="0.25">
      <c r="A4497" s="86">
        <v>4496</v>
      </c>
      <c r="B4497" s="87">
        <v>42.333448386096279</v>
      </c>
      <c r="C4497" s="14">
        <v>4</v>
      </c>
      <c r="D4497" s="86">
        <v>0.77842339938419247</v>
      </c>
      <c r="E4497" s="86"/>
      <c r="F4497" s="14"/>
    </row>
    <row r="4498" spans="1:6" x14ac:dyDescent="0.25">
      <c r="A4498" s="86">
        <v>4497</v>
      </c>
      <c r="B4498" s="87">
        <v>45.080145122818067</v>
      </c>
      <c r="C4498" s="14">
        <v>4</v>
      </c>
      <c r="D4498" s="86">
        <v>0.32645862764110967</v>
      </c>
      <c r="E4498" s="86"/>
      <c r="F4498" s="14"/>
    </row>
    <row r="4499" spans="1:6" x14ac:dyDescent="0.25">
      <c r="A4499" s="86">
        <v>4498</v>
      </c>
      <c r="B4499" s="87">
        <v>40.591106648542336</v>
      </c>
      <c r="C4499" s="14">
        <v>5</v>
      </c>
      <c r="D4499" s="86">
        <v>0.77040020321009761</v>
      </c>
      <c r="E4499" s="86"/>
      <c r="F4499" s="14"/>
    </row>
    <row r="4500" spans="1:6" x14ac:dyDescent="0.25">
      <c r="A4500" s="86">
        <v>4499</v>
      </c>
      <c r="B4500" s="87">
        <v>43.521708898304496</v>
      </c>
      <c r="C4500" s="14">
        <v>4</v>
      </c>
      <c r="D4500" s="86">
        <v>0.23388148192303859</v>
      </c>
      <c r="E4500" s="86"/>
      <c r="F4500" s="14"/>
    </row>
    <row r="4501" spans="1:6" x14ac:dyDescent="0.25">
      <c r="A4501" s="86">
        <v>4500</v>
      </c>
      <c r="B4501" s="87">
        <v>43.83366558101261</v>
      </c>
      <c r="C4501" s="14">
        <v>4</v>
      </c>
      <c r="D4501" s="86">
        <v>0.70225759454411119</v>
      </c>
      <c r="E4501" s="86"/>
      <c r="F4501" s="14"/>
    </row>
    <row r="4502" spans="1:6" x14ac:dyDescent="0.25">
      <c r="A4502" s="86">
        <v>4501</v>
      </c>
      <c r="B4502" s="87">
        <v>35.904827195161488</v>
      </c>
      <c r="C4502" s="14">
        <v>5</v>
      </c>
      <c r="D4502" s="86">
        <v>9.6420834057355131E-2</v>
      </c>
      <c r="E4502" s="86"/>
      <c r="F4502" s="14"/>
    </row>
    <row r="4503" spans="1:6" x14ac:dyDescent="0.25">
      <c r="A4503" s="86">
        <v>4502</v>
      </c>
      <c r="B4503" s="87">
        <v>38.598284385778243</v>
      </c>
      <c r="C4503" s="14">
        <v>2</v>
      </c>
      <c r="D4503" s="86">
        <v>0.56909140595356333</v>
      </c>
      <c r="E4503" s="86"/>
      <c r="F4503" s="14"/>
    </row>
    <row r="4504" spans="1:6" x14ac:dyDescent="0.25">
      <c r="A4504" s="86">
        <v>4503</v>
      </c>
      <c r="B4504" s="87">
        <v>38.859968748845858</v>
      </c>
      <c r="C4504" s="14">
        <v>2</v>
      </c>
      <c r="D4504" s="86">
        <v>0.46885841174516019</v>
      </c>
      <c r="E4504" s="86"/>
      <c r="F4504" s="14"/>
    </row>
    <row r="4505" spans="1:6" x14ac:dyDescent="0.25">
      <c r="A4505" s="86">
        <v>4504</v>
      </c>
      <c r="B4505" s="87">
        <v>46.350271526869619</v>
      </c>
      <c r="C4505" s="14">
        <v>2</v>
      </c>
      <c r="D4505" s="86">
        <v>0.8971089758289561</v>
      </c>
      <c r="E4505" s="86"/>
      <c r="F4505" s="14"/>
    </row>
    <row r="4506" spans="1:6" x14ac:dyDescent="0.25">
      <c r="A4506" s="86">
        <v>4505</v>
      </c>
      <c r="B4506" s="87">
        <v>51.085930858214851</v>
      </c>
      <c r="C4506" s="14">
        <v>4</v>
      </c>
      <c r="D4506" s="86">
        <v>0.11324151842517016</v>
      </c>
      <c r="E4506" s="86"/>
      <c r="F4506" s="14"/>
    </row>
    <row r="4507" spans="1:6" x14ac:dyDescent="0.25">
      <c r="A4507" s="86">
        <v>4506</v>
      </c>
      <c r="B4507" s="87">
        <v>43.778254616307095</v>
      </c>
      <c r="C4507" s="14">
        <v>5</v>
      </c>
      <c r="D4507" s="86">
        <v>0.96041395379474748</v>
      </c>
      <c r="E4507" s="86"/>
      <c r="F4507" s="14"/>
    </row>
    <row r="4508" spans="1:6" x14ac:dyDescent="0.25">
      <c r="A4508" s="86">
        <v>4507</v>
      </c>
      <c r="B4508" s="87">
        <v>42.51251083984971</v>
      </c>
      <c r="C4508" s="14">
        <v>3</v>
      </c>
      <c r="D4508" s="86">
        <v>0.82607334091733864</v>
      </c>
      <c r="E4508" s="86"/>
      <c r="F4508" s="14"/>
    </row>
    <row r="4509" spans="1:6" x14ac:dyDescent="0.25">
      <c r="A4509" s="86">
        <v>4508</v>
      </c>
      <c r="B4509" s="87">
        <v>49.669199592579389</v>
      </c>
      <c r="C4509" s="14">
        <v>2</v>
      </c>
      <c r="D4509" s="86">
        <v>0.29039457584645045</v>
      </c>
      <c r="E4509" s="86"/>
      <c r="F4509" s="14"/>
    </row>
    <row r="4510" spans="1:6" x14ac:dyDescent="0.25">
      <c r="A4510" s="86">
        <v>4509</v>
      </c>
      <c r="B4510" s="87">
        <v>42.991774757290841</v>
      </c>
      <c r="C4510" s="14">
        <v>5</v>
      </c>
      <c r="D4510" s="86">
        <v>0.87124913491776501</v>
      </c>
      <c r="E4510" s="86"/>
      <c r="F4510" s="14"/>
    </row>
    <row r="4511" spans="1:6" x14ac:dyDescent="0.25">
      <c r="A4511" s="86">
        <v>4510</v>
      </c>
      <c r="B4511" s="87">
        <v>40.594972001024871</v>
      </c>
      <c r="C4511" s="14">
        <v>4</v>
      </c>
      <c r="D4511" s="86">
        <v>0.87023304321894746</v>
      </c>
      <c r="E4511" s="86"/>
      <c r="F4511" s="14"/>
    </row>
    <row r="4512" spans="1:6" x14ac:dyDescent="0.25">
      <c r="A4512" s="86">
        <v>4511</v>
      </c>
      <c r="B4512" s="87">
        <v>42.256959881677176</v>
      </c>
      <c r="C4512" s="14">
        <v>2</v>
      </c>
      <c r="D4512" s="86">
        <v>0.83644836726429439</v>
      </c>
      <c r="E4512" s="86"/>
      <c r="F4512" s="14"/>
    </row>
    <row r="4513" spans="1:6" x14ac:dyDescent="0.25">
      <c r="A4513" s="86">
        <v>4512</v>
      </c>
      <c r="B4513" s="87">
        <v>47.917842488794122</v>
      </c>
      <c r="C4513" s="14">
        <v>2</v>
      </c>
      <c r="D4513" s="86">
        <v>0.42737526292702555</v>
      </c>
      <c r="E4513" s="86"/>
      <c r="F4513" s="14"/>
    </row>
    <row r="4514" spans="1:6" x14ac:dyDescent="0.25">
      <c r="A4514" s="86">
        <v>4513</v>
      </c>
      <c r="B4514" s="87">
        <v>41.033604242664296</v>
      </c>
      <c r="C4514" s="14">
        <v>2</v>
      </c>
      <c r="D4514" s="86">
        <v>0.61779011540105588</v>
      </c>
      <c r="E4514" s="86"/>
      <c r="F4514" s="14"/>
    </row>
    <row r="4515" spans="1:6" x14ac:dyDescent="0.25">
      <c r="A4515" s="86">
        <v>4514</v>
      </c>
      <c r="B4515" s="87">
        <v>38.10814632230904</v>
      </c>
      <c r="C4515" s="14">
        <v>5</v>
      </c>
      <c r="D4515" s="86">
        <v>0.2114359466036646</v>
      </c>
      <c r="E4515" s="86"/>
      <c r="F4515" s="14"/>
    </row>
    <row r="4516" spans="1:6" x14ac:dyDescent="0.25">
      <c r="A4516" s="86">
        <v>4515</v>
      </c>
      <c r="B4516" s="87">
        <v>48.104936917632585</v>
      </c>
      <c r="C4516" s="14">
        <v>2</v>
      </c>
      <c r="D4516" s="86">
        <v>0.35999550846641959</v>
      </c>
      <c r="E4516" s="86"/>
      <c r="F4516" s="14"/>
    </row>
    <row r="4517" spans="1:6" x14ac:dyDescent="0.25">
      <c r="A4517" s="86">
        <v>4516</v>
      </c>
      <c r="B4517" s="87">
        <v>41.546786628139671</v>
      </c>
      <c r="C4517" s="14">
        <v>5</v>
      </c>
      <c r="D4517" s="86">
        <v>0.14496241418834033</v>
      </c>
      <c r="E4517" s="86"/>
      <c r="F4517" s="14"/>
    </row>
    <row r="4518" spans="1:6" x14ac:dyDescent="0.25">
      <c r="A4518" s="86">
        <v>4517</v>
      </c>
      <c r="B4518" s="87">
        <v>43.63761831370357</v>
      </c>
      <c r="C4518" s="14">
        <v>4</v>
      </c>
      <c r="D4518" s="86">
        <v>0.92603005051981591</v>
      </c>
      <c r="E4518" s="86"/>
      <c r="F4518" s="14"/>
    </row>
    <row r="4519" spans="1:6" x14ac:dyDescent="0.25">
      <c r="A4519" s="86">
        <v>4518</v>
      </c>
      <c r="B4519" s="87">
        <v>43.998591076495359</v>
      </c>
      <c r="C4519" s="14">
        <v>2</v>
      </c>
      <c r="D4519" s="86">
        <v>0.8219258417979689</v>
      </c>
      <c r="E4519" s="86"/>
      <c r="F4519" s="14"/>
    </row>
    <row r="4520" spans="1:6" x14ac:dyDescent="0.25">
      <c r="A4520" s="86">
        <v>4519</v>
      </c>
      <c r="B4520" s="87">
        <v>47.303382183934445</v>
      </c>
      <c r="C4520" s="14">
        <v>4</v>
      </c>
      <c r="D4520" s="86">
        <v>0.55931834810539505</v>
      </c>
      <c r="E4520" s="86"/>
      <c r="F4520" s="14"/>
    </row>
    <row r="4521" spans="1:6" x14ac:dyDescent="0.25">
      <c r="A4521" s="86">
        <v>4520</v>
      </c>
      <c r="B4521" s="87">
        <v>34.566937751485966</v>
      </c>
      <c r="C4521" s="14">
        <v>2</v>
      </c>
      <c r="D4521" s="86">
        <v>0.15927848774588871</v>
      </c>
      <c r="E4521" s="86"/>
      <c r="F4521" s="14"/>
    </row>
    <row r="4522" spans="1:6" x14ac:dyDescent="0.25">
      <c r="A4522" s="86">
        <v>4521</v>
      </c>
      <c r="B4522" s="87">
        <v>43.100027364169364</v>
      </c>
      <c r="C4522" s="14">
        <v>5</v>
      </c>
      <c r="D4522" s="86">
        <v>0.38419241594965259</v>
      </c>
      <c r="E4522" s="86"/>
      <c r="F4522" s="14"/>
    </row>
    <row r="4523" spans="1:6" x14ac:dyDescent="0.25">
      <c r="A4523" s="86">
        <v>4522</v>
      </c>
      <c r="B4523" s="87">
        <v>39.588678641273873</v>
      </c>
      <c r="C4523" s="14">
        <v>2</v>
      </c>
      <c r="D4523" s="86">
        <v>0.7580035139283795</v>
      </c>
      <c r="E4523" s="86"/>
      <c r="F4523" s="14"/>
    </row>
    <row r="4524" spans="1:6" x14ac:dyDescent="0.25">
      <c r="A4524" s="86">
        <v>4523</v>
      </c>
      <c r="B4524" s="87">
        <v>37.107452039315831</v>
      </c>
      <c r="C4524" s="14">
        <v>2</v>
      </c>
      <c r="D4524" s="86">
        <v>0.70932695286539038</v>
      </c>
      <c r="E4524" s="86"/>
      <c r="F4524" s="14"/>
    </row>
    <row r="4525" spans="1:6" x14ac:dyDescent="0.25">
      <c r="A4525" s="86">
        <v>4524</v>
      </c>
      <c r="B4525" s="87">
        <v>40.769162973781931</v>
      </c>
      <c r="C4525" s="14">
        <v>2</v>
      </c>
      <c r="D4525" s="86">
        <v>0.28191035642598994</v>
      </c>
      <c r="E4525" s="86"/>
      <c r="F4525" s="14"/>
    </row>
    <row r="4526" spans="1:6" x14ac:dyDescent="0.25">
      <c r="A4526" s="86">
        <v>4525</v>
      </c>
      <c r="B4526" s="87">
        <v>42.316082721634302</v>
      </c>
      <c r="C4526" s="14">
        <v>2</v>
      </c>
      <c r="D4526" s="86">
        <v>3.0075311398470528E-2</v>
      </c>
      <c r="E4526" s="86"/>
      <c r="F4526" s="14"/>
    </row>
    <row r="4527" spans="1:6" x14ac:dyDescent="0.25">
      <c r="A4527" s="86">
        <v>4526</v>
      </c>
      <c r="B4527" s="87">
        <v>45.907302132371115</v>
      </c>
      <c r="C4527" s="14">
        <v>5</v>
      </c>
      <c r="D4527" s="86">
        <v>7.1069690066472235E-2</v>
      </c>
      <c r="E4527" s="86"/>
      <c r="F4527" s="14"/>
    </row>
    <row r="4528" spans="1:6" x14ac:dyDescent="0.25">
      <c r="A4528" s="86">
        <v>4527</v>
      </c>
      <c r="B4528" s="87">
        <v>50.969356374815106</v>
      </c>
      <c r="C4528" s="14">
        <v>2</v>
      </c>
      <c r="D4528" s="86">
        <v>0.93059066052578787</v>
      </c>
      <c r="E4528" s="86"/>
      <c r="F4528" s="14"/>
    </row>
    <row r="4529" spans="1:6" x14ac:dyDescent="0.25">
      <c r="A4529" s="86">
        <v>4528</v>
      </c>
      <c r="B4529" s="87">
        <v>48.006097580917412</v>
      </c>
      <c r="C4529" s="14">
        <v>5</v>
      </c>
      <c r="D4529" s="86">
        <v>0.66679540052979236</v>
      </c>
      <c r="E4529" s="86"/>
      <c r="F4529" s="14"/>
    </row>
    <row r="4530" spans="1:6" x14ac:dyDescent="0.25">
      <c r="A4530" s="86">
        <v>4529</v>
      </c>
      <c r="B4530" s="87">
        <v>47.152980181970634</v>
      </c>
      <c r="C4530" s="14">
        <v>4</v>
      </c>
      <c r="D4530" s="86">
        <v>7.1681574972167539E-2</v>
      </c>
      <c r="E4530" s="86"/>
      <c r="F4530" s="14"/>
    </row>
    <row r="4531" spans="1:6" x14ac:dyDescent="0.25">
      <c r="A4531" s="86">
        <v>4530</v>
      </c>
      <c r="B4531" s="87">
        <v>41.769249032193329</v>
      </c>
      <c r="C4531" s="14">
        <v>4</v>
      </c>
      <c r="D4531" s="86">
        <v>0.527754247560279</v>
      </c>
      <c r="E4531" s="86"/>
      <c r="F4531" s="14"/>
    </row>
    <row r="4532" spans="1:6" x14ac:dyDescent="0.25">
      <c r="A4532" s="86">
        <v>4531</v>
      </c>
      <c r="B4532" s="87">
        <v>42.184171883825911</v>
      </c>
      <c r="C4532" s="14">
        <v>2</v>
      </c>
      <c r="D4532" s="86">
        <v>0.66976006984682135</v>
      </c>
      <c r="E4532" s="86"/>
      <c r="F4532" s="14"/>
    </row>
    <row r="4533" spans="1:6" x14ac:dyDescent="0.25">
      <c r="A4533" s="86">
        <v>4532</v>
      </c>
      <c r="B4533" s="87">
        <v>42.90264996085898</v>
      </c>
      <c r="C4533" s="14">
        <v>2</v>
      </c>
      <c r="D4533" s="86">
        <v>0.87156857332538984</v>
      </c>
      <c r="E4533" s="86"/>
      <c r="F4533" s="14"/>
    </row>
    <row r="4534" spans="1:6" x14ac:dyDescent="0.25">
      <c r="A4534" s="86">
        <v>4533</v>
      </c>
      <c r="B4534" s="87">
        <v>39.542180724645732</v>
      </c>
      <c r="C4534" s="14">
        <v>2</v>
      </c>
      <c r="D4534" s="86">
        <v>0.53401936487276813</v>
      </c>
      <c r="E4534" s="86"/>
      <c r="F4534" s="14"/>
    </row>
    <row r="4535" spans="1:6" x14ac:dyDescent="0.25">
      <c r="A4535" s="86">
        <v>4534</v>
      </c>
      <c r="B4535" s="87">
        <v>43.731438376533333</v>
      </c>
      <c r="C4535" s="14">
        <v>2</v>
      </c>
      <c r="D4535" s="86">
        <v>0.99862530965353657</v>
      </c>
      <c r="E4535" s="86"/>
      <c r="F4535" s="14"/>
    </row>
    <row r="4536" spans="1:6" x14ac:dyDescent="0.25">
      <c r="A4536" s="86">
        <v>4535</v>
      </c>
      <c r="B4536" s="87">
        <v>41.494837427642778</v>
      </c>
      <c r="C4536" s="14">
        <v>4</v>
      </c>
      <c r="D4536" s="86">
        <v>0.8218316612741664</v>
      </c>
      <c r="E4536" s="86"/>
      <c r="F4536" s="14"/>
    </row>
    <row r="4537" spans="1:6" x14ac:dyDescent="0.25">
      <c r="A4537" s="86">
        <v>4536</v>
      </c>
      <c r="B4537" s="87">
        <v>45.483909611328272</v>
      </c>
      <c r="C4537" s="14">
        <v>5</v>
      </c>
      <c r="D4537" s="86">
        <v>8.9006585169149832E-2</v>
      </c>
      <c r="E4537" s="86"/>
      <c r="F4537" s="14"/>
    </row>
    <row r="4538" spans="1:6" x14ac:dyDescent="0.25">
      <c r="A4538" s="86">
        <v>4537</v>
      </c>
      <c r="B4538" s="87">
        <v>45.787197672660113</v>
      </c>
      <c r="C4538" s="14">
        <v>2</v>
      </c>
      <c r="D4538" s="86">
        <v>0.27884397282118956</v>
      </c>
      <c r="E4538" s="86"/>
      <c r="F4538" s="14"/>
    </row>
    <row r="4539" spans="1:6" x14ac:dyDescent="0.25">
      <c r="A4539" s="86">
        <v>4538</v>
      </c>
      <c r="B4539" s="87">
        <v>42.415177853734349</v>
      </c>
      <c r="C4539" s="14">
        <v>4</v>
      </c>
      <c r="D4539" s="86">
        <v>0.49818756290788224</v>
      </c>
      <c r="E4539" s="86"/>
      <c r="F4539" s="14"/>
    </row>
    <row r="4540" spans="1:6" x14ac:dyDescent="0.25">
      <c r="A4540" s="86">
        <v>4539</v>
      </c>
      <c r="B4540" s="87">
        <v>41.388432231877232</v>
      </c>
      <c r="C4540" s="14">
        <v>5</v>
      </c>
      <c r="D4540" s="86">
        <v>0.80640419077350223</v>
      </c>
      <c r="E4540" s="86"/>
      <c r="F4540" s="14"/>
    </row>
    <row r="4541" spans="1:6" x14ac:dyDescent="0.25">
      <c r="A4541" s="86">
        <v>4540</v>
      </c>
      <c r="B4541" s="87">
        <v>54.276915756752715</v>
      </c>
      <c r="C4541" s="14">
        <v>4</v>
      </c>
      <c r="D4541" s="86">
        <v>0.75361263021907254</v>
      </c>
      <c r="E4541" s="86"/>
      <c r="F4541" s="14"/>
    </row>
    <row r="4542" spans="1:6" x14ac:dyDescent="0.25">
      <c r="A4542" s="86">
        <v>4541</v>
      </c>
      <c r="B4542" s="87">
        <v>35.92256234184606</v>
      </c>
      <c r="C4542" s="14">
        <v>1</v>
      </c>
      <c r="D4542" s="86">
        <v>0.46172889302321451</v>
      </c>
      <c r="E4542" s="86"/>
      <c r="F4542" s="14"/>
    </row>
    <row r="4543" spans="1:6" x14ac:dyDescent="0.25">
      <c r="A4543" s="86">
        <v>4542</v>
      </c>
      <c r="B4543" s="87">
        <v>40.826478193019284</v>
      </c>
      <c r="C4543" s="14">
        <v>4</v>
      </c>
      <c r="D4543" s="86">
        <v>0.52239478819971319</v>
      </c>
      <c r="E4543" s="86"/>
      <c r="F4543" s="14"/>
    </row>
    <row r="4544" spans="1:6" x14ac:dyDescent="0.25">
      <c r="A4544" s="86">
        <v>4543</v>
      </c>
      <c r="B4544" s="87">
        <v>43.245466935666627</v>
      </c>
      <c r="C4544" s="14">
        <v>5</v>
      </c>
      <c r="D4544" s="86">
        <v>0.68159601259504776</v>
      </c>
      <c r="E4544" s="86"/>
      <c r="F4544" s="14"/>
    </row>
    <row r="4545" spans="1:6" x14ac:dyDescent="0.25">
      <c r="A4545" s="86">
        <v>4544</v>
      </c>
      <c r="B4545" s="87">
        <v>34.470212989952415</v>
      </c>
      <c r="C4545" s="14">
        <v>4</v>
      </c>
      <c r="D4545" s="86">
        <v>0.75237885448984365</v>
      </c>
      <c r="E4545" s="86"/>
      <c r="F4545" s="14"/>
    </row>
    <row r="4546" spans="1:6" x14ac:dyDescent="0.25">
      <c r="A4546" s="86">
        <v>4545</v>
      </c>
      <c r="B4546" s="87">
        <v>49.849461442470783</v>
      </c>
      <c r="C4546" s="14">
        <v>1</v>
      </c>
      <c r="D4546" s="86">
        <v>0.55642086090577736</v>
      </c>
      <c r="E4546" s="86"/>
      <c r="F4546" s="14"/>
    </row>
    <row r="4547" spans="1:6" x14ac:dyDescent="0.25">
      <c r="A4547" s="86">
        <v>4546</v>
      </c>
      <c r="B4547" s="87">
        <v>41.090095232328167</v>
      </c>
      <c r="C4547" s="14">
        <v>5</v>
      </c>
      <c r="D4547" s="86">
        <v>0.36201324102648613</v>
      </c>
      <c r="E4547" s="86"/>
      <c r="F4547" s="14"/>
    </row>
    <row r="4548" spans="1:6" x14ac:dyDescent="0.25">
      <c r="A4548" s="86">
        <v>4547</v>
      </c>
      <c r="B4548" s="87">
        <v>39.706480942521011</v>
      </c>
      <c r="C4548" s="14">
        <v>5</v>
      </c>
      <c r="D4548" s="86">
        <v>0.80446832175549254</v>
      </c>
      <c r="E4548" s="86"/>
      <c r="F4548" s="14"/>
    </row>
    <row r="4549" spans="1:6" x14ac:dyDescent="0.25">
      <c r="A4549" s="86">
        <v>4548</v>
      </c>
      <c r="B4549" s="87">
        <v>40.746323288083659</v>
      </c>
      <c r="C4549" s="14">
        <v>5</v>
      </c>
      <c r="D4549" s="86">
        <v>3.3511410952349219E-2</v>
      </c>
      <c r="E4549" s="86"/>
      <c r="F4549" s="14"/>
    </row>
    <row r="4550" spans="1:6" x14ac:dyDescent="0.25">
      <c r="A4550" s="86">
        <v>4549</v>
      </c>
      <c r="B4550" s="87">
        <v>56.065437087789178</v>
      </c>
      <c r="C4550" s="14">
        <v>4</v>
      </c>
      <c r="D4550" s="86">
        <v>7.8089451469081195E-2</v>
      </c>
      <c r="E4550" s="86"/>
      <c r="F4550" s="14"/>
    </row>
    <row r="4551" spans="1:6" x14ac:dyDescent="0.25">
      <c r="A4551" s="86">
        <v>4550</v>
      </c>
      <c r="B4551" s="87">
        <v>37.812560544232838</v>
      </c>
      <c r="C4551" s="14">
        <v>1</v>
      </c>
      <c r="D4551" s="86">
        <v>0.45833519209657447</v>
      </c>
      <c r="E4551" s="86"/>
      <c r="F4551" s="14"/>
    </row>
    <row r="4552" spans="1:6" x14ac:dyDescent="0.25">
      <c r="A4552" s="86">
        <v>4551</v>
      </c>
      <c r="B4552" s="87">
        <v>39.924350398330716</v>
      </c>
      <c r="C4552" s="14">
        <v>5</v>
      </c>
      <c r="D4552" s="86">
        <v>1.8045584602457754E-2</v>
      </c>
      <c r="E4552" s="86"/>
      <c r="F4552" s="14"/>
    </row>
    <row r="4553" spans="1:6" x14ac:dyDescent="0.25">
      <c r="A4553" s="86">
        <v>4552</v>
      </c>
      <c r="B4553" s="87">
        <v>42.429809349749121</v>
      </c>
      <c r="C4553" s="14">
        <v>2</v>
      </c>
      <c r="D4553" s="86">
        <v>0.76893836418630801</v>
      </c>
      <c r="E4553" s="86"/>
      <c r="F4553" s="14"/>
    </row>
    <row r="4554" spans="1:6" x14ac:dyDescent="0.25">
      <c r="A4554" s="86">
        <v>4553</v>
      </c>
      <c r="B4554" s="87">
        <v>49.287632459134329</v>
      </c>
      <c r="C4554" s="14">
        <v>5</v>
      </c>
      <c r="D4554" s="86">
        <v>0.15939852371661833</v>
      </c>
      <c r="E4554" s="86"/>
      <c r="F4554" s="14"/>
    </row>
    <row r="4555" spans="1:6" x14ac:dyDescent="0.25">
      <c r="A4555" s="86">
        <v>4554</v>
      </c>
      <c r="B4555" s="87">
        <v>38.711550582200289</v>
      </c>
      <c r="C4555" s="14">
        <v>4</v>
      </c>
      <c r="D4555" s="86">
        <v>0.51592531301474487</v>
      </c>
      <c r="E4555" s="86"/>
      <c r="F4555" s="14"/>
    </row>
    <row r="4556" spans="1:6" x14ac:dyDescent="0.25">
      <c r="A4556" s="86">
        <v>4555</v>
      </c>
      <c r="B4556" s="87">
        <v>36.049436852743383</v>
      </c>
      <c r="C4556" s="14">
        <v>1</v>
      </c>
      <c r="D4556" s="86">
        <v>0.6250638637367073</v>
      </c>
      <c r="E4556" s="86"/>
      <c r="F4556" s="14"/>
    </row>
    <row r="4557" spans="1:6" x14ac:dyDescent="0.25">
      <c r="A4557" s="86">
        <v>4556</v>
      </c>
      <c r="B4557" s="87">
        <v>44.217347289639292</v>
      </c>
      <c r="C4557" s="14">
        <v>2</v>
      </c>
      <c r="D4557" s="86">
        <v>0.4157982498374001</v>
      </c>
      <c r="E4557" s="86"/>
      <c r="F4557" s="14"/>
    </row>
    <row r="4558" spans="1:6" x14ac:dyDescent="0.25">
      <c r="A4558" s="86">
        <v>4557</v>
      </c>
      <c r="B4558" s="87">
        <v>42.171762965488597</v>
      </c>
      <c r="C4558" s="14">
        <v>4</v>
      </c>
      <c r="D4558" s="86">
        <v>0.9157898350375111</v>
      </c>
      <c r="E4558" s="86"/>
      <c r="F4558" s="14"/>
    </row>
    <row r="4559" spans="1:6" x14ac:dyDescent="0.25">
      <c r="A4559" s="86">
        <v>4558</v>
      </c>
      <c r="B4559" s="87">
        <v>43.946749878494302</v>
      </c>
      <c r="C4559" s="14">
        <v>3</v>
      </c>
      <c r="D4559" s="86">
        <v>2.080699663960206E-2</v>
      </c>
      <c r="E4559" s="86"/>
      <c r="F4559" s="14"/>
    </row>
    <row r="4560" spans="1:6" x14ac:dyDescent="0.25">
      <c r="A4560" s="86">
        <v>4559</v>
      </c>
      <c r="B4560" s="87">
        <v>40.437021193036344</v>
      </c>
      <c r="C4560" s="14">
        <v>2</v>
      </c>
      <c r="D4560" s="86">
        <v>4.9908774299334935E-2</v>
      </c>
      <c r="E4560" s="86"/>
      <c r="F4560" s="14"/>
    </row>
    <row r="4561" spans="1:6" x14ac:dyDescent="0.25">
      <c r="A4561" s="86">
        <v>4560</v>
      </c>
      <c r="B4561" s="87">
        <v>47.42429382019327</v>
      </c>
      <c r="C4561" s="14">
        <v>3</v>
      </c>
      <c r="D4561" s="86">
        <v>0.35850037718762673</v>
      </c>
      <c r="E4561" s="86"/>
      <c r="F4561" s="14"/>
    </row>
    <row r="4562" spans="1:6" x14ac:dyDescent="0.25">
      <c r="A4562" s="86">
        <v>4561</v>
      </c>
      <c r="B4562" s="87">
        <v>39.698403492700891</v>
      </c>
      <c r="C4562" s="14">
        <v>4</v>
      </c>
      <c r="D4562" s="86">
        <v>0.13463149825852949</v>
      </c>
      <c r="E4562" s="86"/>
      <c r="F4562" s="14"/>
    </row>
    <row r="4563" spans="1:6" x14ac:dyDescent="0.25">
      <c r="A4563" s="86">
        <v>4562</v>
      </c>
      <c r="B4563" s="87">
        <v>41.444332049984951</v>
      </c>
      <c r="C4563" s="14">
        <v>2</v>
      </c>
      <c r="D4563" s="86">
        <v>6.8538793054582992E-2</v>
      </c>
      <c r="E4563" s="86"/>
      <c r="F4563" s="14"/>
    </row>
    <row r="4564" spans="1:6" x14ac:dyDescent="0.25">
      <c r="A4564" s="86">
        <v>4563</v>
      </c>
      <c r="B4564" s="87">
        <v>36.774304130056407</v>
      </c>
      <c r="C4564" s="14">
        <v>4</v>
      </c>
      <c r="D4564" s="86">
        <v>0.13493654672050404</v>
      </c>
      <c r="E4564" s="86"/>
      <c r="F4564" s="14"/>
    </row>
    <row r="4565" spans="1:6" x14ac:dyDescent="0.25">
      <c r="A4565" s="86">
        <v>4564</v>
      </c>
      <c r="B4565" s="87">
        <v>46.640377599367639</v>
      </c>
      <c r="C4565" s="14">
        <v>1</v>
      </c>
      <c r="D4565" s="86">
        <v>0.67989230045759175</v>
      </c>
      <c r="E4565" s="86"/>
      <c r="F4565" s="14"/>
    </row>
    <row r="4566" spans="1:6" x14ac:dyDescent="0.25">
      <c r="A4566" s="86">
        <v>4565</v>
      </c>
      <c r="B4566" s="87">
        <v>40.675820395670598</v>
      </c>
      <c r="C4566" s="14">
        <v>4</v>
      </c>
      <c r="D4566" s="86">
        <v>0.43063483239603328</v>
      </c>
      <c r="E4566" s="86"/>
      <c r="F4566" s="14"/>
    </row>
    <row r="4567" spans="1:6" x14ac:dyDescent="0.25">
      <c r="A4567" s="86">
        <v>4566</v>
      </c>
      <c r="B4567" s="87">
        <v>40.833629095111974</v>
      </c>
      <c r="C4567" s="14">
        <v>5</v>
      </c>
      <c r="D4567" s="86">
        <v>8.5484294997806298E-4</v>
      </c>
      <c r="E4567" s="86"/>
      <c r="F4567" s="14"/>
    </row>
    <row r="4568" spans="1:6" x14ac:dyDescent="0.25">
      <c r="A4568" s="86">
        <v>4567</v>
      </c>
      <c r="B4568" s="87">
        <v>50.728112905169837</v>
      </c>
      <c r="C4568" s="14">
        <v>2</v>
      </c>
      <c r="D4568" s="86">
        <v>0.75008663381166185</v>
      </c>
      <c r="E4568" s="86"/>
      <c r="F4568" s="14"/>
    </row>
    <row r="4569" spans="1:6" x14ac:dyDescent="0.25">
      <c r="A4569" s="86">
        <v>4568</v>
      </c>
      <c r="B4569" s="87">
        <v>45.723089664868894</v>
      </c>
      <c r="C4569" s="14">
        <v>4</v>
      </c>
      <c r="D4569" s="86">
        <v>0.35125050460041085</v>
      </c>
      <c r="E4569" s="86"/>
      <c r="F4569" s="14"/>
    </row>
    <row r="4570" spans="1:6" x14ac:dyDescent="0.25">
      <c r="A4570" s="86">
        <v>4569</v>
      </c>
      <c r="B4570" s="87">
        <v>44.426099061063724</v>
      </c>
      <c r="C4570" s="14">
        <v>2</v>
      </c>
      <c r="D4570" s="86">
        <v>0.5203826771592025</v>
      </c>
      <c r="E4570" s="86"/>
      <c r="F4570" s="14"/>
    </row>
    <row r="4571" spans="1:6" x14ac:dyDescent="0.25">
      <c r="A4571" s="86">
        <v>4570</v>
      </c>
      <c r="B4571" s="87">
        <v>48.209108167036902</v>
      </c>
      <c r="C4571" s="14">
        <v>3</v>
      </c>
      <c r="D4571" s="86">
        <v>0.48663148181844185</v>
      </c>
      <c r="E4571" s="86"/>
      <c r="F4571" s="14"/>
    </row>
    <row r="4572" spans="1:6" x14ac:dyDescent="0.25">
      <c r="A4572" s="86">
        <v>4571</v>
      </c>
      <c r="B4572" s="87">
        <v>32.669504429912195</v>
      </c>
      <c r="C4572" s="14">
        <v>2</v>
      </c>
      <c r="D4572" s="86">
        <v>0.22426912151239053</v>
      </c>
      <c r="E4572" s="86"/>
      <c r="F4572" s="14"/>
    </row>
    <row r="4573" spans="1:6" x14ac:dyDescent="0.25">
      <c r="A4573" s="86">
        <v>4572</v>
      </c>
      <c r="B4573" s="87">
        <v>36.895357874862384</v>
      </c>
      <c r="C4573" s="14">
        <v>4</v>
      </c>
      <c r="D4573" s="86">
        <v>6.6131072094888443E-2</v>
      </c>
      <c r="E4573" s="86"/>
      <c r="F4573" s="14"/>
    </row>
    <row r="4574" spans="1:6" x14ac:dyDescent="0.25">
      <c r="A4574" s="86">
        <v>4573</v>
      </c>
      <c r="B4574" s="87">
        <v>47.085313776158728</v>
      </c>
      <c r="C4574" s="14">
        <v>2</v>
      </c>
      <c r="D4574" s="86">
        <v>0.28008332672080982</v>
      </c>
      <c r="E4574" s="86"/>
      <c r="F4574" s="14"/>
    </row>
    <row r="4575" spans="1:6" x14ac:dyDescent="0.25">
      <c r="A4575" s="86">
        <v>4574</v>
      </c>
      <c r="B4575" s="87">
        <v>37.587165019765962</v>
      </c>
      <c r="C4575" s="14">
        <v>2</v>
      </c>
      <c r="D4575" s="86">
        <v>0.90513502448682559</v>
      </c>
      <c r="E4575" s="86"/>
      <c r="F4575" s="14"/>
    </row>
    <row r="4576" spans="1:6" x14ac:dyDescent="0.25">
      <c r="A4576" s="86">
        <v>4575</v>
      </c>
      <c r="B4576" s="87">
        <v>44.704108854028163</v>
      </c>
      <c r="C4576" s="14">
        <v>5</v>
      </c>
      <c r="D4576" s="86">
        <v>0.7678531321111508</v>
      </c>
      <c r="E4576" s="86"/>
      <c r="F4576" s="14"/>
    </row>
    <row r="4577" spans="1:6" x14ac:dyDescent="0.25">
      <c r="A4577" s="86">
        <v>4576</v>
      </c>
      <c r="B4577" s="87">
        <v>50.048379302432295</v>
      </c>
      <c r="C4577" s="14">
        <v>2</v>
      </c>
      <c r="D4577" s="86">
        <v>0.41295479180203876</v>
      </c>
      <c r="E4577" s="86"/>
      <c r="F4577" s="14"/>
    </row>
    <row r="4578" spans="1:6" x14ac:dyDescent="0.25">
      <c r="A4578" s="86">
        <v>4577</v>
      </c>
      <c r="B4578" s="87">
        <v>37.735958352976013</v>
      </c>
      <c r="C4578" s="14">
        <v>2</v>
      </c>
      <c r="D4578" s="86">
        <v>0.10686651357897226</v>
      </c>
      <c r="E4578" s="86"/>
      <c r="F4578" s="14"/>
    </row>
    <row r="4579" spans="1:6" x14ac:dyDescent="0.25">
      <c r="A4579" s="86">
        <v>4578</v>
      </c>
      <c r="B4579" s="87">
        <v>43.313656300932053</v>
      </c>
      <c r="C4579" s="14">
        <v>2</v>
      </c>
      <c r="D4579" s="86">
        <v>0.38555775660856673</v>
      </c>
      <c r="E4579" s="86"/>
      <c r="F4579" s="14"/>
    </row>
    <row r="4580" spans="1:6" x14ac:dyDescent="0.25">
      <c r="A4580" s="86">
        <v>4579</v>
      </c>
      <c r="B4580" s="87">
        <v>46.673869741760427</v>
      </c>
      <c r="C4580" s="14">
        <v>4</v>
      </c>
      <c r="D4580" s="86">
        <v>0.50411127129729549</v>
      </c>
      <c r="E4580" s="86"/>
      <c r="F4580" s="14"/>
    </row>
    <row r="4581" spans="1:6" x14ac:dyDescent="0.25">
      <c r="A4581" s="86">
        <v>4580</v>
      </c>
      <c r="B4581" s="87">
        <v>46.501668288663495</v>
      </c>
      <c r="C4581" s="14">
        <v>4</v>
      </c>
      <c r="D4581" s="86">
        <v>0.3498419978016778</v>
      </c>
      <c r="E4581" s="86"/>
      <c r="F4581" s="14"/>
    </row>
    <row r="4582" spans="1:6" x14ac:dyDescent="0.25">
      <c r="A4582" s="86">
        <v>4581</v>
      </c>
      <c r="B4582" s="87">
        <v>43.5709580364055</v>
      </c>
      <c r="C4582" s="14">
        <v>2</v>
      </c>
      <c r="D4582" s="86">
        <v>0.83581559898124536</v>
      </c>
      <c r="E4582" s="86"/>
      <c r="F4582" s="14"/>
    </row>
    <row r="4583" spans="1:6" x14ac:dyDescent="0.25">
      <c r="A4583" s="86">
        <v>4582</v>
      </c>
      <c r="B4583" s="87">
        <v>45.124852471752092</v>
      </c>
      <c r="C4583" s="14">
        <v>2</v>
      </c>
      <c r="D4583" s="86">
        <v>0.70106468548642842</v>
      </c>
      <c r="E4583" s="86"/>
      <c r="F4583" s="14"/>
    </row>
    <row r="4584" spans="1:6" x14ac:dyDescent="0.25">
      <c r="A4584" s="86">
        <v>4583</v>
      </c>
      <c r="B4584" s="87">
        <v>37.159975358343218</v>
      </c>
      <c r="C4584" s="14">
        <v>4</v>
      </c>
      <c r="D4584" s="86">
        <v>0.17060341967699799</v>
      </c>
      <c r="E4584" s="86"/>
      <c r="F4584" s="14"/>
    </row>
    <row r="4585" spans="1:6" x14ac:dyDescent="0.25">
      <c r="A4585" s="86">
        <v>4584</v>
      </c>
      <c r="B4585" s="87">
        <v>34.035861057753209</v>
      </c>
      <c r="C4585" s="14">
        <v>1</v>
      </c>
      <c r="D4585" s="86">
        <v>9.3533000307847058E-2</v>
      </c>
      <c r="E4585" s="86"/>
      <c r="F4585" s="14"/>
    </row>
    <row r="4586" spans="1:6" x14ac:dyDescent="0.25">
      <c r="A4586" s="86">
        <v>4585</v>
      </c>
      <c r="B4586" s="87">
        <v>46.376646873221034</v>
      </c>
      <c r="C4586" s="14">
        <v>2</v>
      </c>
      <c r="D4586" s="86">
        <v>0.51064187657307669</v>
      </c>
      <c r="E4586" s="86"/>
      <c r="F4586" s="14"/>
    </row>
    <row r="4587" spans="1:6" x14ac:dyDescent="0.25">
      <c r="A4587" s="86">
        <v>4586</v>
      </c>
      <c r="B4587" s="87">
        <v>46.931825176550774</v>
      </c>
      <c r="C4587" s="14">
        <v>5</v>
      </c>
      <c r="D4587" s="86">
        <v>0.78344621941694703</v>
      </c>
      <c r="E4587" s="86"/>
      <c r="F4587" s="14"/>
    </row>
    <row r="4588" spans="1:6" x14ac:dyDescent="0.25">
      <c r="A4588" s="86">
        <v>4587</v>
      </c>
      <c r="B4588" s="87">
        <v>25.994631864130497</v>
      </c>
      <c r="C4588" s="14">
        <v>4</v>
      </c>
      <c r="D4588" s="86">
        <v>0.79753653386838685</v>
      </c>
      <c r="E4588" s="86"/>
      <c r="F4588" s="14"/>
    </row>
    <row r="4589" spans="1:6" x14ac:dyDescent="0.25">
      <c r="A4589" s="86">
        <v>4588</v>
      </c>
      <c r="B4589" s="87">
        <v>41.317355220933678</v>
      </c>
      <c r="C4589" s="14">
        <v>4</v>
      </c>
      <c r="D4589" s="86">
        <v>9.313803329676551E-2</v>
      </c>
      <c r="E4589" s="86"/>
      <c r="F4589" s="14"/>
    </row>
    <row r="4590" spans="1:6" x14ac:dyDescent="0.25">
      <c r="A4590" s="86">
        <v>4589</v>
      </c>
      <c r="B4590" s="87">
        <v>47.288449417799711</v>
      </c>
      <c r="C4590" s="14">
        <v>4</v>
      </c>
      <c r="D4590" s="86">
        <v>0.63993243371781972</v>
      </c>
      <c r="E4590" s="86"/>
      <c r="F4590" s="14"/>
    </row>
    <row r="4591" spans="1:6" x14ac:dyDescent="0.25">
      <c r="A4591" s="86">
        <v>4590</v>
      </c>
      <c r="B4591" s="87">
        <v>44.371211055811727</v>
      </c>
      <c r="C4591" s="14">
        <v>2</v>
      </c>
      <c r="D4591" s="86">
        <v>1.5196666941508119E-2</v>
      </c>
      <c r="E4591" s="86"/>
      <c r="F4591" s="14"/>
    </row>
    <row r="4592" spans="1:6" x14ac:dyDescent="0.25">
      <c r="A4592" s="86">
        <v>4591</v>
      </c>
      <c r="B4592" s="87">
        <v>38.126017893198878</v>
      </c>
      <c r="C4592" s="14">
        <v>3</v>
      </c>
      <c r="D4592" s="86">
        <v>0.19331593960913718</v>
      </c>
      <c r="E4592" s="86"/>
      <c r="F4592" s="14"/>
    </row>
    <row r="4593" spans="1:6" x14ac:dyDescent="0.25">
      <c r="A4593" s="86">
        <v>4592</v>
      </c>
      <c r="B4593" s="87">
        <v>38.407995356799802</v>
      </c>
      <c r="C4593" s="14">
        <v>5</v>
      </c>
      <c r="D4593" s="86">
        <v>0.61300940944349136</v>
      </c>
      <c r="E4593" s="86"/>
      <c r="F4593" s="14"/>
    </row>
    <row r="4594" spans="1:6" x14ac:dyDescent="0.25">
      <c r="A4594" s="86">
        <v>4593</v>
      </c>
      <c r="B4594" s="87">
        <v>47.571631961880485</v>
      </c>
      <c r="C4594" s="14">
        <v>4</v>
      </c>
      <c r="D4594" s="86">
        <v>0.52410636260937482</v>
      </c>
      <c r="E4594" s="86"/>
      <c r="F4594" s="14"/>
    </row>
    <row r="4595" spans="1:6" x14ac:dyDescent="0.25">
      <c r="A4595" s="86">
        <v>4594</v>
      </c>
      <c r="B4595" s="87">
        <v>37.459631125209853</v>
      </c>
      <c r="C4595" s="14">
        <v>4</v>
      </c>
      <c r="D4595" s="86">
        <v>0.60852037706991968</v>
      </c>
      <c r="E4595" s="86"/>
      <c r="F4595" s="14"/>
    </row>
    <row r="4596" spans="1:6" x14ac:dyDescent="0.25">
      <c r="A4596" s="86">
        <v>4595</v>
      </c>
      <c r="B4596" s="87">
        <v>37.22977907670429</v>
      </c>
      <c r="C4596" s="14">
        <v>5</v>
      </c>
      <c r="D4596" s="86">
        <v>0.70123732983246834</v>
      </c>
      <c r="E4596" s="86"/>
      <c r="F4596" s="14"/>
    </row>
    <row r="4597" spans="1:6" x14ac:dyDescent="0.25">
      <c r="A4597" s="86">
        <v>4596</v>
      </c>
      <c r="B4597" s="87">
        <v>50.524909051426221</v>
      </c>
      <c r="C4597" s="14">
        <v>5</v>
      </c>
      <c r="D4597" s="86">
        <v>0.58929462638273322</v>
      </c>
      <c r="E4597" s="86"/>
      <c r="F4597" s="14"/>
    </row>
    <row r="4598" spans="1:6" x14ac:dyDescent="0.25">
      <c r="A4598" s="86">
        <v>4597</v>
      </c>
      <c r="B4598" s="87">
        <v>50.186395123426337</v>
      </c>
      <c r="C4598" s="14">
        <v>5</v>
      </c>
      <c r="D4598" s="86">
        <v>0.31818332441024078</v>
      </c>
      <c r="E4598" s="86"/>
      <c r="F4598" s="14"/>
    </row>
    <row r="4599" spans="1:6" x14ac:dyDescent="0.25">
      <c r="A4599" s="86">
        <v>4598</v>
      </c>
      <c r="B4599" s="87">
        <v>49.699110599583946</v>
      </c>
      <c r="C4599" s="14">
        <v>5</v>
      </c>
      <c r="D4599" s="86">
        <v>0.88237681055392492</v>
      </c>
      <c r="E4599" s="86"/>
      <c r="F4599" s="14"/>
    </row>
    <row r="4600" spans="1:6" x14ac:dyDescent="0.25">
      <c r="A4600" s="86">
        <v>4599</v>
      </c>
      <c r="B4600" s="87">
        <v>50.466087481589057</v>
      </c>
      <c r="C4600" s="14">
        <v>2</v>
      </c>
      <c r="D4600" s="86">
        <v>0.2939452171109187</v>
      </c>
      <c r="E4600" s="86"/>
      <c r="F4600" s="14"/>
    </row>
    <row r="4601" spans="1:6" x14ac:dyDescent="0.25">
      <c r="A4601" s="86">
        <v>4600</v>
      </c>
      <c r="B4601" s="87">
        <v>48.82265329285292</v>
      </c>
      <c r="C4601" s="14">
        <v>4</v>
      </c>
      <c r="D4601" s="86">
        <v>0.75579268430717861</v>
      </c>
      <c r="E4601" s="86"/>
      <c r="F4601" s="14"/>
    </row>
    <row r="4602" spans="1:6" x14ac:dyDescent="0.25">
      <c r="A4602" s="86">
        <v>4601</v>
      </c>
      <c r="B4602" s="87">
        <v>45.085982941935072</v>
      </c>
      <c r="C4602" s="14">
        <v>3</v>
      </c>
      <c r="D4602" s="86">
        <v>0.99616634417135752</v>
      </c>
      <c r="E4602" s="86"/>
      <c r="F4602" s="14"/>
    </row>
    <row r="4603" spans="1:6" x14ac:dyDescent="0.25">
      <c r="A4603" s="86">
        <v>4602</v>
      </c>
      <c r="B4603" s="87">
        <v>52.355107977171429</v>
      </c>
      <c r="C4603" s="14">
        <v>2</v>
      </c>
      <c r="D4603" s="86">
        <v>0.53884300607619617</v>
      </c>
      <c r="E4603" s="86"/>
      <c r="F4603" s="14"/>
    </row>
    <row r="4604" spans="1:6" x14ac:dyDescent="0.25">
      <c r="A4604" s="86">
        <v>4603</v>
      </c>
      <c r="B4604" s="87">
        <v>30.513183441478759</v>
      </c>
      <c r="C4604" s="14">
        <v>2</v>
      </c>
      <c r="D4604" s="86">
        <v>0.44740035647677634</v>
      </c>
      <c r="E4604" s="86"/>
      <c r="F4604" s="14"/>
    </row>
    <row r="4605" spans="1:6" x14ac:dyDescent="0.25">
      <c r="A4605" s="86">
        <v>4604</v>
      </c>
      <c r="B4605" s="87">
        <v>45.697834133869037</v>
      </c>
      <c r="C4605" s="14">
        <v>2</v>
      </c>
      <c r="D4605" s="86">
        <v>0.60965581509835387</v>
      </c>
      <c r="E4605" s="86"/>
      <c r="F4605" s="14"/>
    </row>
    <row r="4606" spans="1:6" x14ac:dyDescent="0.25">
      <c r="A4606" s="86">
        <v>4605</v>
      </c>
      <c r="B4606" s="87">
        <v>44.422915829607518</v>
      </c>
      <c r="C4606" s="14">
        <v>1</v>
      </c>
      <c r="D4606" s="86">
        <v>0.86412901831647726</v>
      </c>
      <c r="E4606" s="86"/>
      <c r="F4606" s="14"/>
    </row>
    <row r="4607" spans="1:6" x14ac:dyDescent="0.25">
      <c r="A4607" s="86">
        <v>4606</v>
      </c>
      <c r="B4607" s="87">
        <v>36.014080246211961</v>
      </c>
      <c r="C4607" s="14">
        <v>4</v>
      </c>
      <c r="D4607" s="86">
        <v>0.69978528609333868</v>
      </c>
      <c r="E4607" s="86"/>
      <c r="F4607" s="14"/>
    </row>
    <row r="4608" spans="1:6" x14ac:dyDescent="0.25">
      <c r="A4608" s="86">
        <v>4607</v>
      </c>
      <c r="B4608" s="87">
        <v>29.385228112339973</v>
      </c>
      <c r="C4608" s="14">
        <v>5</v>
      </c>
      <c r="D4608" s="86">
        <v>7.2990874393748184E-2</v>
      </c>
      <c r="E4608" s="86"/>
      <c r="F4608" s="14"/>
    </row>
    <row r="4609" spans="1:6" x14ac:dyDescent="0.25">
      <c r="A4609" s="86">
        <v>4608</v>
      </c>
      <c r="B4609" s="87">
        <v>34.982599567563739</v>
      </c>
      <c r="C4609" s="14">
        <v>4</v>
      </c>
      <c r="D4609" s="86">
        <v>0.94422960234870257</v>
      </c>
      <c r="E4609" s="86"/>
      <c r="F4609" s="14"/>
    </row>
    <row r="4610" spans="1:6" x14ac:dyDescent="0.25">
      <c r="A4610" s="86">
        <v>4609</v>
      </c>
      <c r="B4610" s="87">
        <v>43.38075427255535</v>
      </c>
      <c r="C4610" s="14">
        <v>2</v>
      </c>
      <c r="D4610" s="86">
        <v>0.76790513870136812</v>
      </c>
      <c r="E4610" s="86"/>
      <c r="F4610" s="14"/>
    </row>
    <row r="4611" spans="1:6" x14ac:dyDescent="0.25">
      <c r="A4611" s="86">
        <v>4610</v>
      </c>
      <c r="B4611" s="87">
        <v>42.619626578351017</v>
      </c>
      <c r="C4611" s="14">
        <v>2</v>
      </c>
      <c r="D4611" s="86">
        <v>7.7586160510910385E-2</v>
      </c>
      <c r="E4611" s="86"/>
      <c r="F4611" s="14"/>
    </row>
    <row r="4612" spans="1:6" x14ac:dyDescent="0.25">
      <c r="A4612" s="86">
        <v>4611</v>
      </c>
      <c r="B4612" s="87">
        <v>40.147779140505008</v>
      </c>
      <c r="C4612" s="14">
        <v>2</v>
      </c>
      <c r="D4612" s="86">
        <v>0.22196764503055766</v>
      </c>
      <c r="E4612" s="86"/>
      <c r="F4612" s="14"/>
    </row>
    <row r="4613" spans="1:6" x14ac:dyDescent="0.25">
      <c r="A4613" s="86">
        <v>4612</v>
      </c>
      <c r="B4613" s="87">
        <v>39.494909737521084</v>
      </c>
      <c r="C4613" s="14">
        <v>1</v>
      </c>
      <c r="D4613" s="86">
        <v>0.2786515747501882</v>
      </c>
      <c r="E4613" s="86"/>
      <c r="F4613" s="14"/>
    </row>
    <row r="4614" spans="1:6" x14ac:dyDescent="0.25">
      <c r="A4614" s="86">
        <v>4613</v>
      </c>
      <c r="B4614" s="87">
        <v>46.714069407578791</v>
      </c>
      <c r="C4614" s="14">
        <v>4</v>
      </c>
      <c r="D4614" s="86">
        <v>0.75987936670430178</v>
      </c>
      <c r="E4614" s="86"/>
      <c r="F4614" s="14"/>
    </row>
    <row r="4615" spans="1:6" x14ac:dyDescent="0.25">
      <c r="A4615" s="86">
        <v>4614</v>
      </c>
      <c r="B4615" s="87">
        <v>45.087654138449579</v>
      </c>
      <c r="C4615" s="14">
        <v>4</v>
      </c>
      <c r="D4615" s="86">
        <v>0.4877798431175302</v>
      </c>
      <c r="E4615" s="86"/>
      <c r="F4615" s="14"/>
    </row>
    <row r="4616" spans="1:6" x14ac:dyDescent="0.25">
      <c r="A4616" s="86">
        <v>4615</v>
      </c>
      <c r="B4616" s="87">
        <v>56.662065612152219</v>
      </c>
      <c r="C4616" s="14">
        <v>5</v>
      </c>
      <c r="D4616" s="86">
        <v>0.67633647286126408</v>
      </c>
      <c r="E4616" s="86"/>
      <c r="F4616" s="14"/>
    </row>
    <row r="4617" spans="1:6" x14ac:dyDescent="0.25">
      <c r="A4617" s="86">
        <v>4616</v>
      </c>
      <c r="B4617" s="87">
        <v>37.520703694433905</v>
      </c>
      <c r="C4617" s="14">
        <v>1</v>
      </c>
      <c r="D4617" s="86">
        <v>0.64934163215338347</v>
      </c>
      <c r="E4617" s="86"/>
      <c r="F4617" s="14"/>
    </row>
    <row r="4618" spans="1:6" x14ac:dyDescent="0.25">
      <c r="A4618" s="86">
        <v>4617</v>
      </c>
      <c r="B4618" s="87">
        <v>40.184613675926812</v>
      </c>
      <c r="C4618" s="14">
        <v>4</v>
      </c>
      <c r="D4618" s="86">
        <v>8.5099211737600045E-2</v>
      </c>
      <c r="E4618" s="86"/>
      <c r="F4618" s="14"/>
    </row>
    <row r="4619" spans="1:6" x14ac:dyDescent="0.25">
      <c r="A4619" s="86">
        <v>4618</v>
      </c>
      <c r="B4619" s="87">
        <v>44.502360191807384</v>
      </c>
      <c r="C4619" s="14">
        <v>5</v>
      </c>
      <c r="D4619" s="86">
        <v>0.19623827864266608</v>
      </c>
      <c r="E4619" s="86"/>
      <c r="F4619" s="14"/>
    </row>
    <row r="4620" spans="1:6" x14ac:dyDescent="0.25">
      <c r="A4620" s="86">
        <v>4619</v>
      </c>
      <c r="B4620" s="87">
        <v>40.512190930137876</v>
      </c>
      <c r="C4620" s="14">
        <v>4</v>
      </c>
      <c r="D4620" s="86">
        <v>0.13322739218377799</v>
      </c>
      <c r="E4620" s="86"/>
      <c r="F4620" s="14"/>
    </row>
    <row r="4621" spans="1:6" x14ac:dyDescent="0.25">
      <c r="A4621" s="86">
        <v>4620</v>
      </c>
      <c r="B4621" s="87">
        <v>44.093991386369453</v>
      </c>
      <c r="C4621" s="14">
        <v>4</v>
      </c>
      <c r="D4621" s="86">
        <v>0.77221378007070651</v>
      </c>
      <c r="E4621" s="86"/>
      <c r="F4621" s="14"/>
    </row>
    <row r="4622" spans="1:6" x14ac:dyDescent="0.25">
      <c r="A4622" s="86">
        <v>4621</v>
      </c>
      <c r="B4622" s="87">
        <v>53.114081305800937</v>
      </c>
      <c r="C4622" s="14">
        <v>2</v>
      </c>
      <c r="D4622" s="86">
        <v>0.51846506767205791</v>
      </c>
      <c r="E4622" s="86"/>
      <c r="F4622" s="14"/>
    </row>
    <row r="4623" spans="1:6" x14ac:dyDescent="0.25">
      <c r="A4623" s="86">
        <v>4622</v>
      </c>
      <c r="B4623" s="87">
        <v>47.244407136866357</v>
      </c>
      <c r="C4623" s="14">
        <v>2</v>
      </c>
      <c r="D4623" s="86">
        <v>0.80606362454789626</v>
      </c>
      <c r="E4623" s="86"/>
      <c r="F4623" s="14"/>
    </row>
    <row r="4624" spans="1:6" x14ac:dyDescent="0.25">
      <c r="A4624" s="86">
        <v>4623</v>
      </c>
      <c r="B4624" s="87">
        <v>47.686717147706077</v>
      </c>
      <c r="C4624" s="14">
        <v>2</v>
      </c>
      <c r="D4624" s="86">
        <v>0.28669910199473592</v>
      </c>
      <c r="E4624" s="86"/>
      <c r="F4624" s="14"/>
    </row>
    <row r="4625" spans="1:6" x14ac:dyDescent="0.25">
      <c r="A4625" s="86">
        <v>4624</v>
      </c>
      <c r="B4625" s="87">
        <v>40.326904122019187</v>
      </c>
      <c r="C4625" s="14">
        <v>5</v>
      </c>
      <c r="D4625" s="86">
        <v>0.70632421584424132</v>
      </c>
      <c r="E4625" s="86"/>
      <c r="F4625" s="14"/>
    </row>
    <row r="4626" spans="1:6" x14ac:dyDescent="0.25">
      <c r="A4626" s="86">
        <v>4625</v>
      </c>
      <c r="B4626" s="87">
        <v>45.39472797147755</v>
      </c>
      <c r="C4626" s="14">
        <v>5</v>
      </c>
      <c r="D4626" s="86">
        <v>0.64898830133255414</v>
      </c>
      <c r="E4626" s="86"/>
      <c r="F4626" s="14"/>
    </row>
    <row r="4627" spans="1:6" x14ac:dyDescent="0.25">
      <c r="A4627" s="86">
        <v>4626</v>
      </c>
      <c r="B4627" s="87">
        <v>41.0203710947535</v>
      </c>
      <c r="C4627" s="14">
        <v>4</v>
      </c>
      <c r="D4627" s="86">
        <v>0.73750026971422833</v>
      </c>
      <c r="E4627" s="86"/>
      <c r="F4627" s="14"/>
    </row>
    <row r="4628" spans="1:6" x14ac:dyDescent="0.25">
      <c r="A4628" s="86">
        <v>4627</v>
      </c>
      <c r="B4628" s="87">
        <v>45.813146693370072</v>
      </c>
      <c r="C4628" s="14">
        <v>4</v>
      </c>
      <c r="D4628" s="86">
        <v>0.68191064310070948</v>
      </c>
      <c r="E4628" s="86"/>
      <c r="F4628" s="14"/>
    </row>
    <row r="4629" spans="1:6" x14ac:dyDescent="0.25">
      <c r="A4629" s="86">
        <v>4628</v>
      </c>
      <c r="B4629" s="87">
        <v>43.868976712808944</v>
      </c>
      <c r="C4629" s="14">
        <v>5</v>
      </c>
      <c r="D4629" s="86">
        <v>0.62587102496873015</v>
      </c>
      <c r="E4629" s="86"/>
      <c r="F4629" s="14"/>
    </row>
    <row r="4630" spans="1:6" x14ac:dyDescent="0.25">
      <c r="A4630" s="86">
        <v>4629</v>
      </c>
      <c r="B4630" s="87">
        <v>43.999375515675638</v>
      </c>
      <c r="C4630" s="14">
        <v>2</v>
      </c>
      <c r="D4630" s="86">
        <v>0.99684854230044095</v>
      </c>
      <c r="E4630" s="86"/>
      <c r="F4630" s="14"/>
    </row>
    <row r="4631" spans="1:6" x14ac:dyDescent="0.25">
      <c r="A4631" s="86">
        <v>4630</v>
      </c>
      <c r="B4631" s="87">
        <v>52.359519026475027</v>
      </c>
      <c r="C4631" s="14">
        <v>5</v>
      </c>
      <c r="D4631" s="86">
        <v>0.42477754913413013</v>
      </c>
      <c r="E4631" s="86"/>
      <c r="F4631" s="14"/>
    </row>
    <row r="4632" spans="1:6" x14ac:dyDescent="0.25">
      <c r="A4632" s="86">
        <v>4631</v>
      </c>
      <c r="B4632" s="87">
        <v>43.946363343246048</v>
      </c>
      <c r="C4632" s="14">
        <v>2</v>
      </c>
      <c r="D4632" s="86">
        <v>0.53933154164637676</v>
      </c>
      <c r="E4632" s="86"/>
      <c r="F4632" s="14"/>
    </row>
    <row r="4633" spans="1:6" x14ac:dyDescent="0.25">
      <c r="A4633" s="86">
        <v>4632</v>
      </c>
      <c r="B4633" s="87">
        <v>47.457774593902286</v>
      </c>
      <c r="C4633" s="14">
        <v>4</v>
      </c>
      <c r="D4633" s="86">
        <v>0.19461462322274825</v>
      </c>
      <c r="E4633" s="86"/>
      <c r="F4633" s="14"/>
    </row>
    <row r="4634" spans="1:6" x14ac:dyDescent="0.25">
      <c r="A4634" s="86">
        <v>4633</v>
      </c>
      <c r="B4634" s="87">
        <v>40.055476796958828</v>
      </c>
      <c r="C4634" s="14">
        <v>4</v>
      </c>
      <c r="D4634" s="86">
        <v>0.44438507160779883</v>
      </c>
      <c r="E4634" s="86"/>
      <c r="F4634" s="14"/>
    </row>
    <row r="4635" spans="1:6" x14ac:dyDescent="0.25">
      <c r="A4635" s="86">
        <v>4634</v>
      </c>
      <c r="B4635" s="87">
        <v>47.263631581125082</v>
      </c>
      <c r="C4635" s="14">
        <v>3</v>
      </c>
      <c r="D4635" s="86">
        <v>0.10143398698444528</v>
      </c>
      <c r="E4635" s="86"/>
      <c r="F4635" s="14"/>
    </row>
    <row r="4636" spans="1:6" x14ac:dyDescent="0.25">
      <c r="A4636" s="86">
        <v>4635</v>
      </c>
      <c r="B4636" s="87">
        <v>44.241392055817414</v>
      </c>
      <c r="C4636" s="14">
        <v>4</v>
      </c>
      <c r="D4636" s="86">
        <v>0.97064469246654994</v>
      </c>
      <c r="E4636" s="86"/>
      <c r="F4636" s="14"/>
    </row>
    <row r="4637" spans="1:6" x14ac:dyDescent="0.25">
      <c r="A4637" s="86">
        <v>4636</v>
      </c>
      <c r="B4637" s="87">
        <v>39.284924463907373</v>
      </c>
      <c r="C4637" s="14">
        <v>2</v>
      </c>
      <c r="D4637" s="86">
        <v>0.34719607831991928</v>
      </c>
      <c r="E4637" s="86"/>
      <c r="F4637" s="14"/>
    </row>
    <row r="4638" spans="1:6" x14ac:dyDescent="0.25">
      <c r="A4638" s="86">
        <v>4637</v>
      </c>
      <c r="B4638" s="87">
        <v>41.870327999611618</v>
      </c>
      <c r="C4638" s="14">
        <v>5</v>
      </c>
      <c r="D4638" s="86">
        <v>0.99113862130071739</v>
      </c>
      <c r="E4638" s="86"/>
      <c r="F4638" s="14"/>
    </row>
    <row r="4639" spans="1:6" x14ac:dyDescent="0.25">
      <c r="A4639" s="86">
        <v>4638</v>
      </c>
      <c r="B4639" s="87">
        <v>46.880438725900603</v>
      </c>
      <c r="C4639" s="14">
        <v>1</v>
      </c>
      <c r="D4639" s="86">
        <v>0.84172767084073852</v>
      </c>
      <c r="E4639" s="86"/>
      <c r="F4639" s="14"/>
    </row>
    <row r="4640" spans="1:6" x14ac:dyDescent="0.25">
      <c r="A4640" s="86">
        <v>4639</v>
      </c>
      <c r="B4640" s="87">
        <v>30.564478942658752</v>
      </c>
      <c r="C4640" s="14">
        <v>3</v>
      </c>
      <c r="D4640" s="86">
        <v>0.30823167315323652</v>
      </c>
      <c r="E4640" s="86"/>
      <c r="F4640" s="14"/>
    </row>
    <row r="4641" spans="1:6" x14ac:dyDescent="0.25">
      <c r="A4641" s="86">
        <v>4640</v>
      </c>
      <c r="B4641" s="87">
        <v>43.801492205937393</v>
      </c>
      <c r="C4641" s="14">
        <v>3</v>
      </c>
      <c r="D4641" s="86">
        <v>0.68646803047102523</v>
      </c>
      <c r="E4641" s="86"/>
      <c r="F4641" s="14"/>
    </row>
    <row r="4642" spans="1:6" x14ac:dyDescent="0.25">
      <c r="A4642" s="86">
        <v>4641</v>
      </c>
      <c r="B4642" s="87">
        <v>51.861115929903463</v>
      </c>
      <c r="C4642" s="14">
        <v>2</v>
      </c>
      <c r="D4642" s="86">
        <v>7.120879107131739E-2</v>
      </c>
      <c r="E4642" s="86"/>
      <c r="F4642" s="14"/>
    </row>
    <row r="4643" spans="1:6" x14ac:dyDescent="0.25">
      <c r="A4643" s="86">
        <v>4642</v>
      </c>
      <c r="B4643" s="87">
        <v>46.387231117812917</v>
      </c>
      <c r="C4643" s="14">
        <v>4</v>
      </c>
      <c r="D4643" s="86">
        <v>0.46816307176374838</v>
      </c>
      <c r="E4643" s="86"/>
      <c r="F4643" s="14"/>
    </row>
    <row r="4644" spans="1:6" x14ac:dyDescent="0.25">
      <c r="A4644" s="86">
        <v>4643</v>
      </c>
      <c r="B4644" s="87">
        <v>41.131579559412785</v>
      </c>
      <c r="C4644" s="14">
        <v>4</v>
      </c>
      <c r="D4644" s="86">
        <v>0.19397574961104735</v>
      </c>
      <c r="E4644" s="86"/>
      <c r="F4644" s="14"/>
    </row>
    <row r="4645" spans="1:6" x14ac:dyDescent="0.25">
      <c r="A4645" s="86">
        <v>4644</v>
      </c>
      <c r="B4645" s="87">
        <v>41.30966430636181</v>
      </c>
      <c r="C4645" s="14">
        <v>4</v>
      </c>
      <c r="D4645" s="86">
        <v>7.2495581014650701E-2</v>
      </c>
      <c r="E4645" s="86"/>
      <c r="F4645" s="14"/>
    </row>
    <row r="4646" spans="1:6" x14ac:dyDescent="0.25">
      <c r="A4646" s="86">
        <v>4645</v>
      </c>
      <c r="B4646" s="87">
        <v>37.806660197355086</v>
      </c>
      <c r="C4646" s="14">
        <v>2</v>
      </c>
      <c r="D4646" s="86">
        <v>0.98480580072673685</v>
      </c>
      <c r="E4646" s="86"/>
      <c r="F4646" s="14"/>
    </row>
    <row r="4647" spans="1:6" x14ac:dyDescent="0.25">
      <c r="A4647" s="86">
        <v>4646</v>
      </c>
      <c r="B4647" s="87">
        <v>51.824576980259735</v>
      </c>
      <c r="C4647" s="14">
        <v>2</v>
      </c>
      <c r="D4647" s="86">
        <v>0.85956832249235637</v>
      </c>
      <c r="E4647" s="86"/>
      <c r="F4647" s="14"/>
    </row>
    <row r="4648" spans="1:6" x14ac:dyDescent="0.25">
      <c r="A4648" s="86">
        <v>4647</v>
      </c>
      <c r="B4648" s="87">
        <v>45.43340991801233</v>
      </c>
      <c r="C4648" s="14">
        <v>2</v>
      </c>
      <c r="D4648" s="86">
        <v>0.41450044433570254</v>
      </c>
      <c r="E4648" s="86"/>
      <c r="F4648" s="14"/>
    </row>
    <row r="4649" spans="1:6" x14ac:dyDescent="0.25">
      <c r="A4649" s="86">
        <v>4648</v>
      </c>
      <c r="B4649" s="87">
        <v>44.672526650509099</v>
      </c>
      <c r="C4649" s="14">
        <v>1</v>
      </c>
      <c r="D4649" s="86">
        <v>0.39702070208069384</v>
      </c>
      <c r="E4649" s="86"/>
      <c r="F4649" s="14"/>
    </row>
    <row r="4650" spans="1:6" x14ac:dyDescent="0.25">
      <c r="A4650" s="86">
        <v>4649</v>
      </c>
      <c r="B4650" s="87">
        <v>37.280835835525068</v>
      </c>
      <c r="C4650" s="14">
        <v>2</v>
      </c>
      <c r="D4650" s="86">
        <v>0.8734426767020228</v>
      </c>
      <c r="E4650" s="86"/>
      <c r="F4650" s="14"/>
    </row>
    <row r="4651" spans="1:6" x14ac:dyDescent="0.25">
      <c r="A4651" s="86">
        <v>4650</v>
      </c>
      <c r="B4651" s="87">
        <v>36.085441474249819</v>
      </c>
      <c r="C4651" s="14">
        <v>2</v>
      </c>
      <c r="D4651" s="86">
        <v>0.62674057425663854</v>
      </c>
      <c r="E4651" s="86"/>
      <c r="F4651" s="14"/>
    </row>
    <row r="4652" spans="1:6" x14ac:dyDescent="0.25">
      <c r="A4652" s="86">
        <v>4651</v>
      </c>
      <c r="B4652" s="87">
        <v>36.633150552341249</v>
      </c>
      <c r="C4652" s="14">
        <v>3</v>
      </c>
      <c r="D4652" s="86">
        <v>0.26600294522622803</v>
      </c>
      <c r="E4652" s="86"/>
      <c r="F4652" s="14"/>
    </row>
    <row r="4653" spans="1:6" x14ac:dyDescent="0.25">
      <c r="A4653" s="86">
        <v>4652</v>
      </c>
      <c r="B4653" s="87">
        <v>39.224664755573031</v>
      </c>
      <c r="C4653" s="14">
        <v>2</v>
      </c>
      <c r="D4653" s="86">
        <v>0.17429330063973236</v>
      </c>
      <c r="E4653" s="86"/>
      <c r="F4653" s="14"/>
    </row>
    <row r="4654" spans="1:6" x14ac:dyDescent="0.25">
      <c r="A4654" s="86">
        <v>4653</v>
      </c>
      <c r="B4654" s="87">
        <v>40.153179265296785</v>
      </c>
      <c r="C4654" s="14">
        <v>2</v>
      </c>
      <c r="D4654" s="86">
        <v>0.47966862486505535</v>
      </c>
      <c r="E4654" s="86"/>
      <c r="F4654" s="14"/>
    </row>
    <row r="4655" spans="1:6" x14ac:dyDescent="0.25">
      <c r="A4655" s="86">
        <v>4654</v>
      </c>
      <c r="B4655" s="87">
        <v>42.014278273534728</v>
      </c>
      <c r="C4655" s="14">
        <v>5</v>
      </c>
      <c r="D4655" s="86">
        <v>0.36326475892422583</v>
      </c>
      <c r="E4655" s="86"/>
      <c r="F4655" s="14"/>
    </row>
    <row r="4656" spans="1:6" x14ac:dyDescent="0.25">
      <c r="A4656" s="86">
        <v>4655</v>
      </c>
      <c r="B4656" s="87">
        <v>46.248976554459659</v>
      </c>
      <c r="C4656" s="14">
        <v>4</v>
      </c>
      <c r="D4656" s="86">
        <v>0.94671589491052677</v>
      </c>
      <c r="E4656" s="86"/>
      <c r="F4656" s="14"/>
    </row>
    <row r="4657" spans="1:6" x14ac:dyDescent="0.25">
      <c r="A4657" s="86">
        <v>4656</v>
      </c>
      <c r="B4657" s="87">
        <v>34.65752342378255</v>
      </c>
      <c r="C4657" s="14">
        <v>2</v>
      </c>
      <c r="D4657" s="86">
        <v>0.57243989097985559</v>
      </c>
      <c r="E4657" s="86"/>
      <c r="F4657" s="14"/>
    </row>
    <row r="4658" spans="1:6" x14ac:dyDescent="0.25">
      <c r="A4658" s="86">
        <v>4657</v>
      </c>
      <c r="B4658" s="87">
        <v>42.312990439648274</v>
      </c>
      <c r="C4658" s="14">
        <v>5</v>
      </c>
      <c r="D4658" s="86">
        <v>0.94296647144244616</v>
      </c>
      <c r="E4658" s="86"/>
      <c r="F4658" s="14"/>
    </row>
    <row r="4659" spans="1:6" x14ac:dyDescent="0.25">
      <c r="A4659" s="86">
        <v>4658</v>
      </c>
      <c r="B4659" s="87">
        <v>42.631904756824952</v>
      </c>
      <c r="C4659" s="14">
        <v>2</v>
      </c>
      <c r="D4659" s="86">
        <v>0.14794450647989443</v>
      </c>
      <c r="E4659" s="86"/>
      <c r="F4659" s="14"/>
    </row>
    <row r="4660" spans="1:6" x14ac:dyDescent="0.25">
      <c r="A4660" s="86">
        <v>4659</v>
      </c>
      <c r="B4660" s="87">
        <v>46.441311946517089</v>
      </c>
      <c r="C4660" s="14">
        <v>2</v>
      </c>
      <c r="D4660" s="86">
        <v>0.28914034202192995</v>
      </c>
      <c r="E4660" s="86"/>
      <c r="F4660" s="14"/>
    </row>
    <row r="4661" spans="1:6" x14ac:dyDescent="0.25">
      <c r="A4661" s="86">
        <v>4660</v>
      </c>
      <c r="B4661" s="87">
        <v>40.069568280494423</v>
      </c>
      <c r="C4661" s="14">
        <v>2</v>
      </c>
      <c r="D4661" s="86">
        <v>2.8054038802077574E-2</v>
      </c>
      <c r="E4661" s="86"/>
      <c r="F4661" s="14"/>
    </row>
    <row r="4662" spans="1:6" x14ac:dyDescent="0.25">
      <c r="A4662" s="86">
        <v>4661</v>
      </c>
      <c r="B4662" s="87">
        <v>45.833337475749431</v>
      </c>
      <c r="C4662" s="14">
        <v>2</v>
      </c>
      <c r="D4662" s="86">
        <v>0.93186148553616188</v>
      </c>
      <c r="E4662" s="86"/>
      <c r="F4662" s="14"/>
    </row>
    <row r="4663" spans="1:6" x14ac:dyDescent="0.25">
      <c r="A4663" s="86">
        <v>4662</v>
      </c>
      <c r="B4663" s="87">
        <v>42.639192083122907</v>
      </c>
      <c r="C4663" s="14">
        <v>2</v>
      </c>
      <c r="D4663" s="86">
        <v>0.39084876021261317</v>
      </c>
      <c r="E4663" s="86"/>
      <c r="F4663" s="14"/>
    </row>
    <row r="4664" spans="1:6" x14ac:dyDescent="0.25">
      <c r="A4664" s="86">
        <v>4663</v>
      </c>
      <c r="B4664" s="87">
        <v>39.412270775181241</v>
      </c>
      <c r="C4664" s="14">
        <v>3</v>
      </c>
      <c r="D4664" s="86">
        <v>0.20765586593374208</v>
      </c>
      <c r="E4664" s="86"/>
      <c r="F4664" s="14"/>
    </row>
    <row r="4665" spans="1:6" x14ac:dyDescent="0.25">
      <c r="A4665" s="86">
        <v>4664</v>
      </c>
      <c r="B4665" s="87">
        <v>45.00944896278088</v>
      </c>
      <c r="C4665" s="14">
        <v>1</v>
      </c>
      <c r="D4665" s="86">
        <v>0.99502433475760699</v>
      </c>
      <c r="E4665" s="86"/>
      <c r="F4665" s="14"/>
    </row>
    <row r="4666" spans="1:6" x14ac:dyDescent="0.25">
      <c r="A4666" s="86">
        <v>4665</v>
      </c>
      <c r="B4666" s="87">
        <v>40.166662524250569</v>
      </c>
      <c r="C4666" s="14">
        <v>2</v>
      </c>
      <c r="D4666" s="86">
        <v>0.72298717189159845</v>
      </c>
      <c r="E4666" s="86"/>
      <c r="F4666" s="14"/>
    </row>
    <row r="4667" spans="1:6" x14ac:dyDescent="0.25">
      <c r="A4667" s="86">
        <v>4666</v>
      </c>
      <c r="B4667" s="87">
        <v>37.347285792173352</v>
      </c>
      <c r="C4667" s="14">
        <v>2</v>
      </c>
      <c r="D4667" s="86">
        <v>0.6344848440165417</v>
      </c>
      <c r="E4667" s="86"/>
      <c r="F4667" s="14"/>
    </row>
    <row r="4668" spans="1:6" x14ac:dyDescent="0.25">
      <c r="A4668" s="86">
        <v>4667</v>
      </c>
      <c r="B4668" s="87">
        <v>45.839624357875437</v>
      </c>
      <c r="C4668" s="14">
        <v>1</v>
      </c>
      <c r="D4668" s="86">
        <v>0.50891121034796805</v>
      </c>
      <c r="E4668" s="86"/>
      <c r="F4668" s="14"/>
    </row>
    <row r="4669" spans="1:6" x14ac:dyDescent="0.25">
      <c r="A4669" s="86">
        <v>4668</v>
      </c>
      <c r="B4669" s="87">
        <v>38.249402218178147</v>
      </c>
      <c r="C4669" s="14">
        <v>2</v>
      </c>
      <c r="D4669" s="86">
        <v>0.94555899085149797</v>
      </c>
      <c r="E4669" s="86"/>
      <c r="F4669" s="14"/>
    </row>
    <row r="4670" spans="1:6" x14ac:dyDescent="0.25">
      <c r="A4670" s="86">
        <v>4669</v>
      </c>
      <c r="B4670" s="87">
        <v>52.435552783543244</v>
      </c>
      <c r="C4670" s="14">
        <v>4</v>
      </c>
      <c r="D4670" s="86">
        <v>7.6342499978983791E-2</v>
      </c>
      <c r="E4670" s="86"/>
      <c r="F4670" s="14"/>
    </row>
    <row r="4671" spans="1:6" x14ac:dyDescent="0.25">
      <c r="A4671" s="86">
        <v>4670</v>
      </c>
      <c r="B4671" s="87">
        <v>37.70791181011009</v>
      </c>
      <c r="C4671" s="14">
        <v>5</v>
      </c>
      <c r="D4671" s="86">
        <v>0.7665554512223699</v>
      </c>
      <c r="E4671" s="86"/>
      <c r="F4671" s="14"/>
    </row>
    <row r="4672" spans="1:6" x14ac:dyDescent="0.25">
      <c r="A4672" s="86">
        <v>4671</v>
      </c>
      <c r="B4672" s="87">
        <v>38.353493886796059</v>
      </c>
      <c r="C4672" s="14">
        <v>5</v>
      </c>
      <c r="D4672" s="86">
        <v>0.92659429497170898</v>
      </c>
      <c r="E4672" s="86"/>
      <c r="F4672" s="14"/>
    </row>
    <row r="4673" spans="1:6" x14ac:dyDescent="0.25">
      <c r="A4673" s="86">
        <v>4672</v>
      </c>
      <c r="B4673" s="87">
        <v>36.536448528175242</v>
      </c>
      <c r="C4673" s="14">
        <v>2</v>
      </c>
      <c r="D4673" s="86">
        <v>0.87742224261484947</v>
      </c>
      <c r="E4673" s="86"/>
      <c r="F4673" s="14"/>
    </row>
    <row r="4674" spans="1:6" x14ac:dyDescent="0.25">
      <c r="A4674" s="86">
        <v>4673</v>
      </c>
      <c r="B4674" s="87">
        <v>46.241427748434944</v>
      </c>
      <c r="C4674" s="14">
        <v>4</v>
      </c>
      <c r="D4674" s="86">
        <v>0.48896549102039</v>
      </c>
      <c r="E4674" s="86"/>
      <c r="F4674" s="14"/>
    </row>
    <row r="4675" spans="1:6" x14ac:dyDescent="0.25">
      <c r="A4675" s="86">
        <v>4674</v>
      </c>
      <c r="B4675" s="87">
        <v>45.850418923117104</v>
      </c>
      <c r="C4675" s="14">
        <v>1</v>
      </c>
      <c r="D4675" s="86">
        <v>0.15926673528740987</v>
      </c>
      <c r="E4675" s="86"/>
      <c r="F4675" s="14"/>
    </row>
    <row r="4676" spans="1:6" x14ac:dyDescent="0.25">
      <c r="A4676" s="86">
        <v>4675</v>
      </c>
      <c r="B4676" s="87">
        <v>38.581356415641494</v>
      </c>
      <c r="C4676" s="14">
        <v>4</v>
      </c>
      <c r="D4676" s="86">
        <v>0.18236761728584039</v>
      </c>
      <c r="E4676" s="86"/>
      <c r="F4676" s="14"/>
    </row>
    <row r="4677" spans="1:6" x14ac:dyDescent="0.25">
      <c r="A4677" s="86">
        <v>4676</v>
      </c>
      <c r="B4677" s="87">
        <v>46.507051360429614</v>
      </c>
      <c r="C4677" s="14">
        <v>1</v>
      </c>
      <c r="D4677" s="86">
        <v>0.76391251865330756</v>
      </c>
      <c r="E4677" s="86"/>
      <c r="F4677" s="14"/>
    </row>
    <row r="4678" spans="1:6" x14ac:dyDescent="0.25">
      <c r="A4678" s="86">
        <v>4677</v>
      </c>
      <c r="B4678" s="87">
        <v>35.365246725967154</v>
      </c>
      <c r="C4678" s="14">
        <v>4</v>
      </c>
      <c r="D4678" s="86">
        <v>0.41066407743164357</v>
      </c>
      <c r="E4678" s="86"/>
      <c r="F4678" s="14"/>
    </row>
    <row r="4679" spans="1:6" x14ac:dyDescent="0.25">
      <c r="A4679" s="86">
        <v>4678</v>
      </c>
      <c r="B4679" s="87">
        <v>45.109374008796294</v>
      </c>
      <c r="C4679" s="14">
        <v>2</v>
      </c>
      <c r="D4679" s="86">
        <v>7.4160656226976762E-2</v>
      </c>
      <c r="E4679" s="86"/>
      <c r="F4679" s="14"/>
    </row>
    <row r="4680" spans="1:6" x14ac:dyDescent="0.25">
      <c r="A4680" s="86">
        <v>4679</v>
      </c>
      <c r="B4680" s="87">
        <v>37.569259342824807</v>
      </c>
      <c r="C4680" s="14">
        <v>5</v>
      </c>
      <c r="D4680" s="86">
        <v>0.85274345903020743</v>
      </c>
      <c r="E4680" s="86"/>
      <c r="F4680" s="14"/>
    </row>
    <row r="4681" spans="1:6" x14ac:dyDescent="0.25">
      <c r="A4681" s="86">
        <v>4680</v>
      </c>
      <c r="B4681" s="87">
        <v>50.278936209331732</v>
      </c>
      <c r="C4681" s="14">
        <v>2</v>
      </c>
      <c r="D4681" s="86">
        <v>1.011627612639554E-2</v>
      </c>
      <c r="E4681" s="86"/>
      <c r="F4681" s="14"/>
    </row>
    <row r="4682" spans="1:6" x14ac:dyDescent="0.25">
      <c r="A4682" s="86">
        <v>4681</v>
      </c>
      <c r="B4682" s="87">
        <v>40.332645307324128</v>
      </c>
      <c r="C4682" s="14">
        <v>3</v>
      </c>
      <c r="D4682" s="86">
        <v>0.20942295572524972</v>
      </c>
      <c r="E4682" s="86"/>
      <c r="F4682" s="14"/>
    </row>
    <row r="4683" spans="1:6" x14ac:dyDescent="0.25">
      <c r="A4683" s="86">
        <v>4682</v>
      </c>
      <c r="B4683" s="87">
        <v>41.034843429195462</v>
      </c>
      <c r="C4683" s="14">
        <v>2</v>
      </c>
      <c r="D4683" s="86">
        <v>0.790501146768118</v>
      </c>
      <c r="E4683" s="86"/>
      <c r="F4683" s="14"/>
    </row>
    <row r="4684" spans="1:6" x14ac:dyDescent="0.25">
      <c r="A4684" s="86">
        <v>4683</v>
      </c>
      <c r="B4684" s="87">
        <v>37.243148648820352</v>
      </c>
      <c r="C4684" s="14">
        <v>4</v>
      </c>
      <c r="D4684" s="86">
        <v>0.21479273524506493</v>
      </c>
      <c r="E4684" s="86"/>
      <c r="F4684" s="14"/>
    </row>
    <row r="4685" spans="1:6" x14ac:dyDescent="0.25">
      <c r="A4685" s="86">
        <v>4684</v>
      </c>
      <c r="B4685" s="87">
        <v>40.216821157053346</v>
      </c>
      <c r="C4685" s="14">
        <v>2</v>
      </c>
      <c r="D4685" s="86">
        <v>0.7162598917231523</v>
      </c>
      <c r="E4685" s="86"/>
      <c r="F4685" s="14"/>
    </row>
    <row r="4686" spans="1:6" x14ac:dyDescent="0.25">
      <c r="A4686" s="86">
        <v>4685</v>
      </c>
      <c r="B4686" s="87">
        <v>51.609549695393071</v>
      </c>
      <c r="C4686" s="14">
        <v>3</v>
      </c>
      <c r="D4686" s="86">
        <v>0.24969987223245593</v>
      </c>
      <c r="E4686" s="86"/>
      <c r="F4686" s="14"/>
    </row>
    <row r="4687" spans="1:6" x14ac:dyDescent="0.25">
      <c r="A4687" s="86">
        <v>4686</v>
      </c>
      <c r="B4687" s="87">
        <v>31.980243870173581</v>
      </c>
      <c r="C4687" s="14">
        <v>5</v>
      </c>
      <c r="D4687" s="86">
        <v>0.48159222924206357</v>
      </c>
      <c r="E4687" s="86"/>
      <c r="F4687" s="14"/>
    </row>
    <row r="4688" spans="1:6" x14ac:dyDescent="0.25">
      <c r="A4688" s="86">
        <v>4687</v>
      </c>
      <c r="B4688" s="87">
        <v>43.319789705827134</v>
      </c>
      <c r="C4688" s="14">
        <v>2</v>
      </c>
      <c r="D4688" s="86">
        <v>0.52226620170980032</v>
      </c>
      <c r="E4688" s="86"/>
      <c r="F4688" s="14"/>
    </row>
    <row r="4689" spans="1:6" x14ac:dyDescent="0.25">
      <c r="A4689" s="86">
        <v>4688</v>
      </c>
      <c r="B4689" s="87">
        <v>48.139850145496894</v>
      </c>
      <c r="C4689" s="14">
        <v>2</v>
      </c>
      <c r="D4689" s="86">
        <v>0.54545379165565511</v>
      </c>
      <c r="E4689" s="86"/>
      <c r="F4689" s="14"/>
    </row>
    <row r="4690" spans="1:6" x14ac:dyDescent="0.25">
      <c r="A4690" s="86">
        <v>4689</v>
      </c>
      <c r="B4690" s="87">
        <v>36.810672549443552</v>
      </c>
      <c r="C4690" s="14">
        <v>1</v>
      </c>
      <c r="D4690" s="86">
        <v>0.74645539241486358</v>
      </c>
      <c r="E4690" s="86"/>
      <c r="F4690" s="14"/>
    </row>
    <row r="4691" spans="1:6" x14ac:dyDescent="0.25">
      <c r="A4691" s="86">
        <v>4690</v>
      </c>
      <c r="B4691" s="87">
        <v>46.29683871314046</v>
      </c>
      <c r="C4691" s="14">
        <v>4</v>
      </c>
      <c r="D4691" s="86">
        <v>7.8983688891811843E-2</v>
      </c>
      <c r="E4691" s="86"/>
      <c r="F4691" s="14"/>
    </row>
    <row r="4692" spans="1:6" x14ac:dyDescent="0.25">
      <c r="A4692" s="86">
        <v>4691</v>
      </c>
      <c r="B4692" s="87">
        <v>46.949560323235346</v>
      </c>
      <c r="C4692" s="14">
        <v>1</v>
      </c>
      <c r="D4692" s="86">
        <v>0.95866561330958011</v>
      </c>
      <c r="E4692" s="86"/>
      <c r="F4692" s="14"/>
    </row>
    <row r="4693" spans="1:6" x14ac:dyDescent="0.25">
      <c r="A4693" s="86">
        <v>4692</v>
      </c>
      <c r="B4693" s="87">
        <v>45.644014784891624</v>
      </c>
      <c r="C4693" s="14">
        <v>2</v>
      </c>
      <c r="D4693" s="86">
        <v>0.20972682748972038</v>
      </c>
      <c r="E4693" s="86"/>
      <c r="F4693" s="14"/>
    </row>
    <row r="4694" spans="1:6" x14ac:dyDescent="0.25">
      <c r="A4694" s="86">
        <v>4693</v>
      </c>
      <c r="B4694" s="87">
        <v>45.156298251065891</v>
      </c>
      <c r="C4694" s="14">
        <v>4</v>
      </c>
      <c r="D4694" s="86">
        <v>0.29163194772137158</v>
      </c>
      <c r="E4694" s="86"/>
      <c r="F4694" s="14"/>
    </row>
    <row r="4695" spans="1:6" x14ac:dyDescent="0.25">
      <c r="A4695" s="86">
        <v>4694</v>
      </c>
      <c r="B4695" s="87">
        <v>45.019817202381091</v>
      </c>
      <c r="C4695" s="14">
        <v>5</v>
      </c>
      <c r="D4695" s="86">
        <v>0.98534247871498815</v>
      </c>
      <c r="E4695" s="86"/>
      <c r="F4695" s="14"/>
    </row>
    <row r="4696" spans="1:6" x14ac:dyDescent="0.25">
      <c r="A4696" s="86">
        <v>4695</v>
      </c>
      <c r="B4696" s="87">
        <v>42.27551925793523</v>
      </c>
      <c r="C4696" s="14">
        <v>2</v>
      </c>
      <c r="D4696" s="86">
        <v>0.7049085922362498</v>
      </c>
      <c r="E4696" s="86"/>
      <c r="F4696" s="14"/>
    </row>
    <row r="4697" spans="1:6" x14ac:dyDescent="0.25">
      <c r="A4697" s="86">
        <v>4696</v>
      </c>
      <c r="B4697" s="87">
        <v>35.918401403585449</v>
      </c>
      <c r="C4697" s="14">
        <v>4</v>
      </c>
      <c r="D4697" s="86">
        <v>0.45885792102768286</v>
      </c>
      <c r="E4697" s="86"/>
      <c r="F4697" s="14"/>
    </row>
    <row r="4698" spans="1:6" x14ac:dyDescent="0.25">
      <c r="A4698" s="86">
        <v>4697</v>
      </c>
      <c r="B4698" s="87">
        <v>49.859249879198615</v>
      </c>
      <c r="C4698" s="14">
        <v>5</v>
      </c>
      <c r="D4698" s="86">
        <v>1.1110513021099555E-2</v>
      </c>
      <c r="E4698" s="86"/>
      <c r="F4698" s="14"/>
    </row>
    <row r="4699" spans="1:6" x14ac:dyDescent="0.25">
      <c r="A4699" s="86">
        <v>4698</v>
      </c>
      <c r="B4699" s="87">
        <v>43.067132077674614</v>
      </c>
      <c r="C4699" s="14">
        <v>1</v>
      </c>
      <c r="D4699" s="86">
        <v>0.33154303386610962</v>
      </c>
      <c r="E4699" s="86"/>
      <c r="F4699" s="14"/>
    </row>
    <row r="4700" spans="1:6" x14ac:dyDescent="0.25">
      <c r="A4700" s="86">
        <v>4699</v>
      </c>
      <c r="B4700" s="87">
        <v>50.507151167374104</v>
      </c>
      <c r="C4700" s="14">
        <v>3</v>
      </c>
      <c r="D4700" s="86">
        <v>0.12043972596977948</v>
      </c>
      <c r="E4700" s="86"/>
      <c r="F4700" s="14"/>
    </row>
    <row r="4701" spans="1:6" x14ac:dyDescent="0.25">
      <c r="A4701" s="86">
        <v>4700</v>
      </c>
      <c r="B4701" s="87">
        <v>34.9126594249974</v>
      </c>
      <c r="C4701" s="14">
        <v>5</v>
      </c>
      <c r="D4701" s="86">
        <v>0.50199680850710293</v>
      </c>
      <c r="E4701" s="86"/>
      <c r="F4701" s="14"/>
    </row>
    <row r="4702" spans="1:6" x14ac:dyDescent="0.25">
      <c r="A4702" s="86">
        <v>4701</v>
      </c>
      <c r="B4702" s="87">
        <v>53.177018339163624</v>
      </c>
      <c r="C4702" s="14">
        <v>2</v>
      </c>
      <c r="D4702" s="86">
        <v>0.93015687389179702</v>
      </c>
      <c r="E4702" s="86"/>
      <c r="F4702" s="14"/>
    </row>
    <row r="4703" spans="1:6" x14ac:dyDescent="0.25">
      <c r="A4703" s="86">
        <v>4702</v>
      </c>
      <c r="B4703" s="87">
        <v>41.198677531036083</v>
      </c>
      <c r="C4703" s="14">
        <v>2</v>
      </c>
      <c r="D4703" s="86">
        <v>6.1427246360815535E-2</v>
      </c>
      <c r="E4703" s="86"/>
      <c r="F4703" s="14"/>
    </row>
    <row r="4704" spans="1:6" x14ac:dyDescent="0.25">
      <c r="A4704" s="86">
        <v>4703</v>
      </c>
      <c r="B4704" s="87">
        <v>38.840528299595462</v>
      </c>
      <c r="C4704" s="14">
        <v>2</v>
      </c>
      <c r="D4704" s="86">
        <v>0.92366291947629942</v>
      </c>
      <c r="E4704" s="86"/>
      <c r="F4704" s="14"/>
    </row>
    <row r="4705" spans="1:6" x14ac:dyDescent="0.25">
      <c r="A4705" s="86">
        <v>4704</v>
      </c>
      <c r="B4705" s="87">
        <v>47.942728537571384</v>
      </c>
      <c r="C4705" s="14">
        <v>5</v>
      </c>
      <c r="D4705" s="86">
        <v>0.12754334344827745</v>
      </c>
      <c r="E4705" s="86"/>
      <c r="F4705" s="14"/>
    </row>
    <row r="4706" spans="1:6" x14ac:dyDescent="0.25">
      <c r="A4706" s="86">
        <v>4705</v>
      </c>
      <c r="B4706" s="87">
        <v>43.970908331510145</v>
      </c>
      <c r="C4706" s="14">
        <v>5</v>
      </c>
      <c r="D4706" s="86">
        <v>0.86501004853783336</v>
      </c>
      <c r="E4706" s="86"/>
      <c r="F4706" s="14"/>
    </row>
    <row r="4707" spans="1:6" x14ac:dyDescent="0.25">
      <c r="A4707" s="86">
        <v>4706</v>
      </c>
      <c r="B4707" s="87">
        <v>42.901120872891624</v>
      </c>
      <c r="C4707" s="14">
        <v>5</v>
      </c>
      <c r="D4707" s="86">
        <v>0.91712960890305795</v>
      </c>
      <c r="E4707" s="86"/>
      <c r="F4707" s="14"/>
    </row>
    <row r="4708" spans="1:6" x14ac:dyDescent="0.25">
      <c r="A4708" s="86">
        <v>4707</v>
      </c>
      <c r="B4708" s="87">
        <v>44.952770389834768</v>
      </c>
      <c r="C4708" s="14">
        <v>2</v>
      </c>
      <c r="D4708" s="86">
        <v>0.84213526877214429</v>
      </c>
      <c r="E4708" s="86"/>
      <c r="F4708" s="14"/>
    </row>
    <row r="4709" spans="1:6" x14ac:dyDescent="0.25">
      <c r="A4709" s="86">
        <v>4708</v>
      </c>
      <c r="B4709" s="87">
        <v>35.532752912666183</v>
      </c>
      <c r="C4709" s="14">
        <v>3</v>
      </c>
      <c r="D4709" s="86">
        <v>1.5788761587806066E-2</v>
      </c>
      <c r="E4709" s="86"/>
      <c r="F4709" s="14"/>
    </row>
    <row r="4710" spans="1:6" x14ac:dyDescent="0.25">
      <c r="A4710" s="86">
        <v>4709</v>
      </c>
      <c r="B4710" s="87">
        <v>47.248795448802412</v>
      </c>
      <c r="C4710" s="14">
        <v>5</v>
      </c>
      <c r="D4710" s="86">
        <v>0.66603751447895188</v>
      </c>
      <c r="E4710" s="86"/>
      <c r="F4710" s="14"/>
    </row>
    <row r="4711" spans="1:6" x14ac:dyDescent="0.25">
      <c r="A4711" s="86">
        <v>4710</v>
      </c>
      <c r="B4711" s="87">
        <v>37.831523508764803</v>
      </c>
      <c r="C4711" s="14">
        <v>2</v>
      </c>
      <c r="D4711" s="86">
        <v>0.90824613414031685</v>
      </c>
      <c r="E4711" s="86"/>
      <c r="F4711" s="14"/>
    </row>
    <row r="4712" spans="1:6" x14ac:dyDescent="0.25">
      <c r="A4712" s="86">
        <v>4711</v>
      </c>
      <c r="B4712" s="87">
        <v>42.452904830832267</v>
      </c>
      <c r="C4712" s="14">
        <v>5</v>
      </c>
      <c r="D4712" s="86">
        <v>0.33275094003077754</v>
      </c>
      <c r="E4712" s="86"/>
      <c r="F4712" s="14"/>
    </row>
    <row r="4713" spans="1:6" x14ac:dyDescent="0.25">
      <c r="A4713" s="86">
        <v>4712</v>
      </c>
      <c r="B4713" s="87">
        <v>52.002565093396697</v>
      </c>
      <c r="C4713" s="14">
        <v>4</v>
      </c>
      <c r="D4713" s="86">
        <v>0.9585264202066921</v>
      </c>
      <c r="E4713" s="86"/>
      <c r="F4713" s="14"/>
    </row>
    <row r="4714" spans="1:6" x14ac:dyDescent="0.25">
      <c r="A4714" s="86">
        <v>4713</v>
      </c>
      <c r="B4714" s="87">
        <v>39.338647179072723</v>
      </c>
      <c r="C4714" s="14">
        <v>1</v>
      </c>
      <c r="D4714" s="86">
        <v>0.26806752982779902</v>
      </c>
      <c r="E4714" s="86"/>
      <c r="F4714" s="14"/>
    </row>
    <row r="4715" spans="1:6" x14ac:dyDescent="0.25">
      <c r="A4715" s="86">
        <v>4714</v>
      </c>
      <c r="B4715" s="87">
        <v>41.181118598949979</v>
      </c>
      <c r="C4715" s="14">
        <v>4</v>
      </c>
      <c r="D4715" s="86">
        <v>0.27818768553454054</v>
      </c>
      <c r="E4715" s="86"/>
      <c r="F4715" s="14"/>
    </row>
    <row r="4716" spans="1:6" x14ac:dyDescent="0.25">
      <c r="A4716" s="86">
        <v>4715</v>
      </c>
      <c r="B4716" s="87">
        <v>46.92817582905991</v>
      </c>
      <c r="C4716" s="14">
        <v>5</v>
      </c>
      <c r="D4716" s="86">
        <v>0.76519527053627523</v>
      </c>
      <c r="E4716" s="86"/>
      <c r="F4716" s="14"/>
    </row>
    <row r="4717" spans="1:6" x14ac:dyDescent="0.25">
      <c r="A4717" s="86">
        <v>4716</v>
      </c>
      <c r="B4717" s="87">
        <v>47.469745817914372</v>
      </c>
      <c r="C4717" s="14">
        <v>2</v>
      </c>
      <c r="D4717" s="86">
        <v>0.29420149253208872</v>
      </c>
      <c r="E4717" s="86"/>
      <c r="F4717" s="14"/>
    </row>
    <row r="4718" spans="1:6" x14ac:dyDescent="0.25">
      <c r="A4718" s="86">
        <v>4717</v>
      </c>
      <c r="B4718" s="87">
        <v>37.550591964070918</v>
      </c>
      <c r="C4718" s="14">
        <v>2</v>
      </c>
      <c r="D4718" s="86">
        <v>0.35725013169181175</v>
      </c>
      <c r="E4718" s="86"/>
      <c r="F4718" s="14"/>
    </row>
    <row r="4719" spans="1:6" x14ac:dyDescent="0.25">
      <c r="A4719" s="86">
        <v>4718</v>
      </c>
      <c r="B4719" s="87">
        <v>41.799586364839342</v>
      </c>
      <c r="C4719" s="14">
        <v>1</v>
      </c>
      <c r="D4719" s="86">
        <v>0.48135509044737057</v>
      </c>
      <c r="E4719" s="86"/>
      <c r="F4719" s="14"/>
    </row>
    <row r="4720" spans="1:6" x14ac:dyDescent="0.25">
      <c r="A4720" s="86">
        <v>4719</v>
      </c>
      <c r="B4720" s="87">
        <v>50.938160706544295</v>
      </c>
      <c r="C4720" s="14">
        <v>2</v>
      </c>
      <c r="D4720" s="86">
        <v>6.1974272624639171E-2</v>
      </c>
      <c r="E4720" s="86"/>
      <c r="F4720" s="14"/>
    </row>
    <row r="4721" spans="1:6" x14ac:dyDescent="0.25">
      <c r="A4721" s="86">
        <v>4720</v>
      </c>
      <c r="B4721" s="87">
        <v>44.84751343113021</v>
      </c>
      <c r="C4721" s="14">
        <v>5</v>
      </c>
      <c r="D4721" s="86">
        <v>0.19754468464215935</v>
      </c>
      <c r="E4721" s="86"/>
      <c r="F4721" s="14"/>
    </row>
    <row r="4722" spans="1:6" x14ac:dyDescent="0.25">
      <c r="A4722" s="86">
        <v>4721</v>
      </c>
      <c r="B4722" s="87">
        <v>36.041387824632693</v>
      </c>
      <c r="C4722" s="14">
        <v>4</v>
      </c>
      <c r="D4722" s="86">
        <v>6.6578791721606523E-2</v>
      </c>
      <c r="E4722" s="86"/>
      <c r="F4722" s="14"/>
    </row>
    <row r="4723" spans="1:6" x14ac:dyDescent="0.25">
      <c r="A4723" s="86">
        <v>4722</v>
      </c>
      <c r="B4723" s="87">
        <v>38.58023091594805</v>
      </c>
      <c r="C4723" s="14">
        <v>5</v>
      </c>
      <c r="D4723" s="86">
        <v>0.220496451236462</v>
      </c>
      <c r="E4723" s="86"/>
      <c r="F4723" s="14"/>
    </row>
    <row r="4724" spans="1:6" x14ac:dyDescent="0.25">
      <c r="A4724" s="86">
        <v>4723</v>
      </c>
      <c r="B4724" s="87">
        <v>59.033300198614597</v>
      </c>
      <c r="C4724" s="14">
        <v>4</v>
      </c>
      <c r="D4724" s="86">
        <v>0.5024285915192449</v>
      </c>
      <c r="E4724" s="86"/>
      <c r="F4724" s="14"/>
    </row>
    <row r="4725" spans="1:6" x14ac:dyDescent="0.25">
      <c r="A4725" s="86">
        <v>4724</v>
      </c>
      <c r="B4725" s="87">
        <v>43.075544903666014</v>
      </c>
      <c r="C4725" s="14">
        <v>2</v>
      </c>
      <c r="D4725" s="86">
        <v>0.77415578335421931</v>
      </c>
      <c r="E4725" s="86"/>
      <c r="F4725" s="14"/>
    </row>
    <row r="4726" spans="1:6" x14ac:dyDescent="0.25">
      <c r="A4726" s="86">
        <v>4725</v>
      </c>
      <c r="B4726" s="87">
        <v>45.319075065315701</v>
      </c>
      <c r="C4726" s="14">
        <v>1</v>
      </c>
      <c r="D4726" s="86">
        <v>0.51048701342650948</v>
      </c>
      <c r="E4726" s="86"/>
      <c r="F4726" s="14"/>
    </row>
    <row r="4727" spans="1:6" x14ac:dyDescent="0.25">
      <c r="A4727" s="86">
        <v>4726</v>
      </c>
      <c r="B4727" s="87">
        <v>34.725985637458507</v>
      </c>
      <c r="C4727" s="14">
        <v>4</v>
      </c>
      <c r="D4727" s="86">
        <v>0.60434453005804767</v>
      </c>
      <c r="E4727" s="86"/>
      <c r="F4727" s="14"/>
    </row>
    <row r="4728" spans="1:6" x14ac:dyDescent="0.25">
      <c r="A4728" s="86">
        <v>4727</v>
      </c>
      <c r="B4728" s="87">
        <v>48.739809694205178</v>
      </c>
      <c r="C4728" s="14">
        <v>3</v>
      </c>
      <c r="D4728" s="86">
        <v>0.67514477148076801</v>
      </c>
      <c r="E4728" s="86"/>
      <c r="F4728" s="14"/>
    </row>
    <row r="4729" spans="1:6" x14ac:dyDescent="0.25">
      <c r="A4729" s="86">
        <v>4728</v>
      </c>
      <c r="B4729" s="87">
        <v>40.155879327692674</v>
      </c>
      <c r="C4729" s="14">
        <v>5</v>
      </c>
      <c r="D4729" s="86">
        <v>0.31780615694531922</v>
      </c>
      <c r="E4729" s="86"/>
      <c r="F4729" s="14"/>
    </row>
    <row r="4730" spans="1:6" x14ac:dyDescent="0.25">
      <c r="A4730" s="86">
        <v>4729</v>
      </c>
      <c r="B4730" s="87">
        <v>47.267485564923845</v>
      </c>
      <c r="C4730" s="14">
        <v>4</v>
      </c>
      <c r="D4730" s="86">
        <v>0.22793004691821583</v>
      </c>
      <c r="E4730" s="86"/>
      <c r="F4730" s="14"/>
    </row>
    <row r="4731" spans="1:6" x14ac:dyDescent="0.25">
      <c r="A4731" s="86">
        <v>4730</v>
      </c>
      <c r="B4731" s="87">
        <v>39.947883573739091</v>
      </c>
      <c r="C4731" s="14">
        <v>5</v>
      </c>
      <c r="D4731" s="86">
        <v>0.2205456287703903</v>
      </c>
      <c r="E4731" s="86"/>
      <c r="F4731" s="14"/>
    </row>
    <row r="4732" spans="1:6" x14ac:dyDescent="0.25">
      <c r="A4732" s="86">
        <v>4731</v>
      </c>
      <c r="B4732" s="87">
        <v>42.824206042831065</v>
      </c>
      <c r="C4732" s="14">
        <v>2</v>
      </c>
      <c r="D4732" s="86">
        <v>0.34362715123108434</v>
      </c>
      <c r="E4732" s="86"/>
      <c r="F4732" s="14"/>
    </row>
    <row r="4733" spans="1:6" x14ac:dyDescent="0.25">
      <c r="A4733" s="86">
        <v>4732</v>
      </c>
      <c r="B4733" s="87">
        <v>42.071542333695106</v>
      </c>
      <c r="C4733" s="14">
        <v>2</v>
      </c>
      <c r="D4733" s="86">
        <v>0.73693834745864395</v>
      </c>
      <c r="E4733" s="86"/>
      <c r="F4733" s="14"/>
    </row>
    <row r="4734" spans="1:6" x14ac:dyDescent="0.25">
      <c r="A4734" s="86">
        <v>4733</v>
      </c>
      <c r="B4734" s="87">
        <v>33.640480973524973</v>
      </c>
      <c r="C4734" s="14">
        <v>5</v>
      </c>
      <c r="D4734" s="86">
        <v>0.81284535312108352</v>
      </c>
      <c r="E4734" s="86"/>
      <c r="F4734" s="14"/>
    </row>
    <row r="4735" spans="1:6" x14ac:dyDescent="0.25">
      <c r="A4735" s="86">
        <v>4734</v>
      </c>
      <c r="B4735" s="87">
        <v>49.195091373228934</v>
      </c>
      <c r="C4735" s="14">
        <v>1</v>
      </c>
      <c r="D4735" s="86">
        <v>0.58569747958079366</v>
      </c>
      <c r="E4735" s="86"/>
      <c r="F4735" s="14"/>
    </row>
    <row r="4736" spans="1:6" x14ac:dyDescent="0.25">
      <c r="A4736" s="86">
        <v>4735</v>
      </c>
      <c r="B4736" s="87">
        <v>50.43591499485774</v>
      </c>
      <c r="C4736" s="14">
        <v>2</v>
      </c>
      <c r="D4736" s="86">
        <v>0.64283885103934257</v>
      </c>
      <c r="E4736" s="86"/>
      <c r="F4736" s="14"/>
    </row>
    <row r="4737" spans="1:6" x14ac:dyDescent="0.25">
      <c r="A4737" s="86">
        <v>4736</v>
      </c>
      <c r="B4737" s="87">
        <v>42.965768893162021</v>
      </c>
      <c r="C4737" s="14">
        <v>4</v>
      </c>
      <c r="D4737" s="86">
        <v>0.45781753476428033</v>
      </c>
      <c r="E4737" s="86"/>
      <c r="F4737" s="14"/>
    </row>
    <row r="4738" spans="1:6" x14ac:dyDescent="0.25">
      <c r="A4738" s="86">
        <v>4737</v>
      </c>
      <c r="B4738" s="87">
        <v>44.028661245072726</v>
      </c>
      <c r="C4738" s="14">
        <v>1</v>
      </c>
      <c r="D4738" s="86">
        <v>0.99689232852310949</v>
      </c>
      <c r="E4738" s="86"/>
      <c r="F4738" s="14"/>
    </row>
    <row r="4739" spans="1:6" x14ac:dyDescent="0.25">
      <c r="A4739" s="86">
        <v>4738</v>
      </c>
      <c r="B4739" s="87">
        <v>54.567863111849874</v>
      </c>
      <c r="C4739" s="14">
        <v>1</v>
      </c>
      <c r="D4739" s="86">
        <v>0.24504506332794818</v>
      </c>
      <c r="E4739" s="86"/>
      <c r="F4739" s="14"/>
    </row>
    <row r="4740" spans="1:6" x14ac:dyDescent="0.25">
      <c r="A4740" s="86">
        <v>4739</v>
      </c>
      <c r="B4740" s="87">
        <v>39.884037045674631</v>
      </c>
      <c r="C4740" s="14">
        <v>4</v>
      </c>
      <c r="D4740" s="86">
        <v>7.4382039770033437E-2</v>
      </c>
      <c r="E4740" s="86"/>
      <c r="F4740" s="14"/>
    </row>
    <row r="4741" spans="1:6" x14ac:dyDescent="0.25">
      <c r="A4741" s="86">
        <v>4740</v>
      </c>
      <c r="B4741" s="87">
        <v>53.27929101837799</v>
      </c>
      <c r="C4741" s="14">
        <v>1</v>
      </c>
      <c r="D4741" s="86">
        <v>3.392516183616423E-2</v>
      </c>
      <c r="E4741" s="86"/>
      <c r="F4741" s="14"/>
    </row>
    <row r="4742" spans="1:6" x14ac:dyDescent="0.25">
      <c r="A4742" s="86">
        <v>4741</v>
      </c>
      <c r="B4742" s="87">
        <v>43.774770114730927</v>
      </c>
      <c r="C4742" s="14">
        <v>4</v>
      </c>
      <c r="D4742" s="86">
        <v>0.36344795184737144</v>
      </c>
      <c r="E4742" s="86"/>
      <c r="F4742" s="14"/>
    </row>
    <row r="4743" spans="1:6" x14ac:dyDescent="0.25">
      <c r="A4743" s="86">
        <v>4742</v>
      </c>
      <c r="B4743" s="87">
        <v>36.175856616289821</v>
      </c>
      <c r="C4743" s="14">
        <v>4</v>
      </c>
      <c r="D4743" s="86">
        <v>0.59775850146378862</v>
      </c>
      <c r="E4743" s="86"/>
      <c r="F4743" s="14"/>
    </row>
    <row r="4744" spans="1:6" x14ac:dyDescent="0.25">
      <c r="A4744" s="86">
        <v>4743</v>
      </c>
      <c r="B4744" s="87">
        <v>49.406628472177545</v>
      </c>
      <c r="C4744" s="14">
        <v>2</v>
      </c>
      <c r="D4744" s="86">
        <v>0.25857851297585521</v>
      </c>
      <c r="E4744" s="86"/>
      <c r="F4744" s="14"/>
    </row>
    <row r="4745" spans="1:6" x14ac:dyDescent="0.25">
      <c r="A4745" s="86">
        <v>4744</v>
      </c>
      <c r="B4745" s="87">
        <v>38.992698131885845</v>
      </c>
      <c r="C4745" s="14">
        <v>4</v>
      </c>
      <c r="D4745" s="86">
        <v>0.68301098574952013</v>
      </c>
      <c r="E4745" s="86"/>
      <c r="F4745" s="14"/>
    </row>
    <row r="4746" spans="1:6" x14ac:dyDescent="0.25">
      <c r="A4746" s="86">
        <v>4745</v>
      </c>
      <c r="B4746" s="87">
        <v>46.725665465026395</v>
      </c>
      <c r="C4746" s="14">
        <v>2</v>
      </c>
      <c r="D4746" s="86">
        <v>0.14262358571261313</v>
      </c>
      <c r="E4746" s="86"/>
      <c r="F4746" s="14"/>
    </row>
    <row r="4747" spans="1:6" x14ac:dyDescent="0.25">
      <c r="A4747" s="86">
        <v>4746</v>
      </c>
      <c r="B4747" s="87">
        <v>48.08949824506999</v>
      </c>
      <c r="C4747" s="14">
        <v>2</v>
      </c>
      <c r="D4747" s="86">
        <v>0.34239911253254374</v>
      </c>
      <c r="E4747" s="86"/>
      <c r="F4747" s="14"/>
    </row>
    <row r="4748" spans="1:6" x14ac:dyDescent="0.25">
      <c r="A4748" s="86">
        <v>4747</v>
      </c>
      <c r="B4748" s="87">
        <v>37.592656094027916</v>
      </c>
      <c r="C4748" s="14">
        <v>5</v>
      </c>
      <c r="D4748" s="86">
        <v>0.16722881541873735</v>
      </c>
      <c r="E4748" s="86"/>
      <c r="F4748" s="14"/>
    </row>
    <row r="4749" spans="1:6" x14ac:dyDescent="0.25">
      <c r="A4749" s="86">
        <v>4748</v>
      </c>
      <c r="B4749" s="87">
        <v>48.610161224467447</v>
      </c>
      <c r="C4749" s="14">
        <v>2</v>
      </c>
      <c r="D4749" s="86">
        <v>0.18870681281242108</v>
      </c>
      <c r="E4749" s="86"/>
      <c r="F4749" s="14"/>
    </row>
    <row r="4750" spans="1:6" x14ac:dyDescent="0.25">
      <c r="A4750" s="86">
        <v>4749</v>
      </c>
      <c r="B4750" s="87">
        <v>48.705942385247909</v>
      </c>
      <c r="C4750" s="14">
        <v>1</v>
      </c>
      <c r="D4750" s="86">
        <v>0.21028889322824029</v>
      </c>
      <c r="E4750" s="86"/>
      <c r="F4750" s="14"/>
    </row>
    <row r="4751" spans="1:6" x14ac:dyDescent="0.25">
      <c r="A4751" s="86">
        <v>4750</v>
      </c>
      <c r="B4751" s="87">
        <v>45.688108224901953</v>
      </c>
      <c r="C4751" s="14">
        <v>2</v>
      </c>
      <c r="D4751" s="86">
        <v>0.36321073915191016</v>
      </c>
      <c r="E4751" s="86"/>
      <c r="F4751" s="14"/>
    </row>
    <row r="4752" spans="1:6" x14ac:dyDescent="0.25">
      <c r="A4752" s="86">
        <v>4751</v>
      </c>
      <c r="B4752" s="87">
        <v>50.061839824018534</v>
      </c>
      <c r="C4752" s="14">
        <v>1</v>
      </c>
      <c r="D4752" s="86">
        <v>1.807192049050077E-2</v>
      </c>
      <c r="E4752" s="86"/>
      <c r="F4752" s="14"/>
    </row>
    <row r="4753" spans="1:6" x14ac:dyDescent="0.25">
      <c r="A4753" s="86">
        <v>4752</v>
      </c>
      <c r="B4753" s="87">
        <v>49.822187970101368</v>
      </c>
      <c r="C4753" s="14">
        <v>4</v>
      </c>
      <c r="D4753" s="86">
        <v>0.59725396296057409</v>
      </c>
      <c r="E4753" s="86"/>
      <c r="F4753" s="14"/>
    </row>
    <row r="4754" spans="1:6" x14ac:dyDescent="0.25">
      <c r="A4754" s="86">
        <v>4753</v>
      </c>
      <c r="B4754" s="87">
        <v>38.505675087770214</v>
      </c>
      <c r="C4754" s="14">
        <v>1</v>
      </c>
      <c r="D4754" s="86">
        <v>0.20859012212783912</v>
      </c>
      <c r="E4754" s="86"/>
      <c r="F4754" s="14"/>
    </row>
    <row r="4755" spans="1:6" x14ac:dyDescent="0.25">
      <c r="A4755" s="86">
        <v>4754</v>
      </c>
      <c r="B4755" s="87">
        <v>44.271791916224174</v>
      </c>
      <c r="C4755" s="14">
        <v>1</v>
      </c>
      <c r="D4755" s="86">
        <v>0.84552673414852075</v>
      </c>
      <c r="E4755" s="86"/>
      <c r="F4755" s="14"/>
    </row>
    <row r="4756" spans="1:6" x14ac:dyDescent="0.25">
      <c r="A4756" s="86">
        <v>4755</v>
      </c>
      <c r="B4756" s="87">
        <v>39.572239524539327</v>
      </c>
      <c r="C4756" s="14">
        <v>2</v>
      </c>
      <c r="D4756" s="86">
        <v>0.62060122707065724</v>
      </c>
      <c r="E4756" s="86"/>
      <c r="F4756" s="14"/>
    </row>
    <row r="4757" spans="1:6" x14ac:dyDescent="0.25">
      <c r="A4757" s="86">
        <v>4756</v>
      </c>
      <c r="B4757" s="87">
        <v>41.640305420849472</v>
      </c>
      <c r="C4757" s="14">
        <v>5</v>
      </c>
      <c r="D4757" s="86">
        <v>0.82733891715264507</v>
      </c>
      <c r="E4757" s="86"/>
      <c r="F4757" s="14"/>
    </row>
    <row r="4758" spans="1:6" x14ac:dyDescent="0.25">
      <c r="A4758" s="86">
        <v>4757</v>
      </c>
      <c r="B4758" s="87">
        <v>49.36426875644247</v>
      </c>
      <c r="C4758" s="14">
        <v>5</v>
      </c>
      <c r="D4758" s="86">
        <v>0.23080829238300526</v>
      </c>
      <c r="E4758" s="86"/>
      <c r="F4758" s="14"/>
    </row>
    <row r="4759" spans="1:6" x14ac:dyDescent="0.25">
      <c r="A4759" s="86">
        <v>4758</v>
      </c>
      <c r="B4759" s="87">
        <v>42.391292249129037</v>
      </c>
      <c r="C4759" s="14">
        <v>5</v>
      </c>
      <c r="D4759" s="86">
        <v>0.93260758002136546</v>
      </c>
      <c r="E4759" s="86"/>
      <c r="F4759" s="14"/>
    </row>
    <row r="4760" spans="1:6" x14ac:dyDescent="0.25">
      <c r="A4760" s="86">
        <v>4759</v>
      </c>
      <c r="B4760" s="87">
        <v>41.353746377688367</v>
      </c>
      <c r="C4760" s="14">
        <v>1</v>
      </c>
      <c r="D4760" s="86">
        <v>0.3695794269878856</v>
      </c>
      <c r="E4760" s="86"/>
      <c r="F4760" s="14"/>
    </row>
    <row r="4761" spans="1:6" x14ac:dyDescent="0.25">
      <c r="A4761" s="86">
        <v>4760</v>
      </c>
      <c r="B4761" s="87">
        <v>31.524632499320433</v>
      </c>
      <c r="C4761" s="14">
        <v>2</v>
      </c>
      <c r="D4761" s="86">
        <v>0.1004519485129538</v>
      </c>
      <c r="E4761" s="86"/>
      <c r="F4761" s="14"/>
    </row>
    <row r="4762" spans="1:6" x14ac:dyDescent="0.25">
      <c r="A4762" s="86">
        <v>4761</v>
      </c>
      <c r="B4762" s="87">
        <v>55.504096957854927</v>
      </c>
      <c r="C4762" s="14">
        <v>4</v>
      </c>
      <c r="D4762" s="86">
        <v>0.13514678201199448</v>
      </c>
      <c r="E4762" s="86"/>
      <c r="F4762" s="14"/>
    </row>
    <row r="4763" spans="1:6" x14ac:dyDescent="0.25">
      <c r="A4763" s="86">
        <v>4762</v>
      </c>
      <c r="B4763" s="87">
        <v>43.575965941607137</v>
      </c>
      <c r="C4763" s="14">
        <v>5</v>
      </c>
      <c r="D4763" s="86">
        <v>0.41616797575310893</v>
      </c>
      <c r="E4763" s="86"/>
      <c r="F4763" s="14"/>
    </row>
    <row r="4764" spans="1:6" x14ac:dyDescent="0.25">
      <c r="A4764" s="86">
        <v>4763</v>
      </c>
      <c r="B4764" s="87">
        <v>39.809378899342846</v>
      </c>
      <c r="C4764" s="14">
        <v>4</v>
      </c>
      <c r="D4764" s="86">
        <v>0.9206618133116965</v>
      </c>
      <c r="E4764" s="86"/>
      <c r="F4764" s="14"/>
    </row>
    <row r="4765" spans="1:6" x14ac:dyDescent="0.25">
      <c r="A4765" s="86">
        <v>4764</v>
      </c>
      <c r="B4765" s="87">
        <v>48.742026587540749</v>
      </c>
      <c r="C4765" s="14">
        <v>4</v>
      </c>
      <c r="D4765" s="86">
        <v>0.54066901249436683</v>
      </c>
      <c r="E4765" s="86"/>
      <c r="F4765" s="14"/>
    </row>
    <row r="4766" spans="1:6" x14ac:dyDescent="0.25">
      <c r="A4766" s="86">
        <v>4765</v>
      </c>
      <c r="B4766" s="87">
        <v>44.597470600245288</v>
      </c>
      <c r="C4766" s="14">
        <v>4</v>
      </c>
      <c r="D4766" s="86">
        <v>0.47866090117585947</v>
      </c>
      <c r="E4766" s="86"/>
      <c r="F4766" s="14"/>
    </row>
    <row r="4767" spans="1:6" x14ac:dyDescent="0.25">
      <c r="A4767" s="86">
        <v>4766</v>
      </c>
      <c r="B4767" s="87">
        <v>42.914507498033345</v>
      </c>
      <c r="C4767" s="14">
        <v>4</v>
      </c>
      <c r="D4767" s="86">
        <v>0.15777056616522833</v>
      </c>
      <c r="E4767" s="86"/>
      <c r="F4767" s="14"/>
    </row>
    <row r="4768" spans="1:6" x14ac:dyDescent="0.25">
      <c r="A4768" s="86">
        <v>4767</v>
      </c>
      <c r="B4768" s="87">
        <v>41.272357970563462</v>
      </c>
      <c r="C4768" s="14">
        <v>4</v>
      </c>
      <c r="D4768" s="86">
        <v>0.96293643598827905</v>
      </c>
      <c r="E4768" s="86"/>
      <c r="F4768" s="14"/>
    </row>
    <row r="4769" spans="1:6" x14ac:dyDescent="0.25">
      <c r="A4769" s="86">
        <v>4768</v>
      </c>
      <c r="B4769" s="87">
        <v>40.627980974357342</v>
      </c>
      <c r="C4769" s="14">
        <v>2</v>
      </c>
      <c r="D4769" s="86">
        <v>0.857929452355775</v>
      </c>
      <c r="E4769" s="86"/>
      <c r="F4769" s="14"/>
    </row>
    <row r="4770" spans="1:6" x14ac:dyDescent="0.25">
      <c r="A4770" s="86">
        <v>4769</v>
      </c>
      <c r="B4770" s="87">
        <v>40.010320385015802</v>
      </c>
      <c r="C4770" s="14">
        <v>1</v>
      </c>
      <c r="D4770" s="86">
        <v>0.74672789985261123</v>
      </c>
      <c r="E4770" s="86"/>
      <c r="F4770" s="14"/>
    </row>
    <row r="4771" spans="1:6" x14ac:dyDescent="0.25">
      <c r="A4771" s="86">
        <v>4770</v>
      </c>
      <c r="B4771" s="87">
        <v>49.37804760117433</v>
      </c>
      <c r="C4771" s="14">
        <v>4</v>
      </c>
      <c r="D4771" s="86">
        <v>0.91033663255461761</v>
      </c>
      <c r="E4771" s="86"/>
      <c r="F4771" s="14"/>
    </row>
    <row r="4772" spans="1:6" x14ac:dyDescent="0.25">
      <c r="A4772" s="86">
        <v>4771</v>
      </c>
      <c r="B4772" s="87">
        <v>38.97421265207231</v>
      </c>
      <c r="C4772" s="14">
        <v>1</v>
      </c>
      <c r="D4772" s="86">
        <v>0.17545411431001356</v>
      </c>
      <c r="E4772" s="86"/>
      <c r="F4772" s="14"/>
    </row>
    <row r="4773" spans="1:6" x14ac:dyDescent="0.25">
      <c r="A4773" s="86">
        <v>4772</v>
      </c>
      <c r="B4773" s="87">
        <v>38.997961832472356</v>
      </c>
      <c r="C4773" s="14">
        <v>5</v>
      </c>
      <c r="D4773" s="86">
        <v>0.90337737222239345</v>
      </c>
      <c r="E4773" s="86"/>
      <c r="F4773" s="14"/>
    </row>
    <row r="4774" spans="1:6" x14ac:dyDescent="0.25">
      <c r="A4774" s="86">
        <v>4773</v>
      </c>
      <c r="B4774" s="87">
        <v>42.285569174389821</v>
      </c>
      <c r="C4774" s="14">
        <v>2</v>
      </c>
      <c r="D4774" s="86">
        <v>0.49768243611382978</v>
      </c>
      <c r="E4774" s="86"/>
      <c r="F4774" s="14"/>
    </row>
    <row r="4775" spans="1:6" x14ac:dyDescent="0.25">
      <c r="A4775" s="86">
        <v>4774</v>
      </c>
      <c r="B4775" s="87">
        <v>41.920890220688307</v>
      </c>
      <c r="C4775" s="14">
        <v>5</v>
      </c>
      <c r="D4775" s="86">
        <v>0.88586687644426521</v>
      </c>
      <c r="E4775" s="86"/>
      <c r="F4775" s="14"/>
    </row>
    <row r="4776" spans="1:6" x14ac:dyDescent="0.25">
      <c r="A4776" s="86">
        <v>4775</v>
      </c>
      <c r="B4776" s="87">
        <v>49.015341114107287</v>
      </c>
      <c r="C4776" s="14">
        <v>4</v>
      </c>
      <c r="D4776" s="86">
        <v>0.27940058901605891</v>
      </c>
      <c r="E4776" s="86"/>
      <c r="F4776" s="14"/>
    </row>
    <row r="4777" spans="1:6" x14ac:dyDescent="0.25">
      <c r="A4777" s="86">
        <v>4776</v>
      </c>
      <c r="B4777" s="87">
        <v>45.206775207014289</v>
      </c>
      <c r="C4777" s="14">
        <v>4</v>
      </c>
      <c r="D4777" s="86">
        <v>9.0887059373233381E-2</v>
      </c>
      <c r="E4777" s="86"/>
      <c r="F4777" s="14"/>
    </row>
    <row r="4778" spans="1:6" x14ac:dyDescent="0.25">
      <c r="A4778" s="86">
        <v>4777</v>
      </c>
      <c r="B4778" s="87">
        <v>38.085875070799375</v>
      </c>
      <c r="C4778" s="14">
        <v>2</v>
      </c>
      <c r="D4778" s="86">
        <v>9.978016127457956E-2</v>
      </c>
      <c r="E4778" s="86"/>
      <c r="F4778" s="14"/>
    </row>
    <row r="4779" spans="1:6" x14ac:dyDescent="0.25">
      <c r="A4779" s="86">
        <v>4778</v>
      </c>
      <c r="B4779" s="87">
        <v>40.675820395670598</v>
      </c>
      <c r="C4779" s="14">
        <v>4</v>
      </c>
      <c r="D4779" s="86">
        <v>0.10675280721466573</v>
      </c>
      <c r="E4779" s="86"/>
      <c r="F4779" s="14"/>
    </row>
    <row r="4780" spans="1:6" x14ac:dyDescent="0.25">
      <c r="A4780" s="86">
        <v>4779</v>
      </c>
      <c r="B4780" s="87">
        <v>49.679454145341879</v>
      </c>
      <c r="C4780" s="14">
        <v>5</v>
      </c>
      <c r="D4780" s="86">
        <v>3.6275844210450492E-3</v>
      </c>
      <c r="E4780" s="86"/>
      <c r="F4780" s="14"/>
    </row>
    <row r="4781" spans="1:6" x14ac:dyDescent="0.25">
      <c r="A4781" s="86">
        <v>4780</v>
      </c>
      <c r="B4781" s="87">
        <v>43.652659082334139</v>
      </c>
      <c r="C4781" s="14">
        <v>2</v>
      </c>
      <c r="D4781" s="86">
        <v>0.34659462139558428</v>
      </c>
      <c r="E4781" s="86"/>
      <c r="F4781" s="14"/>
    </row>
    <row r="4782" spans="1:6" x14ac:dyDescent="0.25">
      <c r="A4782" s="86">
        <v>4781</v>
      </c>
      <c r="B4782" s="87">
        <v>37.033271377702476</v>
      </c>
      <c r="C4782" s="14">
        <v>2</v>
      </c>
      <c r="D4782" s="86">
        <v>0.26123698962411268</v>
      </c>
      <c r="E4782" s="86"/>
      <c r="F4782" s="14"/>
    </row>
    <row r="4783" spans="1:6" x14ac:dyDescent="0.25">
      <c r="A4783" s="86">
        <v>4782</v>
      </c>
      <c r="B4783" s="87">
        <v>40.406439433689229</v>
      </c>
      <c r="C4783" s="14">
        <v>2</v>
      </c>
      <c r="D4783" s="86">
        <v>0.15367039973235141</v>
      </c>
      <c r="E4783" s="86"/>
      <c r="F4783" s="14"/>
    </row>
    <row r="4784" spans="1:6" x14ac:dyDescent="0.25">
      <c r="A4784" s="86">
        <v>4783</v>
      </c>
      <c r="B4784" s="87">
        <v>43.47173784878396</v>
      </c>
      <c r="C4784" s="14">
        <v>4</v>
      </c>
      <c r="D4784" s="86">
        <v>0.85004434891763703</v>
      </c>
      <c r="E4784" s="86"/>
      <c r="F4784" s="14"/>
    </row>
    <row r="4785" spans="1:6" x14ac:dyDescent="0.25">
      <c r="A4785" s="86">
        <v>4784</v>
      </c>
      <c r="B4785" s="87">
        <v>45.144548716387362</v>
      </c>
      <c r="C4785" s="14">
        <v>5</v>
      </c>
      <c r="D4785" s="86">
        <v>0.86031516997515611</v>
      </c>
      <c r="E4785" s="86"/>
      <c r="F4785" s="14"/>
    </row>
    <row r="4786" spans="1:6" x14ac:dyDescent="0.25">
      <c r="A4786" s="86">
        <v>4785</v>
      </c>
      <c r="B4786" s="87">
        <v>44.764226453815354</v>
      </c>
      <c r="C4786" s="14">
        <v>5</v>
      </c>
      <c r="D4786" s="86">
        <v>0.41610091307939989</v>
      </c>
      <c r="E4786" s="86"/>
      <c r="F4786" s="14"/>
    </row>
    <row r="4787" spans="1:6" x14ac:dyDescent="0.25">
      <c r="A4787" s="86">
        <v>4786</v>
      </c>
      <c r="B4787" s="87">
        <v>43.78638322520419</v>
      </c>
      <c r="C4787" s="14">
        <v>5</v>
      </c>
      <c r="D4787" s="86">
        <v>0.57641585129357398</v>
      </c>
      <c r="E4787" s="86"/>
      <c r="F4787" s="14"/>
    </row>
    <row r="4788" spans="1:6" x14ac:dyDescent="0.25">
      <c r="A4788" s="86">
        <v>4787</v>
      </c>
      <c r="B4788" s="87">
        <v>33.801006788387895</v>
      </c>
      <c r="C4788" s="14">
        <v>2</v>
      </c>
      <c r="D4788" s="86">
        <v>0.90738565778635571</v>
      </c>
      <c r="E4788" s="86"/>
      <c r="F4788" s="14"/>
    </row>
    <row r="4789" spans="1:6" x14ac:dyDescent="0.25">
      <c r="A4789" s="86">
        <v>4788</v>
      </c>
      <c r="B4789" s="87">
        <v>36.407300280523486</v>
      </c>
      <c r="C4789" s="14">
        <v>4</v>
      </c>
      <c r="D4789" s="86">
        <v>5.5333940931132863E-2</v>
      </c>
      <c r="E4789" s="86"/>
      <c r="F4789" s="14"/>
    </row>
    <row r="4790" spans="1:6" x14ac:dyDescent="0.25">
      <c r="A4790" s="86">
        <v>4789</v>
      </c>
      <c r="B4790" s="87">
        <v>41.490432062681066</v>
      </c>
      <c r="C4790" s="14">
        <v>2</v>
      </c>
      <c r="D4790" s="86">
        <v>0.83045483825261601</v>
      </c>
      <c r="E4790" s="86"/>
      <c r="F4790" s="14"/>
    </row>
    <row r="4791" spans="1:6" x14ac:dyDescent="0.25">
      <c r="A4791" s="86">
        <v>4790</v>
      </c>
      <c r="B4791" s="87">
        <v>51.212964530684985</v>
      </c>
      <c r="C4791" s="14">
        <v>4</v>
      </c>
      <c r="D4791" s="86">
        <v>0.28705768491683659</v>
      </c>
      <c r="E4791" s="86"/>
      <c r="F4791" s="14"/>
    </row>
    <row r="4792" spans="1:6" x14ac:dyDescent="0.25">
      <c r="A4792" s="86">
        <v>4791</v>
      </c>
      <c r="B4792" s="87">
        <v>50.242715582833625</v>
      </c>
      <c r="C4792" s="14">
        <v>4</v>
      </c>
      <c r="D4792" s="86">
        <v>0.76179963238077208</v>
      </c>
      <c r="E4792" s="86"/>
      <c r="F4792" s="14"/>
    </row>
    <row r="4793" spans="1:6" x14ac:dyDescent="0.25">
      <c r="A4793" s="86">
        <v>4792</v>
      </c>
      <c r="B4793" s="87">
        <v>43.295648305836949</v>
      </c>
      <c r="C4793" s="14">
        <v>4</v>
      </c>
      <c r="D4793" s="86">
        <v>0.61547551954230451</v>
      </c>
      <c r="E4793" s="86"/>
      <c r="F4793" s="14"/>
    </row>
    <row r="4794" spans="1:6" x14ac:dyDescent="0.25">
      <c r="A4794" s="86">
        <v>4793</v>
      </c>
      <c r="B4794" s="87">
        <v>50.606627150380518</v>
      </c>
      <c r="C4794" s="14">
        <v>1</v>
      </c>
      <c r="D4794" s="86">
        <v>0.69744258007680004</v>
      </c>
      <c r="E4794" s="86"/>
      <c r="F4794" s="14"/>
    </row>
    <row r="4795" spans="1:6" x14ac:dyDescent="0.25">
      <c r="A4795" s="86">
        <v>4794</v>
      </c>
      <c r="B4795" s="87">
        <v>39.340648067416623</v>
      </c>
      <c r="C4795" s="14">
        <v>2</v>
      </c>
      <c r="D4795" s="86">
        <v>4.627033102147593E-2</v>
      </c>
      <c r="E4795" s="86"/>
      <c r="F4795" s="14"/>
    </row>
    <row r="4796" spans="1:6" x14ac:dyDescent="0.25">
      <c r="A4796" s="86">
        <v>4795</v>
      </c>
      <c r="B4796" s="87">
        <v>47.31058424510411</v>
      </c>
      <c r="C4796" s="14">
        <v>4</v>
      </c>
      <c r="D4796" s="86">
        <v>0.18526170257796881</v>
      </c>
      <c r="E4796" s="86"/>
      <c r="F4796" s="14"/>
    </row>
    <row r="4797" spans="1:6" x14ac:dyDescent="0.25">
      <c r="A4797" s="86">
        <v>4796</v>
      </c>
      <c r="B4797" s="87">
        <v>31.732815836556256</v>
      </c>
      <c r="C4797" s="14">
        <v>2</v>
      </c>
      <c r="D4797" s="86">
        <v>0.9803048864988837</v>
      </c>
      <c r="E4797" s="86"/>
      <c r="F4797" s="14"/>
    </row>
    <row r="4798" spans="1:6" x14ac:dyDescent="0.25">
      <c r="A4798" s="86">
        <v>4797</v>
      </c>
      <c r="B4798" s="87">
        <v>38.221094195585465</v>
      </c>
      <c r="C4798" s="14">
        <v>2</v>
      </c>
      <c r="D4798" s="86">
        <v>0.85520776360469175</v>
      </c>
      <c r="E4798" s="86"/>
      <c r="F4798" s="14"/>
    </row>
    <row r="4799" spans="1:6" x14ac:dyDescent="0.25">
      <c r="A4799" s="86">
        <v>4798</v>
      </c>
      <c r="B4799" s="87">
        <v>38.654923168331152</v>
      </c>
      <c r="C4799" s="14">
        <v>2</v>
      </c>
      <c r="D4799" s="86">
        <v>0.34613548063836175</v>
      </c>
      <c r="E4799" s="86"/>
      <c r="F4799" s="14"/>
    </row>
    <row r="4800" spans="1:6" x14ac:dyDescent="0.25">
      <c r="A4800" s="86">
        <v>4799</v>
      </c>
      <c r="B4800" s="87">
        <v>45.079309524560813</v>
      </c>
      <c r="C4800" s="14">
        <v>3</v>
      </c>
      <c r="D4800" s="86">
        <v>0.12805401461607668</v>
      </c>
      <c r="E4800" s="86"/>
      <c r="F4800" s="14"/>
    </row>
    <row r="4801" spans="1:6" x14ac:dyDescent="0.25">
      <c r="A4801" s="86">
        <v>4800</v>
      </c>
      <c r="B4801" s="87">
        <v>35.775792634347454</v>
      </c>
      <c r="C4801" s="14">
        <v>4</v>
      </c>
      <c r="D4801" s="86">
        <v>0.98634239248514655</v>
      </c>
      <c r="E4801" s="86"/>
      <c r="F4801" s="14"/>
    </row>
    <row r="4802" spans="1:6" x14ac:dyDescent="0.25">
      <c r="A4802" s="86">
        <v>4801</v>
      </c>
      <c r="B4802" s="87">
        <v>44.052109155352809</v>
      </c>
      <c r="C4802" s="14">
        <v>5</v>
      </c>
      <c r="D4802" s="86">
        <v>7.2963870173432532E-2</v>
      </c>
      <c r="E4802" s="86"/>
      <c r="F4802" s="14"/>
    </row>
    <row r="4803" spans="1:6" x14ac:dyDescent="0.25">
      <c r="A4803" s="86">
        <v>4802</v>
      </c>
      <c r="B4803" s="87">
        <v>45.506874352548039</v>
      </c>
      <c r="C4803" s="14">
        <v>1</v>
      </c>
      <c r="D4803" s="86">
        <v>0.24614975355168167</v>
      </c>
      <c r="E4803" s="86"/>
      <c r="F4803" s="14"/>
    </row>
    <row r="4804" spans="1:6" x14ac:dyDescent="0.25">
      <c r="A4804" s="86">
        <v>4803</v>
      </c>
      <c r="B4804" s="87">
        <v>40.626269987449632</v>
      </c>
      <c r="C4804" s="14">
        <v>4</v>
      </c>
      <c r="D4804" s="86">
        <v>0.47979946753877711</v>
      </c>
      <c r="E4804" s="86"/>
      <c r="F4804" s="14"/>
    </row>
    <row r="4805" spans="1:6" x14ac:dyDescent="0.25">
      <c r="A4805" s="86">
        <v>4804</v>
      </c>
      <c r="B4805" s="87">
        <v>43.125277210827335</v>
      </c>
      <c r="C4805" s="14">
        <v>4</v>
      </c>
      <c r="D4805" s="86">
        <v>0.50071595125066259</v>
      </c>
      <c r="E4805" s="86"/>
      <c r="F4805" s="14"/>
    </row>
    <row r="4806" spans="1:6" x14ac:dyDescent="0.25">
      <c r="A4806" s="86">
        <v>4805</v>
      </c>
      <c r="B4806" s="87">
        <v>42.437125097756507</v>
      </c>
      <c r="C4806" s="14">
        <v>4</v>
      </c>
      <c r="D4806" s="86">
        <v>0.52229860726083743</v>
      </c>
      <c r="E4806" s="86"/>
      <c r="F4806" s="14"/>
    </row>
    <row r="4807" spans="1:6" x14ac:dyDescent="0.25">
      <c r="A4807" s="86">
        <v>4806</v>
      </c>
      <c r="B4807" s="87">
        <v>41.230072151272907</v>
      </c>
      <c r="C4807" s="14">
        <v>4</v>
      </c>
      <c r="D4807" s="86">
        <v>0.31974248172936537</v>
      </c>
      <c r="E4807" s="86"/>
      <c r="F4807" s="14"/>
    </row>
    <row r="4808" spans="1:6" x14ac:dyDescent="0.25">
      <c r="A4808" s="86">
        <v>4807</v>
      </c>
      <c r="B4808" s="87">
        <v>53.93876562663354</v>
      </c>
      <c r="C4808" s="14">
        <v>2</v>
      </c>
      <c r="D4808" s="86">
        <v>0.80762264011162177</v>
      </c>
      <c r="E4808" s="86"/>
      <c r="F4808" s="14"/>
    </row>
    <row r="4809" spans="1:6" x14ac:dyDescent="0.25">
      <c r="A4809" s="86">
        <v>4808</v>
      </c>
      <c r="B4809" s="87">
        <v>48.723575213778531</v>
      </c>
      <c r="C4809" s="14">
        <v>4</v>
      </c>
      <c r="D4809" s="86">
        <v>0.13042011025698041</v>
      </c>
      <c r="E4809" s="86"/>
      <c r="F4809" s="14"/>
    </row>
    <row r="4810" spans="1:6" x14ac:dyDescent="0.25">
      <c r="A4810" s="86">
        <v>4809</v>
      </c>
      <c r="B4810" s="87">
        <v>35.11929662124021</v>
      </c>
      <c r="C4810" s="14">
        <v>5</v>
      </c>
      <c r="D4810" s="86">
        <v>0.39251548546146076</v>
      </c>
      <c r="E4810" s="86"/>
      <c r="F4810" s="14"/>
    </row>
    <row r="4811" spans="1:6" x14ac:dyDescent="0.25">
      <c r="A4811" s="86">
        <v>4810</v>
      </c>
      <c r="B4811" s="87">
        <v>35.852076502458658</v>
      </c>
      <c r="C4811" s="14">
        <v>3</v>
      </c>
      <c r="D4811" s="86">
        <v>0.90805390177443612</v>
      </c>
      <c r="E4811" s="86"/>
      <c r="F4811" s="14"/>
    </row>
    <row r="4812" spans="1:6" x14ac:dyDescent="0.25">
      <c r="A4812" s="86">
        <v>4811</v>
      </c>
      <c r="B4812" s="87">
        <v>42.56820602164953</v>
      </c>
      <c r="C4812" s="14">
        <v>2</v>
      </c>
      <c r="D4812" s="86">
        <v>0.88172478514331187</v>
      </c>
      <c r="E4812" s="86"/>
      <c r="F4812" s="14"/>
    </row>
    <row r="4813" spans="1:6" x14ac:dyDescent="0.25">
      <c r="A4813" s="86">
        <v>4812</v>
      </c>
      <c r="B4813" s="87">
        <v>55.320833775447682</v>
      </c>
      <c r="C4813" s="14">
        <v>4</v>
      </c>
      <c r="D4813" s="86">
        <v>0.54683792929901476</v>
      </c>
      <c r="E4813" s="86"/>
      <c r="F4813" s="14"/>
    </row>
    <row r="4814" spans="1:6" x14ac:dyDescent="0.25">
      <c r="A4814" s="86">
        <v>4813</v>
      </c>
      <c r="B4814" s="87">
        <v>46.024968009412987</v>
      </c>
      <c r="C4814" s="14">
        <v>5</v>
      </c>
      <c r="D4814" s="86">
        <v>0.12058730242698568</v>
      </c>
      <c r="E4814" s="86"/>
      <c r="F4814" s="14"/>
    </row>
    <row r="4815" spans="1:6" x14ac:dyDescent="0.25">
      <c r="A4815" s="86">
        <v>4814</v>
      </c>
      <c r="B4815" s="87">
        <v>48.597257768386044</v>
      </c>
      <c r="C4815" s="14">
        <v>2</v>
      </c>
      <c r="D4815" s="86">
        <v>0.32792227806138774</v>
      </c>
      <c r="E4815" s="86"/>
      <c r="F4815" s="14"/>
    </row>
    <row r="4816" spans="1:6" x14ac:dyDescent="0.25">
      <c r="A4816" s="86">
        <v>4815</v>
      </c>
      <c r="B4816" s="87">
        <v>33.593778420588933</v>
      </c>
      <c r="C4816" s="14">
        <v>4</v>
      </c>
      <c r="D4816" s="86">
        <v>0.17525796992767806</v>
      </c>
      <c r="E4816" s="86"/>
      <c r="F4816" s="14"/>
    </row>
    <row r="4817" spans="1:6" x14ac:dyDescent="0.25">
      <c r="A4817" s="86">
        <v>4816</v>
      </c>
      <c r="B4817" s="87">
        <v>42.25850602267019</v>
      </c>
      <c r="C4817" s="14">
        <v>4</v>
      </c>
      <c r="D4817" s="86">
        <v>0.63044438558274973</v>
      </c>
      <c r="E4817" s="86"/>
      <c r="F4817" s="14"/>
    </row>
    <row r="4818" spans="1:6" x14ac:dyDescent="0.25">
      <c r="A4818" s="86">
        <v>4817</v>
      </c>
      <c r="B4818" s="87">
        <v>35.684433891554363</v>
      </c>
      <c r="C4818" s="14">
        <v>4</v>
      </c>
      <c r="D4818" s="86">
        <v>0.46641924434658144</v>
      </c>
      <c r="E4818" s="86"/>
      <c r="F4818" s="14"/>
    </row>
    <row r="4819" spans="1:6" x14ac:dyDescent="0.25">
      <c r="A4819" s="86">
        <v>4818</v>
      </c>
      <c r="B4819" s="87">
        <v>42.209740053629503</v>
      </c>
      <c r="C4819" s="14">
        <v>2</v>
      </c>
      <c r="D4819" s="86">
        <v>0.16267642950600092</v>
      </c>
      <c r="E4819" s="86"/>
      <c r="F4819" s="14"/>
    </row>
    <row r="4820" spans="1:6" x14ac:dyDescent="0.25">
      <c r="A4820" s="86">
        <v>4819</v>
      </c>
      <c r="B4820" s="87">
        <v>43.261934474110603</v>
      </c>
      <c r="C4820" s="14">
        <v>4</v>
      </c>
      <c r="D4820" s="86">
        <v>0.37152341438487135</v>
      </c>
      <c r="E4820" s="86"/>
      <c r="F4820" s="14"/>
    </row>
    <row r="4821" spans="1:6" x14ac:dyDescent="0.25">
      <c r="A4821" s="86">
        <v>4820</v>
      </c>
      <c r="B4821" s="87">
        <v>41.359800201797043</v>
      </c>
      <c r="C4821" s="14">
        <v>2</v>
      </c>
      <c r="D4821" s="86">
        <v>0.90079926635902419</v>
      </c>
      <c r="E4821" s="86"/>
      <c r="F4821" s="14"/>
    </row>
    <row r="4822" spans="1:6" x14ac:dyDescent="0.25">
      <c r="A4822" s="86">
        <v>4821</v>
      </c>
      <c r="B4822" s="87">
        <v>36.248911778209731</v>
      </c>
      <c r="C4822" s="14">
        <v>4</v>
      </c>
      <c r="D4822" s="86">
        <v>0.32594419288984133</v>
      </c>
      <c r="E4822" s="86"/>
      <c r="F4822" s="14"/>
    </row>
    <row r="4823" spans="1:6" x14ac:dyDescent="0.25">
      <c r="A4823" s="86">
        <v>4822</v>
      </c>
      <c r="B4823" s="87">
        <v>49.705681698804256</v>
      </c>
      <c r="C4823" s="14">
        <v>2</v>
      </c>
      <c r="D4823" s="86">
        <v>0.18232914639979036</v>
      </c>
      <c r="E4823" s="86"/>
      <c r="F4823" s="14"/>
    </row>
    <row r="4824" spans="1:6" x14ac:dyDescent="0.25">
      <c r="A4824" s="86">
        <v>4823</v>
      </c>
      <c r="B4824" s="87">
        <v>45.492572548362659</v>
      </c>
      <c r="C4824" s="14">
        <v>2</v>
      </c>
      <c r="D4824" s="86">
        <v>0.28000414319178624</v>
      </c>
      <c r="E4824" s="86"/>
      <c r="F4824" s="14"/>
    </row>
    <row r="4825" spans="1:6" x14ac:dyDescent="0.25">
      <c r="A4825" s="86">
        <v>4824</v>
      </c>
      <c r="B4825" s="87">
        <v>44.539615368528757</v>
      </c>
      <c r="C4825" s="14">
        <v>2</v>
      </c>
      <c r="D4825" s="86">
        <v>8.3412662377670643E-2</v>
      </c>
      <c r="E4825" s="86"/>
      <c r="F4825" s="14"/>
    </row>
    <row r="4826" spans="1:6" x14ac:dyDescent="0.25">
      <c r="A4826" s="86">
        <v>4825</v>
      </c>
      <c r="B4826" s="87">
        <v>42.815787532497779</v>
      </c>
      <c r="C4826" s="14">
        <v>4</v>
      </c>
      <c r="D4826" s="86">
        <v>0.76782822187055766</v>
      </c>
      <c r="E4826" s="86"/>
      <c r="F4826" s="14"/>
    </row>
    <row r="4827" spans="1:6" x14ac:dyDescent="0.25">
      <c r="A4827" s="86">
        <v>4826</v>
      </c>
      <c r="B4827" s="87">
        <v>31.794934324687347</v>
      </c>
      <c r="C4827" s="14">
        <v>2</v>
      </c>
      <c r="D4827" s="86">
        <v>0.36534146946223944</v>
      </c>
      <c r="E4827" s="86"/>
      <c r="F4827" s="14"/>
    </row>
    <row r="4828" spans="1:6" x14ac:dyDescent="0.25">
      <c r="A4828" s="86">
        <v>4827</v>
      </c>
      <c r="B4828" s="87">
        <v>40.652781758006313</v>
      </c>
      <c r="C4828" s="14">
        <v>2</v>
      </c>
      <c r="D4828" s="86">
        <v>0.38367509437479141</v>
      </c>
      <c r="E4828" s="86"/>
      <c r="F4828" s="14"/>
    </row>
    <row r="4829" spans="1:6" x14ac:dyDescent="0.25">
      <c r="A4829" s="86">
        <v>4828</v>
      </c>
      <c r="B4829" s="87">
        <v>42.80889811013185</v>
      </c>
      <c r="C4829" s="14">
        <v>2</v>
      </c>
      <c r="D4829" s="86">
        <v>0.88023688764791452</v>
      </c>
      <c r="E4829" s="86"/>
      <c r="F4829" s="14"/>
    </row>
    <row r="4830" spans="1:6" x14ac:dyDescent="0.25">
      <c r="A4830" s="86">
        <v>4829</v>
      </c>
      <c r="B4830" s="87">
        <v>52.915129339788109</v>
      </c>
      <c r="C4830" s="14">
        <v>4</v>
      </c>
      <c r="D4830" s="86">
        <v>5.2097168046334463E-2</v>
      </c>
      <c r="E4830" s="86"/>
      <c r="F4830" s="14"/>
    </row>
    <row r="4831" spans="1:6" x14ac:dyDescent="0.25">
      <c r="A4831" s="86">
        <v>4830</v>
      </c>
      <c r="B4831" s="87">
        <v>40.404250962063088</v>
      </c>
      <c r="C4831" s="14">
        <v>3</v>
      </c>
      <c r="D4831" s="86">
        <v>0.4124349674152219</v>
      </c>
      <c r="E4831" s="86"/>
      <c r="F4831" s="14"/>
    </row>
    <row r="4832" spans="1:6" x14ac:dyDescent="0.25">
      <c r="A4832" s="86">
        <v>4831</v>
      </c>
      <c r="B4832" s="87">
        <v>37.492031873960514</v>
      </c>
      <c r="C4832" s="14">
        <v>2</v>
      </c>
      <c r="D4832" s="86">
        <v>0.72926719048776023</v>
      </c>
      <c r="E4832" s="86"/>
      <c r="F4832" s="14"/>
    </row>
    <row r="4833" spans="1:6" x14ac:dyDescent="0.25">
      <c r="A4833" s="86">
        <v>4832</v>
      </c>
      <c r="B4833" s="87">
        <v>35.73427420121152</v>
      </c>
      <c r="C4833" s="14">
        <v>5</v>
      </c>
      <c r="D4833" s="86">
        <v>0.45306517934837454</v>
      </c>
      <c r="E4833" s="86"/>
      <c r="F4833" s="14"/>
    </row>
    <row r="4834" spans="1:6" x14ac:dyDescent="0.25">
      <c r="A4834" s="86">
        <v>4833</v>
      </c>
      <c r="B4834" s="87">
        <v>47.950834409100935</v>
      </c>
      <c r="C4834" s="14">
        <v>4</v>
      </c>
      <c r="D4834" s="86">
        <v>0.49113875282738428</v>
      </c>
      <c r="E4834" s="86"/>
      <c r="F4834" s="14"/>
    </row>
    <row r="4835" spans="1:6" x14ac:dyDescent="0.25">
      <c r="A4835" s="86">
        <v>4834</v>
      </c>
      <c r="B4835" s="87">
        <v>44.551654804643476</v>
      </c>
      <c r="C4835" s="14">
        <v>4</v>
      </c>
      <c r="D4835" s="86">
        <v>0.49850848418365457</v>
      </c>
      <c r="E4835" s="86"/>
      <c r="F4835" s="14"/>
    </row>
    <row r="4836" spans="1:6" x14ac:dyDescent="0.25">
      <c r="A4836" s="86">
        <v>4835</v>
      </c>
      <c r="B4836" s="87">
        <v>35.92256234184606</v>
      </c>
      <c r="C4836" s="14">
        <v>1</v>
      </c>
      <c r="D4836" s="86">
        <v>0.27243218123793977</v>
      </c>
      <c r="E4836" s="86"/>
      <c r="F4836" s="14"/>
    </row>
    <row r="4837" spans="1:6" x14ac:dyDescent="0.25">
      <c r="A4837" s="86">
        <v>4836</v>
      </c>
      <c r="B4837" s="87">
        <v>44.972182417375734</v>
      </c>
      <c r="C4837" s="14">
        <v>1</v>
      </c>
      <c r="D4837" s="86">
        <v>0.60929415694126421</v>
      </c>
      <c r="E4837" s="86"/>
      <c r="F4837" s="14"/>
    </row>
    <row r="4838" spans="1:6" x14ac:dyDescent="0.25">
      <c r="A4838" s="86">
        <v>4837</v>
      </c>
      <c r="B4838" s="87">
        <v>43.148236267705215</v>
      </c>
      <c r="C4838" s="14">
        <v>2</v>
      </c>
      <c r="D4838" s="86">
        <v>0.17692262344303356</v>
      </c>
      <c r="E4838" s="86"/>
      <c r="F4838" s="14"/>
    </row>
    <row r="4839" spans="1:6" x14ac:dyDescent="0.25">
      <c r="A4839" s="86">
        <v>4838</v>
      </c>
      <c r="B4839" s="87">
        <v>42.17680497674155</v>
      </c>
      <c r="C4839" s="14">
        <v>4</v>
      </c>
      <c r="D4839" s="86">
        <v>0.24819705186456309</v>
      </c>
      <c r="E4839" s="86"/>
      <c r="F4839" s="14"/>
    </row>
    <row r="4840" spans="1:6" x14ac:dyDescent="0.25">
      <c r="A4840" s="86">
        <v>4839</v>
      </c>
      <c r="B4840" s="87">
        <v>50.345806807279587</v>
      </c>
      <c r="C4840" s="14">
        <v>5</v>
      </c>
      <c r="D4840" s="86">
        <v>0.57751997464617533</v>
      </c>
      <c r="E4840" s="86"/>
      <c r="F4840" s="14"/>
    </row>
    <row r="4841" spans="1:6" x14ac:dyDescent="0.25">
      <c r="A4841" s="86">
        <v>4840</v>
      </c>
      <c r="B4841" s="87">
        <v>49.00431349084829</v>
      </c>
      <c r="C4841" s="14">
        <v>4</v>
      </c>
      <c r="D4841" s="86">
        <v>6.877416399651648E-2</v>
      </c>
      <c r="E4841" s="86"/>
      <c r="F4841" s="14"/>
    </row>
    <row r="4842" spans="1:6" x14ac:dyDescent="0.25">
      <c r="A4842" s="86">
        <v>4841</v>
      </c>
      <c r="B4842" s="87">
        <v>43.184212467502221</v>
      </c>
      <c r="C4842" s="14">
        <v>2</v>
      </c>
      <c r="D4842" s="86">
        <v>0.22482391664283896</v>
      </c>
      <c r="E4842" s="86"/>
      <c r="F4842" s="14"/>
    </row>
    <row r="4843" spans="1:6" x14ac:dyDescent="0.25">
      <c r="A4843" s="86">
        <v>4842</v>
      </c>
      <c r="B4843" s="87">
        <v>38.523410234454786</v>
      </c>
      <c r="C4843" s="14">
        <v>2</v>
      </c>
      <c r="D4843" s="86">
        <v>0.6872620107277525</v>
      </c>
      <c r="E4843" s="86"/>
      <c r="F4843" s="14"/>
    </row>
    <row r="4844" spans="1:6" x14ac:dyDescent="0.25">
      <c r="A4844" s="86">
        <v>4843</v>
      </c>
      <c r="B4844" s="87">
        <v>47.941477982356446</v>
      </c>
      <c r="C4844" s="14">
        <v>1</v>
      </c>
      <c r="D4844" s="86">
        <v>0.29361678110692035</v>
      </c>
      <c r="E4844" s="86"/>
      <c r="F4844" s="14"/>
    </row>
    <row r="4845" spans="1:6" x14ac:dyDescent="0.25">
      <c r="A4845" s="86">
        <v>4844</v>
      </c>
      <c r="B4845" s="87">
        <v>41.126656919339439</v>
      </c>
      <c r="C4845" s="14">
        <v>2</v>
      </c>
      <c r="D4845" s="86">
        <v>0.75210863209198775</v>
      </c>
      <c r="E4845" s="86"/>
      <c r="F4845" s="14"/>
    </row>
    <row r="4846" spans="1:6" x14ac:dyDescent="0.25">
      <c r="A4846" s="86">
        <v>4845</v>
      </c>
      <c r="B4846" s="87">
        <v>42.648775883542839</v>
      </c>
      <c r="C4846" s="14">
        <v>5</v>
      </c>
      <c r="D4846" s="86">
        <v>0.55919158048188178</v>
      </c>
      <c r="E4846" s="86"/>
      <c r="F4846" s="14"/>
    </row>
    <row r="4847" spans="1:6" x14ac:dyDescent="0.25">
      <c r="A4847" s="86">
        <v>4846</v>
      </c>
      <c r="B4847" s="87">
        <v>41.161490566417342</v>
      </c>
      <c r="C4847" s="14">
        <v>2</v>
      </c>
      <c r="D4847" s="86">
        <v>9.9107626956896899E-3</v>
      </c>
      <c r="E4847" s="86"/>
      <c r="F4847" s="14"/>
    </row>
    <row r="4848" spans="1:6" x14ac:dyDescent="0.25">
      <c r="A4848" s="86">
        <v>4847</v>
      </c>
      <c r="B4848" s="87">
        <v>47.050173174618976</v>
      </c>
      <c r="C4848" s="14">
        <v>5</v>
      </c>
      <c r="D4848" s="86">
        <v>0.10116355909892627</v>
      </c>
      <c r="E4848" s="86"/>
      <c r="F4848" s="14"/>
    </row>
    <row r="4849" spans="1:6" x14ac:dyDescent="0.25">
      <c r="A4849" s="86">
        <v>4848</v>
      </c>
      <c r="B4849" s="87">
        <v>40.527334016922396</v>
      </c>
      <c r="C4849" s="14">
        <v>2</v>
      </c>
      <c r="D4849" s="86">
        <v>0.56378734025777744</v>
      </c>
      <c r="E4849" s="86"/>
      <c r="F4849" s="14"/>
    </row>
    <row r="4850" spans="1:6" x14ac:dyDescent="0.25">
      <c r="A4850" s="86">
        <v>4849</v>
      </c>
      <c r="B4850" s="87">
        <v>43.266152255790075</v>
      </c>
      <c r="C4850" s="14">
        <v>4</v>
      </c>
      <c r="D4850" s="86">
        <v>0.42308202932705141</v>
      </c>
      <c r="E4850" s="86"/>
      <c r="F4850" s="14"/>
    </row>
    <row r="4851" spans="1:6" x14ac:dyDescent="0.25">
      <c r="A4851" s="86">
        <v>4850</v>
      </c>
      <c r="B4851" s="87">
        <v>41.318571670097299</v>
      </c>
      <c r="C4851" s="14">
        <v>4</v>
      </c>
      <c r="D4851" s="86">
        <v>0.91344746121649634</v>
      </c>
      <c r="E4851" s="86"/>
      <c r="F4851" s="14"/>
    </row>
    <row r="4852" spans="1:6" x14ac:dyDescent="0.25">
      <c r="A4852" s="86">
        <v>4851</v>
      </c>
      <c r="B4852" s="87">
        <v>43.36426399674383</v>
      </c>
      <c r="C4852" s="14">
        <v>5</v>
      </c>
      <c r="D4852" s="86">
        <v>0.77791613497674461</v>
      </c>
      <c r="E4852" s="86"/>
      <c r="F4852" s="14"/>
    </row>
    <row r="4853" spans="1:6" x14ac:dyDescent="0.25">
      <c r="A4853" s="86">
        <v>4852</v>
      </c>
      <c r="B4853" s="87">
        <v>32.770822139689699</v>
      </c>
      <c r="C4853" s="14">
        <v>2</v>
      </c>
      <c r="D4853" s="86">
        <v>0.86000305807082267</v>
      </c>
      <c r="E4853" s="86"/>
      <c r="F4853" s="14"/>
    </row>
    <row r="4854" spans="1:6" x14ac:dyDescent="0.25">
      <c r="A4854" s="86">
        <v>4853</v>
      </c>
      <c r="B4854" s="87">
        <v>49.061350177333225</v>
      </c>
      <c r="C4854" s="14">
        <v>4</v>
      </c>
      <c r="D4854" s="86">
        <v>0.91085181677720795</v>
      </c>
      <c r="E4854" s="86"/>
      <c r="F4854" s="14"/>
    </row>
    <row r="4855" spans="1:6" x14ac:dyDescent="0.25">
      <c r="A4855" s="86">
        <v>4854</v>
      </c>
      <c r="B4855" s="87">
        <v>53.288795238011517</v>
      </c>
      <c r="C4855" s="14">
        <v>4</v>
      </c>
      <c r="D4855" s="86">
        <v>0.82944274340565838</v>
      </c>
      <c r="E4855" s="86"/>
      <c r="F4855" s="14"/>
    </row>
    <row r="4856" spans="1:6" x14ac:dyDescent="0.25">
      <c r="A4856" s="86">
        <v>4855</v>
      </c>
      <c r="B4856" s="87">
        <v>52.546829460305162</v>
      </c>
      <c r="C4856" s="14">
        <v>2</v>
      </c>
      <c r="D4856" s="86">
        <v>0.16730493269032931</v>
      </c>
      <c r="E4856" s="86"/>
      <c r="F4856" s="14"/>
    </row>
    <row r="4857" spans="1:6" x14ac:dyDescent="0.25">
      <c r="A4857" s="86">
        <v>4856</v>
      </c>
      <c r="B4857" s="87">
        <v>44.689932105364278</v>
      </c>
      <c r="C4857" s="14">
        <v>5</v>
      </c>
      <c r="D4857" s="86">
        <v>0.90293031444105931</v>
      </c>
      <c r="E4857" s="86"/>
      <c r="F4857" s="14"/>
    </row>
    <row r="4858" spans="1:6" x14ac:dyDescent="0.25">
      <c r="A4858" s="86">
        <v>4857</v>
      </c>
      <c r="B4858" s="87">
        <v>49.52310063742334</v>
      </c>
      <c r="C4858" s="14">
        <v>2</v>
      </c>
      <c r="D4858" s="86">
        <v>0.39122123417971921</v>
      </c>
      <c r="E4858" s="86"/>
      <c r="F4858" s="14"/>
    </row>
    <row r="4859" spans="1:6" x14ac:dyDescent="0.25">
      <c r="A4859" s="86">
        <v>4858</v>
      </c>
      <c r="B4859" s="87">
        <v>41.088037500565406</v>
      </c>
      <c r="C4859" s="14">
        <v>2</v>
      </c>
      <c r="D4859" s="86">
        <v>9.4072944707200512E-2</v>
      </c>
      <c r="E4859" s="86"/>
      <c r="F4859" s="14"/>
    </row>
    <row r="4860" spans="1:6" x14ac:dyDescent="0.25">
      <c r="A4860" s="86">
        <v>4859</v>
      </c>
      <c r="B4860" s="87">
        <v>45.068054527626373</v>
      </c>
      <c r="C4860" s="14">
        <v>2</v>
      </c>
      <c r="D4860" s="86">
        <v>0.19207253646947842</v>
      </c>
      <c r="E4860" s="86"/>
      <c r="F4860" s="14"/>
    </row>
    <row r="4861" spans="1:6" x14ac:dyDescent="0.25">
      <c r="A4861" s="86">
        <v>4860</v>
      </c>
      <c r="B4861" s="87">
        <v>52.366112863062881</v>
      </c>
      <c r="C4861" s="14">
        <v>4</v>
      </c>
      <c r="D4861" s="86">
        <v>0.50816316399354089</v>
      </c>
      <c r="E4861" s="86"/>
      <c r="F4861" s="14"/>
    </row>
    <row r="4862" spans="1:6" x14ac:dyDescent="0.25">
      <c r="A4862" s="86">
        <v>4861</v>
      </c>
      <c r="B4862" s="87">
        <v>39.849595618186868</v>
      </c>
      <c r="C4862" s="14">
        <v>2</v>
      </c>
      <c r="D4862" s="86">
        <v>0.37792973032796318</v>
      </c>
      <c r="E4862" s="86"/>
      <c r="F4862" s="14"/>
    </row>
    <row r="4863" spans="1:6" x14ac:dyDescent="0.25">
      <c r="A4863" s="86">
        <v>4862</v>
      </c>
      <c r="B4863" s="87">
        <v>41.918934807079495</v>
      </c>
      <c r="C4863" s="14">
        <v>2</v>
      </c>
      <c r="D4863" s="86">
        <v>0.28205274604569086</v>
      </c>
      <c r="E4863" s="86"/>
      <c r="F4863" s="14"/>
    </row>
    <row r="4864" spans="1:6" x14ac:dyDescent="0.25">
      <c r="A4864" s="86">
        <v>4863</v>
      </c>
      <c r="B4864" s="87">
        <v>39.753854247799609</v>
      </c>
      <c r="C4864" s="14">
        <v>5</v>
      </c>
      <c r="D4864" s="86">
        <v>0.82649230645218097</v>
      </c>
      <c r="E4864" s="86"/>
      <c r="F4864" s="14"/>
    </row>
    <row r="4865" spans="1:6" x14ac:dyDescent="0.25">
      <c r="A4865" s="86">
        <v>4864</v>
      </c>
      <c r="B4865" s="87">
        <v>37.845859419001499</v>
      </c>
      <c r="C4865" s="14">
        <v>4</v>
      </c>
      <c r="D4865" s="86">
        <v>0.81663234046578781</v>
      </c>
      <c r="E4865" s="86"/>
      <c r="F4865" s="14"/>
    </row>
    <row r="4866" spans="1:6" x14ac:dyDescent="0.25">
      <c r="A4866" s="86">
        <v>4865</v>
      </c>
      <c r="B4866" s="87">
        <v>46.865466169372667</v>
      </c>
      <c r="C4866" s="14">
        <v>2</v>
      </c>
      <c r="D4866" s="86">
        <v>0.86082535359963053</v>
      </c>
      <c r="E4866" s="86"/>
      <c r="F4866" s="14"/>
    </row>
    <row r="4867" spans="1:6" x14ac:dyDescent="0.25">
      <c r="A4867" s="86">
        <v>4866</v>
      </c>
      <c r="B4867" s="87">
        <v>45.959092171295197</v>
      </c>
      <c r="C4867" s="14">
        <v>2</v>
      </c>
      <c r="D4867" s="86">
        <v>0.5643710260878454</v>
      </c>
      <c r="E4867" s="86"/>
      <c r="F4867" s="14"/>
    </row>
    <row r="4868" spans="1:6" x14ac:dyDescent="0.25">
      <c r="A4868" s="86">
        <v>4867</v>
      </c>
      <c r="B4868" s="87">
        <v>44.79234120878391</v>
      </c>
      <c r="C4868" s="14">
        <v>1</v>
      </c>
      <c r="D4868" s="86">
        <v>0.18875650992708815</v>
      </c>
      <c r="E4868" s="86"/>
      <c r="F4868" s="14"/>
    </row>
    <row r="4869" spans="1:6" x14ac:dyDescent="0.25">
      <c r="A4869" s="86">
        <v>4868</v>
      </c>
      <c r="B4869" s="87">
        <v>42.393219241028419</v>
      </c>
      <c r="C4869" s="14">
        <v>4</v>
      </c>
      <c r="D4869" s="86">
        <v>0.96396607348958585</v>
      </c>
      <c r="E4869" s="86"/>
      <c r="F4869" s="14"/>
    </row>
    <row r="4870" spans="1:6" x14ac:dyDescent="0.25">
      <c r="A4870" s="86">
        <v>4869</v>
      </c>
      <c r="B4870" s="87">
        <v>42.16478259365249</v>
      </c>
      <c r="C4870" s="14">
        <v>1</v>
      </c>
      <c r="D4870" s="86">
        <v>0.80572640564550979</v>
      </c>
      <c r="E4870" s="86"/>
      <c r="F4870" s="14"/>
    </row>
    <row r="4871" spans="1:6" x14ac:dyDescent="0.25">
      <c r="A4871" s="86">
        <v>4870</v>
      </c>
      <c r="B4871" s="87">
        <v>42.011549789429409</v>
      </c>
      <c r="C4871" s="14">
        <v>3</v>
      </c>
      <c r="D4871" s="86">
        <v>0.1205342573435334</v>
      </c>
      <c r="E4871" s="86"/>
      <c r="F4871" s="14"/>
    </row>
    <row r="4872" spans="1:6" x14ac:dyDescent="0.25">
      <c r="A4872" s="86">
        <v>4871</v>
      </c>
      <c r="B4872" s="87">
        <v>44.277720684811356</v>
      </c>
      <c r="C4872" s="14">
        <v>2</v>
      </c>
      <c r="D4872" s="86">
        <v>0.72039951489103404</v>
      </c>
      <c r="E4872" s="86"/>
      <c r="F4872" s="14"/>
    </row>
    <row r="4873" spans="1:6" x14ac:dyDescent="0.25">
      <c r="A4873" s="86">
        <v>4872</v>
      </c>
      <c r="B4873" s="87">
        <v>40.367410742299398</v>
      </c>
      <c r="C4873" s="14">
        <v>3</v>
      </c>
      <c r="D4873" s="86">
        <v>4.7512935183587679E-2</v>
      </c>
      <c r="E4873" s="86"/>
      <c r="F4873" s="14"/>
    </row>
    <row r="4874" spans="1:6" x14ac:dyDescent="0.25">
      <c r="A4874" s="86">
        <v>4873</v>
      </c>
      <c r="B4874" s="87">
        <v>59.319972928613424</v>
      </c>
      <c r="C4874" s="14">
        <v>5</v>
      </c>
      <c r="D4874" s="86">
        <v>0.10181260818474425</v>
      </c>
      <c r="E4874" s="86"/>
      <c r="F4874" s="14"/>
    </row>
    <row r="4875" spans="1:6" x14ac:dyDescent="0.25">
      <c r="A4875" s="86">
        <v>4874</v>
      </c>
      <c r="B4875" s="87">
        <v>43.030411229090532</v>
      </c>
      <c r="C4875" s="14">
        <v>4</v>
      </c>
      <c r="D4875" s="86">
        <v>0.54675686876977148</v>
      </c>
      <c r="E4875" s="86"/>
      <c r="F4875" s="14"/>
    </row>
    <row r="4876" spans="1:6" x14ac:dyDescent="0.25">
      <c r="A4876" s="86">
        <v>4875</v>
      </c>
      <c r="B4876" s="87">
        <v>45.820769395839307</v>
      </c>
      <c r="C4876" s="14">
        <v>2</v>
      </c>
      <c r="D4876" s="86">
        <v>0.97764211187623462</v>
      </c>
      <c r="E4876" s="86"/>
      <c r="F4876" s="14"/>
    </row>
    <row r="4877" spans="1:6" x14ac:dyDescent="0.25">
      <c r="A4877" s="86">
        <v>4876</v>
      </c>
      <c r="B4877" s="87">
        <v>47.713490397989517</v>
      </c>
      <c r="C4877" s="14">
        <v>4</v>
      </c>
      <c r="D4877" s="86">
        <v>0.5237518794957543</v>
      </c>
      <c r="E4877" s="86"/>
      <c r="F4877" s="14"/>
    </row>
    <row r="4878" spans="1:6" x14ac:dyDescent="0.25">
      <c r="A4878" s="86">
        <v>4877</v>
      </c>
      <c r="B4878" s="87">
        <v>32.955949786235578</v>
      </c>
      <c r="C4878" s="14">
        <v>2</v>
      </c>
      <c r="D4878" s="86">
        <v>0.83327588419883269</v>
      </c>
      <c r="E4878" s="86"/>
      <c r="F4878" s="14"/>
    </row>
    <row r="4879" spans="1:6" x14ac:dyDescent="0.25">
      <c r="A4879" s="86">
        <v>4878</v>
      </c>
      <c r="B4879" s="87">
        <v>60.436104826629162</v>
      </c>
      <c r="C4879" s="14">
        <v>2</v>
      </c>
      <c r="D4879" s="86">
        <v>0.57652964548508834</v>
      </c>
      <c r="E4879" s="86"/>
      <c r="F4879" s="14"/>
    </row>
    <row r="4880" spans="1:6" x14ac:dyDescent="0.25">
      <c r="A4880" s="86">
        <v>4879</v>
      </c>
      <c r="B4880" s="87">
        <v>41.338392970254063</v>
      </c>
      <c r="C4880" s="14">
        <v>4</v>
      </c>
      <c r="D4880" s="86">
        <v>0.5010043168119418</v>
      </c>
      <c r="E4880" s="86"/>
      <c r="F4880" s="14"/>
    </row>
    <row r="4881" spans="1:6" x14ac:dyDescent="0.25">
      <c r="A4881" s="86">
        <v>4880</v>
      </c>
      <c r="B4881" s="87">
        <v>48.802348823635839</v>
      </c>
      <c r="C4881" s="14">
        <v>2</v>
      </c>
      <c r="D4881" s="86">
        <v>0.94115637254841633</v>
      </c>
      <c r="E4881" s="86"/>
      <c r="F4881" s="14"/>
    </row>
    <row r="4882" spans="1:6" x14ac:dyDescent="0.25">
      <c r="A4882" s="86">
        <v>4881</v>
      </c>
      <c r="B4882" s="87">
        <v>42.093716951392707</v>
      </c>
      <c r="C4882" s="14">
        <v>3</v>
      </c>
      <c r="D4882" s="86">
        <v>0.58610301909028739</v>
      </c>
      <c r="E4882" s="86"/>
      <c r="F4882" s="14"/>
    </row>
    <row r="4883" spans="1:6" x14ac:dyDescent="0.25">
      <c r="A4883" s="86">
        <v>4882</v>
      </c>
      <c r="B4883" s="87">
        <v>40.099939719191752</v>
      </c>
      <c r="C4883" s="14">
        <v>5</v>
      </c>
      <c r="D4883" s="86">
        <v>0.72205184987253823</v>
      </c>
      <c r="E4883" s="86"/>
      <c r="F4883" s="14"/>
    </row>
    <row r="4884" spans="1:6" x14ac:dyDescent="0.25">
      <c r="A4884" s="86">
        <v>4883</v>
      </c>
      <c r="B4884" s="87">
        <v>43.404156708100345</v>
      </c>
      <c r="C4884" s="14">
        <v>1</v>
      </c>
      <c r="D4884" s="86">
        <v>0.64613794051273332</v>
      </c>
      <c r="E4884" s="86"/>
      <c r="F4884" s="14"/>
    </row>
    <row r="4885" spans="1:6" x14ac:dyDescent="0.25">
      <c r="A4885" s="86">
        <v>4884</v>
      </c>
      <c r="B4885" s="87">
        <v>48.536128355743131</v>
      </c>
      <c r="C4885" s="14">
        <v>4</v>
      </c>
      <c r="D4885" s="86">
        <v>0.8775774875424236</v>
      </c>
      <c r="E4885" s="86"/>
      <c r="F4885" s="14"/>
    </row>
    <row r="4886" spans="1:6" x14ac:dyDescent="0.25">
      <c r="A4886" s="86">
        <v>4885</v>
      </c>
      <c r="B4886" s="87">
        <v>43.645718500891235</v>
      </c>
      <c r="C4886" s="14">
        <v>4</v>
      </c>
      <c r="D4886" s="86">
        <v>0.99278607343052105</v>
      </c>
      <c r="E4886" s="86"/>
      <c r="F4886" s="14"/>
    </row>
    <row r="4887" spans="1:6" x14ac:dyDescent="0.25">
      <c r="A4887" s="86">
        <v>4886</v>
      </c>
      <c r="B4887" s="87">
        <v>36.266010278603062</v>
      </c>
      <c r="C4887" s="14">
        <v>2</v>
      </c>
      <c r="D4887" s="86">
        <v>0.90326751604834088</v>
      </c>
      <c r="E4887" s="86"/>
      <c r="F4887" s="14"/>
    </row>
    <row r="4888" spans="1:6" x14ac:dyDescent="0.25">
      <c r="A4888" s="86">
        <v>4887</v>
      </c>
      <c r="B4888" s="87">
        <v>39.342648955760524</v>
      </c>
      <c r="C4888" s="14">
        <v>4</v>
      </c>
      <c r="D4888" s="86">
        <v>0.23625005740419391</v>
      </c>
      <c r="E4888" s="86"/>
      <c r="F4888" s="14"/>
    </row>
    <row r="4889" spans="1:6" x14ac:dyDescent="0.25">
      <c r="A4889" s="86">
        <v>4888</v>
      </c>
      <c r="B4889" s="87">
        <v>41.968996806070209</v>
      </c>
      <c r="C4889" s="14">
        <v>5</v>
      </c>
      <c r="D4889" s="86">
        <v>6.7286847738636246E-2</v>
      </c>
      <c r="E4889" s="86"/>
      <c r="F4889" s="14"/>
    </row>
    <row r="4890" spans="1:6" x14ac:dyDescent="0.25">
      <c r="A4890" s="86">
        <v>4889</v>
      </c>
      <c r="B4890" s="87">
        <v>48.405286174209323</v>
      </c>
      <c r="C4890" s="14">
        <v>2</v>
      </c>
      <c r="D4890" s="86">
        <v>0.12807672860705799</v>
      </c>
      <c r="E4890" s="86"/>
      <c r="F4890" s="14"/>
    </row>
    <row r="4891" spans="1:6" x14ac:dyDescent="0.25">
      <c r="A4891" s="86">
        <v>4890</v>
      </c>
      <c r="B4891" s="87">
        <v>42.914894033281598</v>
      </c>
      <c r="C4891" s="14">
        <v>4</v>
      </c>
      <c r="D4891" s="86">
        <v>0.69041776728220638</v>
      </c>
      <c r="E4891" s="86"/>
      <c r="F4891" s="14"/>
    </row>
    <row r="4892" spans="1:6" x14ac:dyDescent="0.25">
      <c r="A4892" s="86">
        <v>4891</v>
      </c>
      <c r="B4892" s="87">
        <v>40.974782672827132</v>
      </c>
      <c r="C4892" s="14">
        <v>4</v>
      </c>
      <c r="D4892" s="86">
        <v>0.40993523129264442</v>
      </c>
      <c r="E4892" s="86"/>
      <c r="F4892" s="14"/>
    </row>
    <row r="4893" spans="1:6" x14ac:dyDescent="0.25">
      <c r="A4893" s="86">
        <v>4892</v>
      </c>
      <c r="B4893" s="87">
        <v>38.316852618998382</v>
      </c>
      <c r="C4893" s="14">
        <v>1</v>
      </c>
      <c r="D4893" s="86">
        <v>0.78136085450059112</v>
      </c>
      <c r="E4893" s="86"/>
      <c r="F4893" s="14"/>
    </row>
    <row r="4894" spans="1:6" x14ac:dyDescent="0.25">
      <c r="A4894" s="86">
        <v>4893</v>
      </c>
      <c r="B4894" s="87">
        <v>38.006521658069687</v>
      </c>
      <c r="C4894" s="14">
        <v>5</v>
      </c>
      <c r="D4894" s="86">
        <v>0.48477818646330018</v>
      </c>
      <c r="E4894" s="86"/>
      <c r="F4894" s="14"/>
    </row>
    <row r="4895" spans="1:6" x14ac:dyDescent="0.25">
      <c r="A4895" s="86">
        <v>4894</v>
      </c>
      <c r="B4895" s="87">
        <v>41.790531208214816</v>
      </c>
      <c r="C4895" s="14">
        <v>4</v>
      </c>
      <c r="D4895" s="86">
        <v>0.24769251747933441</v>
      </c>
      <c r="E4895" s="86"/>
      <c r="F4895" s="14"/>
    </row>
    <row r="4896" spans="1:6" x14ac:dyDescent="0.25">
      <c r="A4896" s="86">
        <v>4895</v>
      </c>
      <c r="B4896" s="87">
        <v>45.018157374550356</v>
      </c>
      <c r="C4896" s="14">
        <v>1</v>
      </c>
      <c r="D4896" s="86">
        <v>0.56055589200831502</v>
      </c>
      <c r="E4896" s="86"/>
      <c r="F4896" s="14"/>
    </row>
    <row r="4897" spans="1:6" x14ac:dyDescent="0.25">
      <c r="A4897" s="86">
        <v>4896</v>
      </c>
      <c r="B4897" s="87">
        <v>45.301197810083977</v>
      </c>
      <c r="C4897" s="14">
        <v>5</v>
      </c>
      <c r="D4897" s="86">
        <v>0.7699914421013786</v>
      </c>
      <c r="E4897" s="86"/>
      <c r="F4897" s="14"/>
    </row>
    <row r="4898" spans="1:6" x14ac:dyDescent="0.25">
      <c r="A4898" s="86">
        <v>4897</v>
      </c>
      <c r="B4898" s="87">
        <v>43.654972609481774</v>
      </c>
      <c r="C4898" s="14">
        <v>5</v>
      </c>
      <c r="D4898" s="86">
        <v>0.58953085870976307</v>
      </c>
      <c r="E4898" s="86"/>
      <c r="F4898" s="14"/>
    </row>
    <row r="4899" spans="1:6" x14ac:dyDescent="0.25">
      <c r="A4899" s="86">
        <v>4898</v>
      </c>
      <c r="B4899" s="87">
        <v>47.41129941464169</v>
      </c>
      <c r="C4899" s="14">
        <v>2</v>
      </c>
      <c r="D4899" s="86">
        <v>0.56146269119562886</v>
      </c>
      <c r="E4899" s="86"/>
      <c r="F4899" s="14"/>
    </row>
    <row r="4900" spans="1:6" x14ac:dyDescent="0.25">
      <c r="A4900" s="86">
        <v>4899</v>
      </c>
      <c r="B4900" s="87">
        <v>47.299511147110024</v>
      </c>
      <c r="C4900" s="14">
        <v>4</v>
      </c>
      <c r="D4900" s="86">
        <v>0.29131974483157541</v>
      </c>
      <c r="E4900" s="86"/>
      <c r="F4900" s="14"/>
    </row>
    <row r="4901" spans="1:6" x14ac:dyDescent="0.25">
      <c r="A4901" s="86">
        <v>4900</v>
      </c>
      <c r="B4901" s="87">
        <v>46.310640295239864</v>
      </c>
      <c r="C4901" s="14">
        <v>2</v>
      </c>
      <c r="D4901" s="86">
        <v>0.50581206315165694</v>
      </c>
      <c r="E4901" s="86"/>
      <c r="F4901" s="14"/>
    </row>
    <row r="4902" spans="1:6" x14ac:dyDescent="0.25">
      <c r="A4902" s="86">
        <v>4901</v>
      </c>
      <c r="B4902" s="87">
        <v>51.107213034236338</v>
      </c>
      <c r="C4902" s="14">
        <v>3</v>
      </c>
      <c r="D4902" s="86">
        <v>0.21361723027703305</v>
      </c>
      <c r="E4902" s="86"/>
      <c r="F4902" s="14"/>
    </row>
    <row r="4903" spans="1:6" x14ac:dyDescent="0.25">
      <c r="A4903" s="86">
        <v>4902</v>
      </c>
      <c r="B4903" s="87">
        <v>41.634746134484885</v>
      </c>
      <c r="C4903" s="14">
        <v>5</v>
      </c>
      <c r="D4903" s="86">
        <v>0.36346548023890268</v>
      </c>
      <c r="E4903" s="86"/>
      <c r="F4903" s="14"/>
    </row>
    <row r="4904" spans="1:6" x14ac:dyDescent="0.25">
      <c r="A4904" s="86">
        <v>4903</v>
      </c>
      <c r="B4904" s="87">
        <v>34.370168572757393</v>
      </c>
      <c r="C4904" s="14">
        <v>5</v>
      </c>
      <c r="D4904" s="86">
        <v>0.50089661524106677</v>
      </c>
      <c r="E4904" s="86"/>
      <c r="F4904" s="14"/>
    </row>
    <row r="4905" spans="1:6" x14ac:dyDescent="0.25">
      <c r="A4905" s="86">
        <v>4904</v>
      </c>
      <c r="B4905" s="87">
        <v>39.509075117501197</v>
      </c>
      <c r="C4905" s="14">
        <v>4</v>
      </c>
      <c r="D4905" s="86">
        <v>0.56082637767749066</v>
      </c>
      <c r="E4905" s="86"/>
      <c r="F4905" s="14"/>
    </row>
    <row r="4906" spans="1:6" x14ac:dyDescent="0.25">
      <c r="A4906" s="86">
        <v>4905</v>
      </c>
      <c r="B4906" s="87">
        <v>41.513635546260048</v>
      </c>
      <c r="C4906" s="14">
        <v>4</v>
      </c>
      <c r="D4906" s="86">
        <v>0.69385619855150005</v>
      </c>
      <c r="E4906" s="86"/>
      <c r="F4906" s="14"/>
    </row>
    <row r="4907" spans="1:6" x14ac:dyDescent="0.25">
      <c r="A4907" s="86">
        <v>4906</v>
      </c>
      <c r="B4907" s="87">
        <v>45.11355768442445</v>
      </c>
      <c r="C4907" s="14">
        <v>2</v>
      </c>
      <c r="D4907" s="86">
        <v>0.8333402370410482</v>
      </c>
      <c r="E4907" s="86"/>
      <c r="F4907" s="14"/>
    </row>
    <row r="4908" spans="1:6" x14ac:dyDescent="0.25">
      <c r="A4908" s="86">
        <v>4907</v>
      </c>
      <c r="B4908" s="87">
        <v>42.158188757064636</v>
      </c>
      <c r="C4908" s="14">
        <v>4</v>
      </c>
      <c r="D4908" s="86">
        <v>0.54458347648027539</v>
      </c>
      <c r="E4908" s="86"/>
      <c r="F4908" s="14"/>
    </row>
    <row r="4909" spans="1:6" x14ac:dyDescent="0.25">
      <c r="A4909" s="86">
        <v>4908</v>
      </c>
      <c r="B4909" s="87">
        <v>44.743887878546957</v>
      </c>
      <c r="C4909" s="14">
        <v>5</v>
      </c>
      <c r="D4909" s="86">
        <v>0.73795288013738858</v>
      </c>
      <c r="E4909" s="86"/>
      <c r="F4909" s="14"/>
    </row>
    <row r="4910" spans="1:6" x14ac:dyDescent="0.25">
      <c r="A4910" s="86">
        <v>4909</v>
      </c>
      <c r="B4910" s="87">
        <v>51.566075848648325</v>
      </c>
      <c r="C4910" s="14">
        <v>1</v>
      </c>
      <c r="D4910" s="86">
        <v>0.17955626352696585</v>
      </c>
      <c r="E4910" s="86"/>
      <c r="F4910" s="14"/>
    </row>
    <row r="4911" spans="1:6" x14ac:dyDescent="0.25">
      <c r="A4911" s="86">
        <v>4910</v>
      </c>
      <c r="B4911" s="87">
        <v>40.562713360821363</v>
      </c>
      <c r="C4911" s="14">
        <v>4</v>
      </c>
      <c r="D4911" s="86">
        <v>0.73851503024178544</v>
      </c>
      <c r="E4911" s="86"/>
      <c r="F4911" s="14"/>
    </row>
    <row r="4912" spans="1:6" x14ac:dyDescent="0.25">
      <c r="A4912" s="86">
        <v>4911</v>
      </c>
      <c r="B4912" s="87">
        <v>42.644938952769735</v>
      </c>
      <c r="C4912" s="14">
        <v>4</v>
      </c>
      <c r="D4912" s="86">
        <v>0.85703246897174645</v>
      </c>
      <c r="E4912" s="86"/>
      <c r="F4912" s="14"/>
    </row>
    <row r="4913" spans="1:6" x14ac:dyDescent="0.25">
      <c r="A4913" s="86">
        <v>4912</v>
      </c>
      <c r="B4913" s="87">
        <v>40.008944774279371</v>
      </c>
      <c r="C4913" s="14">
        <v>1</v>
      </c>
      <c r="D4913" s="86">
        <v>0.1710951351989124</v>
      </c>
      <c r="E4913" s="86"/>
      <c r="F4913" s="14"/>
    </row>
    <row r="4914" spans="1:6" x14ac:dyDescent="0.25">
      <c r="A4914" s="86">
        <v>4913</v>
      </c>
      <c r="B4914" s="87">
        <v>44.794791160136811</v>
      </c>
      <c r="C4914" s="14">
        <v>5</v>
      </c>
      <c r="D4914" s="86">
        <v>0.82650108139657819</v>
      </c>
      <c r="E4914" s="86"/>
      <c r="F4914" s="14"/>
    </row>
    <row r="4915" spans="1:6" x14ac:dyDescent="0.25">
      <c r="A4915" s="86">
        <v>4914</v>
      </c>
      <c r="B4915" s="87">
        <v>48.909430456085829</v>
      </c>
      <c r="C4915" s="14">
        <v>3</v>
      </c>
      <c r="D4915" s="86">
        <v>0.75898580799811999</v>
      </c>
      <c r="E4915" s="86"/>
      <c r="F4915" s="14"/>
    </row>
    <row r="4916" spans="1:6" x14ac:dyDescent="0.25">
      <c r="A4916" s="86">
        <v>4915</v>
      </c>
      <c r="B4916" s="87">
        <v>45.082646233247942</v>
      </c>
      <c r="C4916" s="14">
        <v>2</v>
      </c>
      <c r="D4916" s="86">
        <v>0.56391926200468967</v>
      </c>
      <c r="E4916" s="86"/>
      <c r="F4916" s="14"/>
    </row>
    <row r="4917" spans="1:6" x14ac:dyDescent="0.25">
      <c r="A4917" s="86">
        <v>4916</v>
      </c>
      <c r="B4917" s="87">
        <v>46.607055987231433</v>
      </c>
      <c r="C4917" s="14">
        <v>4</v>
      </c>
      <c r="D4917" s="86">
        <v>0.32950574801355637</v>
      </c>
      <c r="E4917" s="86"/>
      <c r="F4917" s="14"/>
    </row>
    <row r="4918" spans="1:6" x14ac:dyDescent="0.25">
      <c r="A4918" s="86">
        <v>4917</v>
      </c>
      <c r="B4918" s="87">
        <v>46.543834736774443</v>
      </c>
      <c r="C4918" s="14">
        <v>5</v>
      </c>
      <c r="D4918" s="86">
        <v>0.82539266018540514</v>
      </c>
      <c r="E4918" s="86"/>
      <c r="F4918" s="14"/>
    </row>
    <row r="4919" spans="1:6" x14ac:dyDescent="0.25">
      <c r="A4919" s="86">
        <v>4918</v>
      </c>
      <c r="B4919" s="87">
        <v>42.332294464693405</v>
      </c>
      <c r="C4919" s="14">
        <v>2</v>
      </c>
      <c r="D4919" s="86">
        <v>0.59894208951338812</v>
      </c>
      <c r="E4919" s="86"/>
      <c r="F4919" s="14"/>
    </row>
    <row r="4920" spans="1:6" x14ac:dyDescent="0.25">
      <c r="A4920" s="86">
        <v>4919</v>
      </c>
      <c r="B4920" s="87">
        <v>36.341020854131784</v>
      </c>
      <c r="C4920" s="14">
        <v>5</v>
      </c>
      <c r="D4920" s="86">
        <v>0.89558320742913067</v>
      </c>
      <c r="E4920" s="86"/>
      <c r="F4920" s="14"/>
    </row>
    <row r="4921" spans="1:6" x14ac:dyDescent="0.25">
      <c r="A4921" s="86">
        <v>4920</v>
      </c>
      <c r="B4921" s="87">
        <v>41.350915575429099</v>
      </c>
      <c r="C4921" s="14">
        <v>4</v>
      </c>
      <c r="D4921" s="86">
        <v>0.2987661870373981</v>
      </c>
      <c r="E4921" s="86"/>
      <c r="F4921" s="14"/>
    </row>
    <row r="4922" spans="1:6" x14ac:dyDescent="0.25">
      <c r="A4922" s="86">
        <v>4921</v>
      </c>
      <c r="B4922" s="87">
        <v>42.096053215907887</v>
      </c>
      <c r="C4922" s="14">
        <v>3</v>
      </c>
      <c r="D4922" s="86">
        <v>0.13397152142045321</v>
      </c>
      <c r="E4922" s="86"/>
      <c r="F4922" s="14"/>
    </row>
    <row r="4923" spans="1:6" x14ac:dyDescent="0.25">
      <c r="A4923" s="86">
        <v>4922</v>
      </c>
      <c r="B4923" s="87">
        <v>42.567432951153023</v>
      </c>
      <c r="C4923" s="14">
        <v>2</v>
      </c>
      <c r="D4923" s="86">
        <v>0.87435405353467255</v>
      </c>
      <c r="E4923" s="86"/>
      <c r="F4923" s="14"/>
    </row>
    <row r="4924" spans="1:6" x14ac:dyDescent="0.25">
      <c r="A4924" s="86">
        <v>4923</v>
      </c>
      <c r="B4924" s="87">
        <v>43.457907844975125</v>
      </c>
      <c r="C4924" s="14">
        <v>5</v>
      </c>
      <c r="D4924" s="86">
        <v>0.35382489368572101</v>
      </c>
      <c r="E4924" s="86"/>
      <c r="F4924" s="14"/>
    </row>
    <row r="4925" spans="1:6" x14ac:dyDescent="0.25">
      <c r="A4925" s="86">
        <v>4924</v>
      </c>
      <c r="B4925" s="87">
        <v>47.95896301799803</v>
      </c>
      <c r="C4925" s="14">
        <v>2</v>
      </c>
      <c r="D4925" s="86">
        <v>0.79507626817185151</v>
      </c>
      <c r="E4925" s="86"/>
      <c r="F4925" s="14"/>
    </row>
    <row r="4926" spans="1:6" x14ac:dyDescent="0.25">
      <c r="A4926" s="86">
        <v>4925</v>
      </c>
      <c r="B4926" s="87">
        <v>45.503838913980871</v>
      </c>
      <c r="C4926" s="14">
        <v>2</v>
      </c>
      <c r="D4926" s="86">
        <v>1.6123386120045269E-2</v>
      </c>
      <c r="E4926" s="86"/>
      <c r="F4926" s="14"/>
    </row>
    <row r="4927" spans="1:6" x14ac:dyDescent="0.25">
      <c r="A4927" s="86">
        <v>4926</v>
      </c>
      <c r="B4927" s="87">
        <v>42.085162016854156</v>
      </c>
      <c r="C4927" s="14">
        <v>1</v>
      </c>
      <c r="D4927" s="86">
        <v>0.52664866736810789</v>
      </c>
      <c r="E4927" s="86"/>
      <c r="F4927" s="14"/>
    </row>
    <row r="4928" spans="1:6" x14ac:dyDescent="0.25">
      <c r="A4928" s="86">
        <v>4927</v>
      </c>
      <c r="B4928" s="87">
        <v>36.990968505386263</v>
      </c>
      <c r="C4928" s="14">
        <v>2</v>
      </c>
      <c r="D4928" s="86">
        <v>0.65366502128902615</v>
      </c>
      <c r="E4928" s="86"/>
      <c r="F4928" s="14"/>
    </row>
    <row r="4929" spans="1:6" x14ac:dyDescent="0.25">
      <c r="A4929" s="86">
        <v>4928</v>
      </c>
      <c r="B4929" s="87">
        <v>43.63761831370357</v>
      </c>
      <c r="C4929" s="14">
        <v>2</v>
      </c>
      <c r="D4929" s="86">
        <v>0.96144760685848907</v>
      </c>
      <c r="E4929" s="86"/>
      <c r="F4929" s="14"/>
    </row>
    <row r="4930" spans="1:6" x14ac:dyDescent="0.25">
      <c r="A4930" s="86">
        <v>4929</v>
      </c>
      <c r="B4930" s="87">
        <v>45.70181885753118</v>
      </c>
      <c r="C4930" s="14">
        <v>3</v>
      </c>
      <c r="D4930" s="86">
        <v>0.12300192140226429</v>
      </c>
      <c r="E4930" s="86"/>
      <c r="F4930" s="14"/>
    </row>
    <row r="4931" spans="1:6" x14ac:dyDescent="0.25">
      <c r="A4931" s="86">
        <v>4930</v>
      </c>
      <c r="B4931" s="87">
        <v>42.789378080095048</v>
      </c>
      <c r="C4931" s="14">
        <v>4</v>
      </c>
      <c r="D4931" s="86">
        <v>0.92320880605051814</v>
      </c>
      <c r="E4931" s="86"/>
      <c r="F4931" s="14"/>
    </row>
    <row r="4932" spans="1:6" x14ac:dyDescent="0.25">
      <c r="A4932" s="86">
        <v>4931</v>
      </c>
      <c r="B4932" s="87">
        <v>33.801006788387895</v>
      </c>
      <c r="C4932" s="14">
        <v>3</v>
      </c>
      <c r="D4932" s="86">
        <v>0.53333325493236483</v>
      </c>
      <c r="E4932" s="86"/>
      <c r="F4932" s="14"/>
    </row>
    <row r="4933" spans="1:6" x14ac:dyDescent="0.25">
      <c r="A4933" s="86">
        <v>4932</v>
      </c>
      <c r="B4933" s="87">
        <v>41.84598764765542</v>
      </c>
      <c r="C4933" s="14">
        <v>2</v>
      </c>
      <c r="D4933" s="86">
        <v>0.58612675642678624</v>
      </c>
      <c r="E4933" s="86"/>
      <c r="F4933" s="14"/>
    </row>
    <row r="4934" spans="1:6" x14ac:dyDescent="0.25">
      <c r="A4934" s="86">
        <v>4933</v>
      </c>
      <c r="B4934" s="87">
        <v>45.429533196846023</v>
      </c>
      <c r="C4934" s="14">
        <v>4</v>
      </c>
      <c r="D4934" s="86">
        <v>0.52715628546531634</v>
      </c>
      <c r="E4934" s="86"/>
      <c r="F4934" s="14"/>
    </row>
    <row r="4935" spans="1:6" x14ac:dyDescent="0.25">
      <c r="A4935" s="86">
        <v>4934</v>
      </c>
      <c r="B4935" s="87">
        <v>45.588751613075146</v>
      </c>
      <c r="C4935" s="14">
        <v>2</v>
      </c>
      <c r="D4935" s="86">
        <v>0.87164315619065347</v>
      </c>
      <c r="E4935" s="86"/>
      <c r="F4935" s="14"/>
    </row>
    <row r="4936" spans="1:6" x14ac:dyDescent="0.25">
      <c r="A4936" s="86">
        <v>4935</v>
      </c>
      <c r="B4936" s="87">
        <v>42.379730297732749</v>
      </c>
      <c r="C4936" s="14">
        <v>4</v>
      </c>
      <c r="D4936" s="86">
        <v>0.21578133630828844</v>
      </c>
      <c r="E4936" s="86"/>
      <c r="F4936" s="14"/>
    </row>
    <row r="4937" spans="1:6" x14ac:dyDescent="0.25">
      <c r="A4937" s="86">
        <v>4936</v>
      </c>
      <c r="B4937" s="87">
        <v>41.373112930494244</v>
      </c>
      <c r="C4937" s="14">
        <v>4</v>
      </c>
      <c r="D4937" s="86">
        <v>0.93562789936320301</v>
      </c>
      <c r="E4937" s="86"/>
      <c r="F4937" s="14"/>
    </row>
    <row r="4938" spans="1:6" x14ac:dyDescent="0.25">
      <c r="A4938" s="86">
        <v>4937</v>
      </c>
      <c r="B4938" s="87">
        <v>50.91799266153248</v>
      </c>
      <c r="C4938" s="14">
        <v>1</v>
      </c>
      <c r="D4938" s="86">
        <v>0.43521187510492487</v>
      </c>
      <c r="E4938" s="86"/>
      <c r="F4938" s="14"/>
    </row>
    <row r="4939" spans="1:6" x14ac:dyDescent="0.25">
      <c r="A4939" s="86">
        <v>4938</v>
      </c>
      <c r="B4939" s="87">
        <v>36.186520441668108</v>
      </c>
      <c r="C4939" s="14">
        <v>3</v>
      </c>
      <c r="D4939" s="86">
        <v>0.59446089242189815</v>
      </c>
      <c r="E4939" s="86"/>
      <c r="F4939" s="14"/>
    </row>
    <row r="4940" spans="1:6" x14ac:dyDescent="0.25">
      <c r="A4940" s="86">
        <v>4939</v>
      </c>
      <c r="B4940" s="87">
        <v>55.985765351913869</v>
      </c>
      <c r="C4940" s="14">
        <v>2</v>
      </c>
      <c r="D4940" s="86">
        <v>0.27045943395870642</v>
      </c>
      <c r="E4940" s="86"/>
      <c r="F4940" s="14"/>
    </row>
    <row r="4941" spans="1:6" x14ac:dyDescent="0.25">
      <c r="A4941" s="86">
        <v>4940</v>
      </c>
      <c r="B4941" s="87">
        <v>34.064350979286246</v>
      </c>
      <c r="C4941" s="14">
        <v>2</v>
      </c>
      <c r="D4941" s="86">
        <v>0.89122975724843345</v>
      </c>
      <c r="E4941" s="86"/>
      <c r="F4941" s="14"/>
    </row>
    <row r="4942" spans="1:6" x14ac:dyDescent="0.25">
      <c r="A4942" s="86">
        <v>4941</v>
      </c>
      <c r="B4942" s="87">
        <v>46.527134140313137</v>
      </c>
      <c r="C4942" s="14">
        <v>2</v>
      </c>
      <c r="D4942" s="86">
        <v>6.9049275941977073E-2</v>
      </c>
      <c r="E4942" s="86"/>
      <c r="F4942" s="14"/>
    </row>
    <row r="4943" spans="1:6" x14ac:dyDescent="0.25">
      <c r="A4943" s="86">
        <v>4942</v>
      </c>
      <c r="B4943" s="87">
        <v>36.368783179903403</v>
      </c>
      <c r="C4943" s="14">
        <v>4</v>
      </c>
      <c r="D4943" s="86">
        <v>0.61563758189549378</v>
      </c>
      <c r="E4943" s="86"/>
      <c r="F4943" s="14"/>
    </row>
    <row r="4944" spans="1:6" x14ac:dyDescent="0.25">
      <c r="A4944" s="86">
        <v>4943</v>
      </c>
      <c r="B4944" s="87">
        <v>51.651977623230778</v>
      </c>
      <c r="C4944" s="14">
        <v>2</v>
      </c>
      <c r="D4944" s="86">
        <v>0.27034235908089421</v>
      </c>
      <c r="E4944" s="86"/>
      <c r="F4944" s="14"/>
    </row>
    <row r="4945" spans="1:6" x14ac:dyDescent="0.25">
      <c r="A4945" s="86">
        <v>4944</v>
      </c>
      <c r="B4945" s="87">
        <v>38.21202198593528</v>
      </c>
      <c r="C4945" s="14">
        <v>4</v>
      </c>
      <c r="D4945" s="86">
        <v>0.79481072776037431</v>
      </c>
      <c r="E4945" s="86"/>
      <c r="F4945" s="14"/>
    </row>
    <row r="4946" spans="1:6" x14ac:dyDescent="0.25">
      <c r="A4946" s="86">
        <v>4945</v>
      </c>
      <c r="B4946" s="87">
        <v>41.884061369608389</v>
      </c>
      <c r="C4946" s="14">
        <v>2</v>
      </c>
      <c r="D4946" s="86">
        <v>0.16837581795478229</v>
      </c>
      <c r="E4946" s="86"/>
      <c r="F4946" s="14"/>
    </row>
    <row r="4947" spans="1:6" x14ac:dyDescent="0.25">
      <c r="A4947" s="86">
        <v>4946</v>
      </c>
      <c r="B4947" s="87">
        <v>45.022727585426765</v>
      </c>
      <c r="C4947" s="14">
        <v>4</v>
      </c>
      <c r="D4947" s="86">
        <v>0.12287301804373851</v>
      </c>
      <c r="E4947" s="86"/>
      <c r="F4947" s="14"/>
    </row>
    <row r="4948" spans="1:6" x14ac:dyDescent="0.25">
      <c r="A4948" s="86">
        <v>4947</v>
      </c>
      <c r="B4948" s="87">
        <v>45.683691491256468</v>
      </c>
      <c r="C4948" s="14">
        <v>2</v>
      </c>
      <c r="D4948" s="86">
        <v>0.31755923012240794</v>
      </c>
      <c r="E4948" s="86"/>
      <c r="F4948" s="14"/>
    </row>
    <row r="4949" spans="1:6" x14ac:dyDescent="0.25">
      <c r="A4949" s="86">
        <v>4948</v>
      </c>
      <c r="B4949" s="87">
        <v>44.327180143562146</v>
      </c>
      <c r="C4949" s="14">
        <v>4</v>
      </c>
      <c r="D4949" s="86">
        <v>0.67078644418015743</v>
      </c>
      <c r="E4949" s="86"/>
      <c r="F4949" s="14"/>
    </row>
    <row r="4950" spans="1:6" x14ac:dyDescent="0.25">
      <c r="A4950" s="86">
        <v>4949</v>
      </c>
      <c r="B4950" s="87">
        <v>36.637447914807126</v>
      </c>
      <c r="C4950" s="14">
        <v>2</v>
      </c>
      <c r="D4950" s="86">
        <v>0.59738562914714721</v>
      </c>
      <c r="E4950" s="86"/>
      <c r="F4950" s="14"/>
    </row>
    <row r="4951" spans="1:6" x14ac:dyDescent="0.25">
      <c r="A4951" s="86">
        <v>4950</v>
      </c>
      <c r="B4951" s="87">
        <v>43.566728886042256</v>
      </c>
      <c r="C4951" s="14">
        <v>4</v>
      </c>
      <c r="D4951" s="86">
        <v>0.30697278746290924</v>
      </c>
      <c r="E4951" s="86"/>
      <c r="F4951" s="14"/>
    </row>
    <row r="4952" spans="1:6" x14ac:dyDescent="0.25">
      <c r="A4952" s="86">
        <v>4951</v>
      </c>
      <c r="B4952" s="87">
        <v>40.732345491385786</v>
      </c>
      <c r="C4952" s="14">
        <v>4</v>
      </c>
      <c r="D4952" s="86">
        <v>0.35802952128052312</v>
      </c>
      <c r="E4952" s="86"/>
      <c r="F4952" s="14"/>
    </row>
    <row r="4953" spans="1:6" x14ac:dyDescent="0.25">
      <c r="A4953" s="86">
        <v>4952</v>
      </c>
      <c r="B4953" s="87">
        <v>41.898169906169642</v>
      </c>
      <c r="C4953" s="14">
        <v>5</v>
      </c>
      <c r="D4953" s="86">
        <v>0.19308782267991509</v>
      </c>
      <c r="E4953" s="86"/>
      <c r="F4953" s="14"/>
    </row>
    <row r="4954" spans="1:6" x14ac:dyDescent="0.25">
      <c r="A4954" s="86">
        <v>4953</v>
      </c>
      <c r="B4954" s="87">
        <v>36.266010278603062</v>
      </c>
      <c r="C4954" s="14">
        <v>4</v>
      </c>
      <c r="D4954" s="86">
        <v>0.22834464743818628</v>
      </c>
      <c r="E4954" s="86"/>
      <c r="F4954" s="14"/>
    </row>
    <row r="4955" spans="1:6" x14ac:dyDescent="0.25">
      <c r="A4955" s="86">
        <v>4954</v>
      </c>
      <c r="B4955" s="87">
        <v>35.832908901618794</v>
      </c>
      <c r="C4955" s="14">
        <v>2</v>
      </c>
      <c r="D4955" s="86">
        <v>0.40258724822585312</v>
      </c>
      <c r="E4955" s="86"/>
      <c r="F4955" s="14"/>
    </row>
    <row r="4956" spans="1:6" x14ac:dyDescent="0.25">
      <c r="A4956" s="86">
        <v>4955</v>
      </c>
      <c r="B4956" s="87">
        <v>35.549032867827918</v>
      </c>
      <c r="C4956" s="14">
        <v>1</v>
      </c>
      <c r="D4956" s="86">
        <v>0.97619454133480277</v>
      </c>
      <c r="E4956" s="86"/>
      <c r="F4956" s="14"/>
    </row>
    <row r="4957" spans="1:6" x14ac:dyDescent="0.25">
      <c r="A4957" s="86">
        <v>4956</v>
      </c>
      <c r="B4957" s="87">
        <v>46.136420900773373</v>
      </c>
      <c r="C4957" s="14">
        <v>4</v>
      </c>
      <c r="D4957" s="86">
        <v>0.91071129743042323</v>
      </c>
      <c r="E4957" s="86"/>
      <c r="F4957" s="14"/>
    </row>
    <row r="4958" spans="1:6" x14ac:dyDescent="0.25">
      <c r="A4958" s="86">
        <v>4957</v>
      </c>
      <c r="B4958" s="87">
        <v>47.213779902784154</v>
      </c>
      <c r="C4958" s="14">
        <v>2</v>
      </c>
      <c r="D4958" s="86">
        <v>6.7701799480102132E-4</v>
      </c>
      <c r="E4958" s="86"/>
      <c r="F4958" s="14"/>
    </row>
    <row r="4959" spans="1:6" x14ac:dyDescent="0.25">
      <c r="A4959" s="86">
        <v>4958</v>
      </c>
      <c r="B4959" s="87">
        <v>50.030871529423166</v>
      </c>
      <c r="C4959" s="14">
        <v>5</v>
      </c>
      <c r="D4959" s="86">
        <v>9.7425876069250017E-2</v>
      </c>
      <c r="E4959" s="86"/>
      <c r="F4959" s="14"/>
    </row>
    <row r="4960" spans="1:6" x14ac:dyDescent="0.25">
      <c r="A4960" s="86">
        <v>4959</v>
      </c>
      <c r="B4960" s="87">
        <v>43.903946784092113</v>
      </c>
      <c r="C4960" s="14">
        <v>4</v>
      </c>
      <c r="D4960" s="86">
        <v>0.9611066142846737</v>
      </c>
      <c r="E4960" s="86"/>
      <c r="F4960" s="14"/>
    </row>
    <row r="4961" spans="1:6" x14ac:dyDescent="0.25">
      <c r="A4961" s="86">
        <v>4960</v>
      </c>
      <c r="B4961" s="87">
        <v>38.835662502940977</v>
      </c>
      <c r="C4961" s="14">
        <v>4</v>
      </c>
      <c r="D4961" s="86">
        <v>0.17698198893251527</v>
      </c>
      <c r="E4961" s="86"/>
      <c r="F4961" s="14"/>
    </row>
    <row r="4962" spans="1:6" x14ac:dyDescent="0.25">
      <c r="A4962" s="86">
        <v>4961</v>
      </c>
      <c r="B4962" s="87">
        <v>38.750658854376525</v>
      </c>
      <c r="C4962" s="14">
        <v>2</v>
      </c>
      <c r="D4962" s="86">
        <v>0.66202272537169937</v>
      </c>
      <c r="E4962" s="86"/>
      <c r="F4962" s="14"/>
    </row>
    <row r="4963" spans="1:6" x14ac:dyDescent="0.25">
      <c r="A4963" s="86">
        <v>4962</v>
      </c>
      <c r="B4963" s="87">
        <v>37.057361618615687</v>
      </c>
      <c r="C4963" s="14">
        <v>2</v>
      </c>
      <c r="D4963" s="86">
        <v>0.27524822098063895</v>
      </c>
      <c r="E4963" s="86"/>
      <c r="F4963" s="14"/>
    </row>
    <row r="4964" spans="1:6" x14ac:dyDescent="0.25">
      <c r="A4964" s="86">
        <v>4963</v>
      </c>
      <c r="B4964" s="87">
        <v>42.232198888421408</v>
      </c>
      <c r="C4964" s="14">
        <v>1</v>
      </c>
      <c r="D4964" s="86">
        <v>0.33962824020515192</v>
      </c>
      <c r="E4964" s="86"/>
      <c r="F4964" s="14"/>
    </row>
    <row r="4965" spans="1:6" x14ac:dyDescent="0.25">
      <c r="A4965" s="86">
        <v>4964</v>
      </c>
      <c r="B4965" s="87">
        <v>40.982672539365012</v>
      </c>
      <c r="C4965" s="14">
        <v>4</v>
      </c>
      <c r="D4965" s="86">
        <v>0.82869800988369102</v>
      </c>
      <c r="E4965" s="86"/>
      <c r="F4965" s="14"/>
    </row>
    <row r="4966" spans="1:6" x14ac:dyDescent="0.25">
      <c r="A4966" s="86">
        <v>4965</v>
      </c>
      <c r="B4966" s="87">
        <v>38.606731317820959</v>
      </c>
      <c r="C4966" s="14">
        <v>5</v>
      </c>
      <c r="D4966" s="86">
        <v>0.46831592110785292</v>
      </c>
      <c r="E4966" s="86"/>
      <c r="F4966" s="14"/>
    </row>
    <row r="4967" spans="1:6" x14ac:dyDescent="0.25">
      <c r="A4967" s="86">
        <v>4966</v>
      </c>
      <c r="B4967" s="87">
        <v>52.374980436405167</v>
      </c>
      <c r="C4967" s="14">
        <v>5</v>
      </c>
      <c r="D4967" s="86">
        <v>0.60625180990119065</v>
      </c>
      <c r="E4967" s="86"/>
      <c r="F4967" s="14"/>
    </row>
    <row r="4968" spans="1:6" x14ac:dyDescent="0.25">
      <c r="A4968" s="86">
        <v>4967</v>
      </c>
      <c r="B4968" s="87">
        <v>38.421978837839561</v>
      </c>
      <c r="C4968" s="14">
        <v>1</v>
      </c>
      <c r="D4968" s="86">
        <v>0.52265132906209422</v>
      </c>
      <c r="E4968" s="86"/>
      <c r="F4968" s="14"/>
    </row>
    <row r="4969" spans="1:6" x14ac:dyDescent="0.25">
      <c r="A4969" s="86">
        <v>4968</v>
      </c>
      <c r="B4969" s="87">
        <v>48.817378223582637</v>
      </c>
      <c r="C4969" s="14">
        <v>4</v>
      </c>
      <c r="D4969" s="86">
        <v>0.30698734390150118</v>
      </c>
      <c r="E4969" s="86"/>
      <c r="F4969" s="14"/>
    </row>
    <row r="4970" spans="1:6" x14ac:dyDescent="0.25">
      <c r="A4970" s="86">
        <v>4969</v>
      </c>
      <c r="B4970" s="87">
        <v>41.259767153285793</v>
      </c>
      <c r="C4970" s="14">
        <v>1</v>
      </c>
      <c r="D4970" s="86">
        <v>0.63525690806368285</v>
      </c>
      <c r="E4970" s="86"/>
      <c r="F4970" s="14"/>
    </row>
    <row r="4971" spans="1:6" x14ac:dyDescent="0.25">
      <c r="A4971" s="86">
        <v>4970</v>
      </c>
      <c r="B4971" s="87">
        <v>52.346285878564231</v>
      </c>
      <c r="C4971" s="14">
        <v>2</v>
      </c>
      <c r="D4971" s="86">
        <v>3.3564578863291561E-2</v>
      </c>
      <c r="E4971" s="86"/>
      <c r="F4971" s="14"/>
    </row>
    <row r="4972" spans="1:6" x14ac:dyDescent="0.25">
      <c r="A4972" s="86">
        <v>4971</v>
      </c>
      <c r="B4972" s="87">
        <v>34.988124747877009</v>
      </c>
      <c r="C4972" s="14">
        <v>5</v>
      </c>
      <c r="D4972" s="86">
        <v>0.7312711391505059</v>
      </c>
      <c r="E4972" s="86"/>
      <c r="F4972" s="14"/>
    </row>
    <row r="4973" spans="1:6" x14ac:dyDescent="0.25">
      <c r="A4973" s="86">
        <v>4972</v>
      </c>
      <c r="B4973" s="87">
        <v>40.594545675383415</v>
      </c>
      <c r="C4973" s="14">
        <v>2</v>
      </c>
      <c r="D4973" s="86">
        <v>0.1405383588523742</v>
      </c>
      <c r="E4973" s="86"/>
      <c r="F4973" s="14"/>
    </row>
    <row r="4974" spans="1:6" x14ac:dyDescent="0.25">
      <c r="A4974" s="86">
        <v>4973</v>
      </c>
      <c r="B4974" s="87">
        <v>47.621824700734578</v>
      </c>
      <c r="C4974" s="14">
        <v>3</v>
      </c>
      <c r="D4974" s="86">
        <v>0.78793269918026076</v>
      </c>
      <c r="E4974" s="86"/>
      <c r="F4974" s="14"/>
    </row>
    <row r="4975" spans="1:6" x14ac:dyDescent="0.25">
      <c r="A4975" s="86">
        <v>4974</v>
      </c>
      <c r="B4975" s="87">
        <v>41.931855316186557</v>
      </c>
      <c r="C4975" s="14">
        <v>2</v>
      </c>
      <c r="D4975" s="86">
        <v>0.34872005670808381</v>
      </c>
      <c r="E4975" s="86"/>
      <c r="F4975" s="14"/>
    </row>
    <row r="4976" spans="1:6" x14ac:dyDescent="0.25">
      <c r="A4976" s="86">
        <v>4975</v>
      </c>
      <c r="B4976" s="87">
        <v>48.121717094880296</v>
      </c>
      <c r="C4976" s="14">
        <v>2</v>
      </c>
      <c r="D4976" s="86">
        <v>0.65158689004885006</v>
      </c>
      <c r="E4976" s="86"/>
      <c r="F4976" s="14"/>
    </row>
    <row r="4977" spans="1:6" x14ac:dyDescent="0.25">
      <c r="A4977" s="86">
        <v>4976</v>
      </c>
      <c r="B4977" s="87">
        <v>46.474349341558991</v>
      </c>
      <c r="C4977" s="14">
        <v>5</v>
      </c>
      <c r="D4977" s="86">
        <v>0.70961744353763856</v>
      </c>
      <c r="E4977" s="86"/>
      <c r="F4977" s="14"/>
    </row>
    <row r="4978" spans="1:6" x14ac:dyDescent="0.25">
      <c r="A4978" s="86">
        <v>4977</v>
      </c>
      <c r="B4978" s="87">
        <v>41.771619402759825</v>
      </c>
      <c r="C4978" s="14">
        <v>4</v>
      </c>
      <c r="D4978" s="86">
        <v>0.58435975879886193</v>
      </c>
      <c r="E4978" s="86"/>
      <c r="F4978" s="14"/>
    </row>
    <row r="4979" spans="1:6" x14ac:dyDescent="0.25">
      <c r="A4979" s="86">
        <v>4978</v>
      </c>
      <c r="B4979" s="87">
        <v>48.800109192932723</v>
      </c>
      <c r="C4979" s="14">
        <v>5</v>
      </c>
      <c r="D4979" s="86">
        <v>0.36919148160812498</v>
      </c>
      <c r="E4979" s="86"/>
      <c r="F4979" s="14"/>
    </row>
    <row r="4980" spans="1:6" x14ac:dyDescent="0.25">
      <c r="A4980" s="86">
        <v>4979</v>
      </c>
      <c r="B4980" s="87">
        <v>36.707308476587059</v>
      </c>
      <c r="C4980" s="14">
        <v>3</v>
      </c>
      <c r="D4980" s="86">
        <v>4.024077451434982E-2</v>
      </c>
      <c r="E4980" s="86"/>
      <c r="F4980" s="14"/>
    </row>
    <row r="4981" spans="1:6" x14ac:dyDescent="0.25">
      <c r="A4981" s="86">
        <v>4980</v>
      </c>
      <c r="B4981" s="87">
        <v>40.45009517937433</v>
      </c>
      <c r="C4981" s="14">
        <v>4</v>
      </c>
      <c r="D4981" s="86">
        <v>0.53820296361359732</v>
      </c>
      <c r="E4981" s="86"/>
      <c r="F4981" s="14"/>
    </row>
    <row r="4982" spans="1:6" x14ac:dyDescent="0.25">
      <c r="A4982" s="86">
        <v>4981</v>
      </c>
      <c r="B4982" s="87">
        <v>35.479820321022999</v>
      </c>
      <c r="C4982" s="14">
        <v>2</v>
      </c>
      <c r="D4982" s="86">
        <v>5.2124383914160077E-2</v>
      </c>
      <c r="E4982" s="86"/>
      <c r="F4982" s="14"/>
    </row>
    <row r="4983" spans="1:6" x14ac:dyDescent="0.25">
      <c r="A4983" s="86">
        <v>4982</v>
      </c>
      <c r="B4983" s="87">
        <v>37.955237525573466</v>
      </c>
      <c r="C4983" s="14">
        <v>1</v>
      </c>
      <c r="D4983" s="86">
        <v>0.90090090547457147</v>
      </c>
      <c r="E4983" s="86"/>
      <c r="F4983" s="14"/>
    </row>
    <row r="4984" spans="1:6" x14ac:dyDescent="0.25">
      <c r="A4984" s="86">
        <v>4983</v>
      </c>
      <c r="B4984" s="87">
        <v>48.517108547792304</v>
      </c>
      <c r="C4984" s="14">
        <v>5</v>
      </c>
      <c r="D4984" s="86">
        <v>9.2130644896746494E-2</v>
      </c>
      <c r="E4984" s="86"/>
      <c r="F4984" s="14"/>
    </row>
    <row r="4985" spans="1:6" x14ac:dyDescent="0.25">
      <c r="A4985" s="86">
        <v>4984</v>
      </c>
      <c r="B4985" s="87">
        <v>58.078694559633732</v>
      </c>
      <c r="C4985" s="14">
        <v>2</v>
      </c>
      <c r="D4985" s="86">
        <v>0.28420911716181474</v>
      </c>
      <c r="E4985" s="86"/>
      <c r="F4985" s="14"/>
    </row>
    <row r="4986" spans="1:6" x14ac:dyDescent="0.25">
      <c r="A4986" s="86">
        <v>4985</v>
      </c>
      <c r="B4986" s="87">
        <v>46.055799879803089</v>
      </c>
      <c r="C4986" s="14">
        <v>4</v>
      </c>
      <c r="D4986" s="86">
        <v>3.0182615533965174E-2</v>
      </c>
      <c r="E4986" s="86"/>
      <c r="F4986" s="14"/>
    </row>
    <row r="4987" spans="1:6" x14ac:dyDescent="0.25">
      <c r="A4987" s="86">
        <v>4986</v>
      </c>
      <c r="B4987" s="87">
        <v>49.808636499044951</v>
      </c>
      <c r="C4987" s="14">
        <v>4</v>
      </c>
      <c r="D4987" s="86">
        <v>0.91752562223085798</v>
      </c>
      <c r="E4987" s="86"/>
      <c r="F4987" s="14"/>
    </row>
    <row r="4988" spans="1:6" x14ac:dyDescent="0.25">
      <c r="A4988" s="86">
        <v>4987</v>
      </c>
      <c r="B4988" s="87">
        <v>41.993212102504913</v>
      </c>
      <c r="C4988" s="14">
        <v>4</v>
      </c>
      <c r="D4988" s="86">
        <v>0.48664703489394945</v>
      </c>
      <c r="E4988" s="86"/>
      <c r="F4988" s="14"/>
    </row>
    <row r="4989" spans="1:6" x14ac:dyDescent="0.25">
      <c r="A4989" s="86">
        <v>4988</v>
      </c>
      <c r="B4989" s="87">
        <v>45.100182427966502</v>
      </c>
      <c r="C4989" s="14">
        <v>5</v>
      </c>
      <c r="D4989" s="86">
        <v>0.86304922514659566</v>
      </c>
      <c r="E4989" s="86"/>
      <c r="F4989" s="14"/>
    </row>
    <row r="4990" spans="1:6" x14ac:dyDescent="0.25">
      <c r="A4990" s="86">
        <v>4989</v>
      </c>
      <c r="B4990" s="87">
        <v>40.783095295744715</v>
      </c>
      <c r="C4990" s="14">
        <v>4</v>
      </c>
      <c r="D4990" s="86">
        <v>0.36441639556245919</v>
      </c>
      <c r="E4990" s="86"/>
      <c r="F4990" s="14"/>
    </row>
    <row r="4991" spans="1:6" x14ac:dyDescent="0.25">
      <c r="A4991" s="86">
        <v>4990</v>
      </c>
      <c r="B4991" s="87">
        <v>44.274554506380809</v>
      </c>
      <c r="C4991" s="14">
        <v>2</v>
      </c>
      <c r="D4991" s="86">
        <v>9.8708389348993397E-2</v>
      </c>
      <c r="E4991" s="86"/>
      <c r="F4991" s="14"/>
    </row>
    <row r="4992" spans="1:6" x14ac:dyDescent="0.25">
      <c r="A4992" s="86">
        <v>4991</v>
      </c>
      <c r="B4992" s="87">
        <v>37.215602328040404</v>
      </c>
      <c r="C4992" s="14">
        <v>4</v>
      </c>
      <c r="D4992" s="86">
        <v>0.73775860675524041</v>
      </c>
      <c r="E4992" s="86"/>
      <c r="F4992" s="14"/>
    </row>
    <row r="4993" spans="1:6" x14ac:dyDescent="0.25">
      <c r="A4993" s="86">
        <v>4992</v>
      </c>
      <c r="B4993" s="87">
        <v>44.198839072458213</v>
      </c>
      <c r="C4993" s="14">
        <v>4</v>
      </c>
      <c r="D4993" s="86">
        <v>0.33036010321755438</v>
      </c>
      <c r="E4993" s="86"/>
      <c r="F4993" s="14"/>
    </row>
    <row r="4994" spans="1:6" x14ac:dyDescent="0.25">
      <c r="A4994" s="86">
        <v>4993</v>
      </c>
      <c r="B4994" s="87">
        <v>41.632756614824757</v>
      </c>
      <c r="C4994" s="14">
        <v>2</v>
      </c>
      <c r="D4994" s="86">
        <v>0.80562187071978453</v>
      </c>
      <c r="E4994" s="86"/>
      <c r="F4994" s="14"/>
    </row>
    <row r="4995" spans="1:6" x14ac:dyDescent="0.25">
      <c r="A4995" s="86">
        <v>4994</v>
      </c>
      <c r="B4995" s="87">
        <v>48.7022703003895</v>
      </c>
      <c r="C4995" s="14">
        <v>2</v>
      </c>
      <c r="D4995" s="86">
        <v>0.12374829443865076</v>
      </c>
      <c r="E4995" s="86"/>
      <c r="F4995" s="14"/>
    </row>
    <row r="4996" spans="1:6" x14ac:dyDescent="0.25">
      <c r="A4996" s="86">
        <v>4995</v>
      </c>
      <c r="B4996" s="87">
        <v>47.12067038269015</v>
      </c>
      <c r="C4996" s="14">
        <v>2</v>
      </c>
      <c r="D4996" s="86">
        <v>0.21129702292342833</v>
      </c>
      <c r="E4996" s="86"/>
      <c r="F4996" s="14"/>
    </row>
    <row r="4997" spans="1:6" x14ac:dyDescent="0.25">
      <c r="A4997" s="86">
        <v>4996</v>
      </c>
      <c r="B4997" s="87">
        <v>42.807369022164494</v>
      </c>
      <c r="C4997" s="14">
        <v>1</v>
      </c>
      <c r="D4997" s="86">
        <v>0.26283835840713887</v>
      </c>
      <c r="E4997" s="86"/>
      <c r="F4997" s="14"/>
    </row>
    <row r="4998" spans="1:6" x14ac:dyDescent="0.25">
      <c r="A4998" s="86">
        <v>4997</v>
      </c>
      <c r="B4998" s="87">
        <v>49.496316018456127</v>
      </c>
      <c r="C4998" s="14">
        <v>2</v>
      </c>
      <c r="D4998" s="86">
        <v>0.38810775318562063</v>
      </c>
      <c r="E4998" s="86"/>
      <c r="F4998" s="14"/>
    </row>
    <row r="4999" spans="1:6" x14ac:dyDescent="0.25">
      <c r="A4999" s="86">
        <v>4998</v>
      </c>
      <c r="B4999" s="87">
        <v>37.159975358343218</v>
      </c>
      <c r="C4999" s="14">
        <v>2</v>
      </c>
      <c r="D4999" s="86">
        <v>8.6070690915412973E-2</v>
      </c>
      <c r="E4999" s="86"/>
      <c r="F4999" s="14"/>
    </row>
    <row r="5000" spans="1:6" x14ac:dyDescent="0.25">
      <c r="A5000" s="86">
        <v>4999</v>
      </c>
      <c r="B5000" s="87">
        <v>46.218804067728342</v>
      </c>
      <c r="C5000" s="14">
        <v>5</v>
      </c>
      <c r="D5000" s="86">
        <v>0.15712036339469115</v>
      </c>
      <c r="E5000" s="86"/>
      <c r="F5000" s="14"/>
    </row>
    <row r="5001" spans="1:6" x14ac:dyDescent="0.25">
      <c r="A5001" s="86">
        <v>5000</v>
      </c>
      <c r="B5001" s="87">
        <v>42.726571786595741</v>
      </c>
      <c r="C5001" s="14">
        <v>4</v>
      </c>
      <c r="D5001" s="86">
        <v>0.99168822067057938</v>
      </c>
      <c r="E5001" s="86"/>
      <c r="F5001" s="14"/>
    </row>
    <row r="5002" spans="1:6" x14ac:dyDescent="0.25">
      <c r="A5002" s="86">
        <v>5001</v>
      </c>
      <c r="B5002" s="87">
        <v>46.139211912639439</v>
      </c>
      <c r="C5002" s="14">
        <v>2</v>
      </c>
      <c r="D5002" s="86">
        <v>0.12600167852214972</v>
      </c>
      <c r="E5002" s="86"/>
      <c r="F5002" s="14"/>
    </row>
    <row r="5003" spans="1:6" x14ac:dyDescent="0.25">
      <c r="A5003" s="86">
        <v>5002</v>
      </c>
      <c r="B5003" s="87">
        <v>40.255588368716417</v>
      </c>
      <c r="C5003" s="14">
        <v>1</v>
      </c>
      <c r="D5003" s="86">
        <v>0.2062267596418752</v>
      </c>
      <c r="E5003" s="86"/>
      <c r="F5003" s="14"/>
    </row>
    <row r="5004" spans="1:6" x14ac:dyDescent="0.25">
      <c r="A5004" s="86">
        <v>5003</v>
      </c>
      <c r="B5004" s="87">
        <v>50.085782272042707</v>
      </c>
      <c r="C5004" s="14">
        <v>5</v>
      </c>
      <c r="D5004" s="86">
        <v>0.11584302770546084</v>
      </c>
      <c r="E5004" s="86"/>
      <c r="F5004" s="14"/>
    </row>
    <row r="5005" spans="1:6" x14ac:dyDescent="0.25">
      <c r="A5005" s="86">
        <v>5004</v>
      </c>
      <c r="B5005" s="87">
        <v>47.011531018477399</v>
      </c>
      <c r="C5005" s="14">
        <v>4</v>
      </c>
      <c r="D5005" s="86">
        <v>0.79819971826713443</v>
      </c>
      <c r="E5005" s="86"/>
      <c r="F5005" s="14"/>
    </row>
    <row r="5006" spans="1:6" x14ac:dyDescent="0.25">
      <c r="A5006" s="86">
        <v>5005</v>
      </c>
      <c r="B5006" s="87">
        <v>42.265855876728892</v>
      </c>
      <c r="C5006" s="14">
        <v>2</v>
      </c>
      <c r="D5006" s="86">
        <v>0.91398814493879521</v>
      </c>
      <c r="E5006" s="86"/>
      <c r="F5006" s="14"/>
    </row>
    <row r="5007" spans="1:6" x14ac:dyDescent="0.25">
      <c r="A5007" s="86">
        <v>5006</v>
      </c>
      <c r="B5007" s="87">
        <v>44.80091319634812</v>
      </c>
      <c r="C5007" s="14">
        <v>5</v>
      </c>
      <c r="D5007" s="86">
        <v>8.3240288270325147E-2</v>
      </c>
      <c r="E5007" s="86"/>
      <c r="F5007" s="14"/>
    </row>
    <row r="5008" spans="1:6" x14ac:dyDescent="0.25">
      <c r="A5008" s="86">
        <v>5007</v>
      </c>
      <c r="B5008" s="87">
        <v>40.558404629671713</v>
      </c>
      <c r="C5008" s="14">
        <v>4</v>
      </c>
      <c r="D5008" s="86">
        <v>0.16119683463544776</v>
      </c>
      <c r="E5008" s="86"/>
      <c r="F5008" s="14"/>
    </row>
    <row r="5009" spans="1:6" x14ac:dyDescent="0.25">
      <c r="A5009" s="86">
        <v>5008</v>
      </c>
      <c r="B5009" s="87">
        <v>46.604077392083127</v>
      </c>
      <c r="C5009" s="14">
        <v>5</v>
      </c>
      <c r="D5009" s="86">
        <v>0.65662014907608379</v>
      </c>
      <c r="E5009" s="86"/>
      <c r="F5009" s="14"/>
    </row>
    <row r="5010" spans="1:6" x14ac:dyDescent="0.25">
      <c r="A5010" s="86">
        <v>5009</v>
      </c>
      <c r="B5010" s="87">
        <v>45.348497218918055</v>
      </c>
      <c r="C5010" s="14">
        <v>3</v>
      </c>
      <c r="D5010" s="86">
        <v>0.77952678476835036</v>
      </c>
      <c r="E5010" s="86"/>
      <c r="F5010" s="14"/>
    </row>
    <row r="5011" spans="1:6" x14ac:dyDescent="0.25">
      <c r="A5011" s="86">
        <v>5010</v>
      </c>
      <c r="B5011" s="87">
        <v>44.150476691691438</v>
      </c>
      <c r="C5011" s="14">
        <v>2</v>
      </c>
      <c r="D5011" s="86">
        <v>8.5969905242247568E-2</v>
      </c>
      <c r="E5011" s="86"/>
      <c r="F5011" s="14"/>
    </row>
    <row r="5012" spans="1:6" x14ac:dyDescent="0.25">
      <c r="A5012" s="86">
        <v>5011</v>
      </c>
      <c r="B5012" s="87">
        <v>51.804681783658452</v>
      </c>
      <c r="C5012" s="14">
        <v>4</v>
      </c>
      <c r="D5012" s="86">
        <v>0.83094384216447015</v>
      </c>
      <c r="E5012" s="86"/>
      <c r="F5012" s="14"/>
    </row>
    <row r="5013" spans="1:6" x14ac:dyDescent="0.25">
      <c r="A5013" s="86">
        <v>5012</v>
      </c>
      <c r="B5013" s="87">
        <v>47.506364348344505</v>
      </c>
      <c r="C5013" s="14">
        <v>5</v>
      </c>
      <c r="D5013" s="86">
        <v>0.62257745250768881</v>
      </c>
      <c r="E5013" s="86"/>
      <c r="F5013" s="14"/>
    </row>
    <row r="5014" spans="1:6" x14ac:dyDescent="0.25">
      <c r="A5014" s="86">
        <v>5013</v>
      </c>
      <c r="B5014" s="87">
        <v>34.943627719592769</v>
      </c>
      <c r="C5014" s="14">
        <v>2</v>
      </c>
      <c r="D5014" s="86">
        <v>0.29934002061345999</v>
      </c>
      <c r="E5014" s="86"/>
      <c r="F5014" s="14"/>
    </row>
    <row r="5015" spans="1:6" x14ac:dyDescent="0.25">
      <c r="A5015" s="86">
        <v>5014</v>
      </c>
      <c r="B5015" s="87">
        <v>40.868445689164218</v>
      </c>
      <c r="C5015" s="14">
        <v>5</v>
      </c>
      <c r="D5015" s="86">
        <v>0.67974883481047998</v>
      </c>
      <c r="E5015" s="86"/>
      <c r="F5015" s="14"/>
    </row>
    <row r="5016" spans="1:6" x14ac:dyDescent="0.25">
      <c r="A5016" s="86">
        <v>5015</v>
      </c>
      <c r="B5016" s="87">
        <v>47.199608838462154</v>
      </c>
      <c r="C5016" s="14">
        <v>1</v>
      </c>
      <c r="D5016" s="86">
        <v>0.99644512889692327</v>
      </c>
      <c r="E5016" s="86"/>
      <c r="F5016" s="14"/>
    </row>
    <row r="5017" spans="1:6" x14ac:dyDescent="0.25">
      <c r="A5017" s="86">
        <v>5016</v>
      </c>
      <c r="B5017" s="87">
        <v>36.975188772310503</v>
      </c>
      <c r="C5017" s="14">
        <v>4</v>
      </c>
      <c r="D5017" s="86">
        <v>0.55062686644796255</v>
      </c>
      <c r="E5017" s="86"/>
      <c r="F5017" s="14"/>
    </row>
    <row r="5018" spans="1:6" x14ac:dyDescent="0.25">
      <c r="A5018" s="86">
        <v>5017</v>
      </c>
      <c r="B5018" s="87">
        <v>44.828283302529599</v>
      </c>
      <c r="C5018" s="14">
        <v>2</v>
      </c>
      <c r="D5018" s="86">
        <v>0.35776863709108253</v>
      </c>
      <c r="E5018" s="86"/>
      <c r="F5018" s="14"/>
    </row>
    <row r="5019" spans="1:6" x14ac:dyDescent="0.25">
      <c r="A5019" s="86">
        <v>5018</v>
      </c>
      <c r="B5019" s="87">
        <v>41.050947169758729</v>
      </c>
      <c r="C5019" s="14">
        <v>2</v>
      </c>
      <c r="D5019" s="86">
        <v>0.13138263734530065</v>
      </c>
      <c r="E5019" s="86"/>
      <c r="F5019" s="14"/>
    </row>
    <row r="5020" spans="1:6" x14ac:dyDescent="0.25">
      <c r="A5020" s="86">
        <v>5019</v>
      </c>
      <c r="B5020" s="87">
        <v>46.091383860009955</v>
      </c>
      <c r="C5020" s="14">
        <v>2</v>
      </c>
      <c r="D5020" s="86">
        <v>0.42326297538524393</v>
      </c>
      <c r="E5020" s="86"/>
      <c r="F5020" s="14"/>
    </row>
    <row r="5021" spans="1:6" x14ac:dyDescent="0.25">
      <c r="A5021" s="86">
        <v>5020</v>
      </c>
      <c r="B5021" s="87">
        <v>42.455212673638016</v>
      </c>
      <c r="C5021" s="14">
        <v>5</v>
      </c>
      <c r="D5021" s="86">
        <v>0.41396736311017768</v>
      </c>
      <c r="E5021" s="86"/>
      <c r="F5021" s="14"/>
    </row>
    <row r="5022" spans="1:6" x14ac:dyDescent="0.25">
      <c r="A5022" s="86">
        <v>5021</v>
      </c>
      <c r="B5022" s="87">
        <v>33.386049830703996</v>
      </c>
      <c r="C5022" s="14">
        <v>1</v>
      </c>
      <c r="D5022" s="86">
        <v>0.53470061986032791</v>
      </c>
      <c r="E5022" s="86"/>
      <c r="F5022" s="14"/>
    </row>
    <row r="5023" spans="1:6" x14ac:dyDescent="0.25">
      <c r="A5023" s="86">
        <v>5022</v>
      </c>
      <c r="B5023" s="87">
        <v>42.599293687424506</v>
      </c>
      <c r="C5023" s="14">
        <v>4</v>
      </c>
      <c r="D5023" s="86">
        <v>0.60484593691750921</v>
      </c>
      <c r="E5023" s="86"/>
      <c r="F5023" s="14"/>
    </row>
    <row r="5024" spans="1:6" x14ac:dyDescent="0.25">
      <c r="A5024" s="86">
        <v>5023</v>
      </c>
      <c r="B5024" s="87">
        <v>33.001560945529491</v>
      </c>
      <c r="C5024" s="14">
        <v>4</v>
      </c>
      <c r="D5024" s="86">
        <v>0.24752931309149306</v>
      </c>
      <c r="E5024" s="86"/>
      <c r="F5024" s="14"/>
    </row>
    <row r="5025" spans="1:6" x14ac:dyDescent="0.25">
      <c r="A5025" s="86">
        <v>5024</v>
      </c>
      <c r="B5025" s="87">
        <v>39.15358206028759</v>
      </c>
      <c r="C5025" s="14">
        <v>5</v>
      </c>
      <c r="D5025" s="86">
        <v>0.51087809850364063</v>
      </c>
      <c r="E5025" s="86"/>
      <c r="F5025" s="14"/>
    </row>
    <row r="5026" spans="1:6" x14ac:dyDescent="0.25">
      <c r="A5026" s="86">
        <v>5025</v>
      </c>
      <c r="B5026" s="87">
        <v>35.179664332070388</v>
      </c>
      <c r="C5026" s="14">
        <v>1</v>
      </c>
      <c r="D5026" s="86">
        <v>0.28000263983565987</v>
      </c>
      <c r="E5026" s="86"/>
      <c r="F5026" s="14"/>
    </row>
    <row r="5027" spans="1:6" x14ac:dyDescent="0.25">
      <c r="A5027" s="86">
        <v>5026</v>
      </c>
      <c r="B5027" s="87">
        <v>45.48910509981215</v>
      </c>
      <c r="C5027" s="14">
        <v>2</v>
      </c>
      <c r="D5027" s="86">
        <v>0.83834503481613543</v>
      </c>
      <c r="E5027" s="86"/>
      <c r="F5027" s="14"/>
    </row>
    <row r="5028" spans="1:6" x14ac:dyDescent="0.25">
      <c r="A5028" s="86">
        <v>5027</v>
      </c>
      <c r="B5028" s="87">
        <v>43.364644847650197</v>
      </c>
      <c r="C5028" s="14">
        <v>3</v>
      </c>
      <c r="D5028" s="86">
        <v>0.86561259254556755</v>
      </c>
      <c r="E5028" s="86"/>
      <c r="F5028" s="14"/>
    </row>
    <row r="5029" spans="1:6" x14ac:dyDescent="0.25">
      <c r="A5029" s="86">
        <v>5028</v>
      </c>
      <c r="B5029" s="87">
        <v>47.184926183370408</v>
      </c>
      <c r="C5029" s="14">
        <v>5</v>
      </c>
      <c r="D5029" s="86">
        <v>0.1056020237319677</v>
      </c>
      <c r="E5029" s="86"/>
      <c r="F5029" s="14"/>
    </row>
    <row r="5030" spans="1:6" x14ac:dyDescent="0.25">
      <c r="A5030" s="86">
        <v>5029</v>
      </c>
      <c r="B5030" s="87">
        <v>38.386383488948923</v>
      </c>
      <c r="C5030" s="14">
        <v>5</v>
      </c>
      <c r="D5030" s="86">
        <v>0.88698476607937893</v>
      </c>
      <c r="E5030" s="86"/>
      <c r="F5030" s="14"/>
    </row>
    <row r="5031" spans="1:6" x14ac:dyDescent="0.25">
      <c r="A5031" s="86">
        <v>5030</v>
      </c>
      <c r="B5031" s="87">
        <v>41.043517734913621</v>
      </c>
      <c r="C5031" s="14">
        <v>2</v>
      </c>
      <c r="D5031" s="86">
        <v>0.70523482533217663</v>
      </c>
      <c r="E5031" s="86"/>
      <c r="F5031" s="14"/>
    </row>
    <row r="5032" spans="1:6" x14ac:dyDescent="0.25">
      <c r="A5032" s="86">
        <v>5031</v>
      </c>
      <c r="B5032" s="87">
        <v>47.162171762800426</v>
      </c>
      <c r="C5032" s="14">
        <v>2</v>
      </c>
      <c r="D5032" s="86">
        <v>4.6208379553315693E-2</v>
      </c>
      <c r="E5032" s="86"/>
      <c r="F5032" s="14"/>
    </row>
    <row r="5033" spans="1:6" x14ac:dyDescent="0.25">
      <c r="A5033" s="86">
        <v>5032</v>
      </c>
      <c r="B5033" s="87">
        <v>42.057143895697664</v>
      </c>
      <c r="C5033" s="14">
        <v>5</v>
      </c>
      <c r="D5033" s="86">
        <v>0.27459716512638899</v>
      </c>
      <c r="E5033" s="86"/>
      <c r="F5033" s="14"/>
    </row>
    <row r="5034" spans="1:6" x14ac:dyDescent="0.25">
      <c r="A5034" s="86">
        <v>5033</v>
      </c>
      <c r="B5034" s="87">
        <v>43.663078481011325</v>
      </c>
      <c r="C5034" s="14">
        <v>4</v>
      </c>
      <c r="D5034" s="86">
        <v>0.79749238847922954</v>
      </c>
      <c r="E5034" s="86"/>
      <c r="F5034" s="14"/>
    </row>
    <row r="5035" spans="1:6" x14ac:dyDescent="0.25">
      <c r="A5035" s="86">
        <v>5034</v>
      </c>
      <c r="B5035" s="87">
        <v>47.474304660107009</v>
      </c>
      <c r="C5035" s="14">
        <v>2</v>
      </c>
      <c r="D5035" s="86">
        <v>0.63614476651868834</v>
      </c>
      <c r="E5035" s="86"/>
      <c r="F5035" s="14"/>
    </row>
    <row r="5036" spans="1:6" x14ac:dyDescent="0.25">
      <c r="A5036" s="86">
        <v>5035</v>
      </c>
      <c r="B5036" s="87">
        <v>43.804976707513561</v>
      </c>
      <c r="C5036" s="14">
        <v>2</v>
      </c>
      <c r="D5036" s="86">
        <v>0.12669037643800551</v>
      </c>
      <c r="E5036" s="86"/>
      <c r="F5036" s="14"/>
    </row>
    <row r="5037" spans="1:6" x14ac:dyDescent="0.25">
      <c r="A5037" s="86">
        <v>5036</v>
      </c>
      <c r="B5037" s="87">
        <v>47.326136604504427</v>
      </c>
      <c r="C5037" s="14">
        <v>1</v>
      </c>
      <c r="D5037" s="86">
        <v>0.95819409828057278</v>
      </c>
      <c r="E5037" s="86"/>
      <c r="F5037" s="14"/>
    </row>
    <row r="5038" spans="1:6" x14ac:dyDescent="0.25">
      <c r="A5038" s="86">
        <v>5037</v>
      </c>
      <c r="B5038" s="87">
        <v>47.596086000674404</v>
      </c>
      <c r="C5038" s="14">
        <v>4</v>
      </c>
      <c r="D5038" s="86">
        <v>0.61199579826441097</v>
      </c>
      <c r="E5038" s="86"/>
      <c r="F5038" s="14"/>
    </row>
    <row r="5039" spans="1:6" x14ac:dyDescent="0.25">
      <c r="A5039" s="86">
        <v>5038</v>
      </c>
      <c r="B5039" s="87">
        <v>41.836563008808298</v>
      </c>
      <c r="C5039" s="14">
        <v>5</v>
      </c>
      <c r="D5039" s="86">
        <v>0.9222446364730239</v>
      </c>
      <c r="E5039" s="86"/>
      <c r="F5039" s="14"/>
    </row>
    <row r="5040" spans="1:6" x14ac:dyDescent="0.25">
      <c r="A5040" s="86">
        <v>5039</v>
      </c>
      <c r="B5040" s="87">
        <v>45.408893351457664</v>
      </c>
      <c r="C5040" s="14">
        <v>4</v>
      </c>
      <c r="D5040" s="86">
        <v>0.71493805435929703</v>
      </c>
      <c r="E5040" s="86"/>
      <c r="F5040" s="14"/>
    </row>
    <row r="5041" spans="1:6" x14ac:dyDescent="0.25">
      <c r="A5041" s="86">
        <v>5040</v>
      </c>
      <c r="B5041" s="87">
        <v>42.401694594780565</v>
      </c>
      <c r="C5041" s="14">
        <v>2</v>
      </c>
      <c r="D5041" s="86">
        <v>0.53760085505234956</v>
      </c>
      <c r="E5041" s="86"/>
      <c r="F5041" s="14"/>
    </row>
    <row r="5042" spans="1:6" x14ac:dyDescent="0.25">
      <c r="A5042" s="86">
        <v>5041</v>
      </c>
      <c r="B5042" s="87">
        <v>45.881972704926739</v>
      </c>
      <c r="C5042" s="14">
        <v>2</v>
      </c>
      <c r="D5042" s="86">
        <v>9.0722637479272339E-2</v>
      </c>
      <c r="E5042" s="86"/>
      <c r="F5042" s="14"/>
    </row>
    <row r="5043" spans="1:6" x14ac:dyDescent="0.25">
      <c r="A5043" s="86">
        <v>5042</v>
      </c>
      <c r="B5043" s="87">
        <v>44.665648596826941</v>
      </c>
      <c r="C5043" s="14">
        <v>2</v>
      </c>
      <c r="D5043" s="86">
        <v>0.45122766808582115</v>
      </c>
      <c r="E5043" s="86"/>
      <c r="F5043" s="14"/>
    </row>
    <row r="5044" spans="1:6" x14ac:dyDescent="0.25">
      <c r="A5044" s="86">
        <v>5043</v>
      </c>
      <c r="B5044" s="87">
        <v>33.644892022828571</v>
      </c>
      <c r="C5044" s="14">
        <v>2</v>
      </c>
      <c r="D5044" s="86">
        <v>0.1237185255683767</v>
      </c>
      <c r="E5044" s="86"/>
      <c r="F5044" s="14"/>
    </row>
    <row r="5045" spans="1:6" x14ac:dyDescent="0.25">
      <c r="A5045" s="86">
        <v>5044</v>
      </c>
      <c r="B5045" s="87">
        <v>37.1258010949241</v>
      </c>
      <c r="C5045" s="14">
        <v>1</v>
      </c>
      <c r="D5045" s="86">
        <v>0.81982537670871025</v>
      </c>
      <c r="E5045" s="86"/>
      <c r="F5045" s="14"/>
    </row>
    <row r="5046" spans="1:6" x14ac:dyDescent="0.25">
      <c r="A5046" s="86">
        <v>5045</v>
      </c>
      <c r="B5046" s="87">
        <v>41.318980942713097</v>
      </c>
      <c r="C5046" s="14">
        <v>1</v>
      </c>
      <c r="D5046" s="86">
        <v>0.79904482968926771</v>
      </c>
      <c r="E5046" s="86"/>
      <c r="F5046" s="14"/>
    </row>
    <row r="5047" spans="1:6" x14ac:dyDescent="0.25">
      <c r="A5047" s="86">
        <v>5046</v>
      </c>
      <c r="B5047" s="87">
        <v>41.935373923814041</v>
      </c>
      <c r="C5047" s="14">
        <v>5</v>
      </c>
      <c r="D5047" s="86">
        <v>1.048479505775779E-2</v>
      </c>
      <c r="E5047" s="86"/>
      <c r="F5047" s="14"/>
    </row>
    <row r="5048" spans="1:6" x14ac:dyDescent="0.25">
      <c r="A5048" s="86">
        <v>5047</v>
      </c>
      <c r="B5048" s="87">
        <v>41.377552401507273</v>
      </c>
      <c r="C5048" s="14">
        <v>4</v>
      </c>
      <c r="D5048" s="86">
        <v>0.8159672843168122</v>
      </c>
      <c r="E5048" s="86"/>
      <c r="F5048" s="14"/>
    </row>
    <row r="5049" spans="1:6" x14ac:dyDescent="0.25">
      <c r="A5049" s="86">
        <v>5048</v>
      </c>
      <c r="B5049" s="87">
        <v>40.024031017645029</v>
      </c>
      <c r="C5049" s="14">
        <v>5</v>
      </c>
      <c r="D5049" s="86">
        <v>3.2851483779974822E-2</v>
      </c>
      <c r="E5049" s="86"/>
      <c r="F5049" s="14"/>
    </row>
    <row r="5050" spans="1:6" x14ac:dyDescent="0.25">
      <c r="A5050" s="86">
        <v>5049</v>
      </c>
      <c r="B5050" s="87">
        <v>43.353907125827391</v>
      </c>
      <c r="C5050" s="14">
        <v>2</v>
      </c>
      <c r="D5050" s="86">
        <v>0.22255392168034005</v>
      </c>
      <c r="E5050" s="86"/>
      <c r="F5050" s="14"/>
    </row>
    <row r="5051" spans="1:6" x14ac:dyDescent="0.25">
      <c r="A5051" s="86">
        <v>5050</v>
      </c>
      <c r="B5051" s="87">
        <v>43.407226252718829</v>
      </c>
      <c r="C5051" s="14">
        <v>2</v>
      </c>
      <c r="D5051" s="86">
        <v>0.10662903698049941</v>
      </c>
      <c r="E5051" s="86"/>
      <c r="F5051" s="14"/>
    </row>
    <row r="5052" spans="1:6" x14ac:dyDescent="0.25">
      <c r="A5052" s="86">
        <v>5051</v>
      </c>
      <c r="B5052" s="87">
        <v>47.171920409135055</v>
      </c>
      <c r="C5052" s="14">
        <v>4</v>
      </c>
      <c r="D5052" s="86">
        <v>0.84833353778052634</v>
      </c>
      <c r="E5052" s="86"/>
      <c r="F5052" s="14"/>
    </row>
    <row r="5053" spans="1:6" x14ac:dyDescent="0.25">
      <c r="A5053" s="86">
        <v>5052</v>
      </c>
      <c r="B5053" s="87">
        <v>53.353232937632129</v>
      </c>
      <c r="C5053" s="14">
        <v>5</v>
      </c>
      <c r="D5053" s="86">
        <v>0.82659224970116618</v>
      </c>
      <c r="E5053" s="86"/>
      <c r="F5053" s="14"/>
    </row>
    <row r="5054" spans="1:6" x14ac:dyDescent="0.25">
      <c r="A5054" s="86">
        <v>5053</v>
      </c>
      <c r="B5054" s="87">
        <v>43.658059207125916</v>
      </c>
      <c r="C5054" s="14">
        <v>4</v>
      </c>
      <c r="D5054" s="86">
        <v>0.4008457790063481</v>
      </c>
      <c r="E5054" s="86"/>
      <c r="F5054" s="14"/>
    </row>
    <row r="5055" spans="1:6" x14ac:dyDescent="0.25">
      <c r="A5055" s="86">
        <v>5054</v>
      </c>
      <c r="B5055" s="87">
        <v>47.263631581125082</v>
      </c>
      <c r="C5055" s="14">
        <v>4</v>
      </c>
      <c r="D5055" s="86">
        <v>0.91327046875573592</v>
      </c>
      <c r="E5055" s="86"/>
      <c r="F5055" s="14"/>
    </row>
    <row r="5056" spans="1:6" x14ac:dyDescent="0.25">
      <c r="A5056" s="86">
        <v>5055</v>
      </c>
      <c r="B5056" s="87">
        <v>45.303750079590827</v>
      </c>
      <c r="C5056" s="14">
        <v>4</v>
      </c>
      <c r="D5056" s="86">
        <v>0.28397410508106913</v>
      </c>
      <c r="E5056" s="86"/>
      <c r="F5056" s="14"/>
    </row>
    <row r="5057" spans="1:6" x14ac:dyDescent="0.25">
      <c r="A5057" s="86">
        <v>5056</v>
      </c>
      <c r="B5057" s="87">
        <v>36.748474480526056</v>
      </c>
      <c r="C5057" s="14">
        <v>5</v>
      </c>
      <c r="D5057" s="86">
        <v>0.69073597001241804</v>
      </c>
      <c r="E5057" s="86"/>
      <c r="F5057" s="14"/>
    </row>
    <row r="5058" spans="1:6" x14ac:dyDescent="0.25">
      <c r="A5058" s="86">
        <v>5057</v>
      </c>
      <c r="B5058" s="87">
        <v>41.390046584972879</v>
      </c>
      <c r="C5058" s="14">
        <v>4</v>
      </c>
      <c r="D5058" s="86">
        <v>0.75740768377198575</v>
      </c>
      <c r="E5058" s="86"/>
      <c r="F5058" s="14"/>
    </row>
    <row r="5059" spans="1:6" x14ac:dyDescent="0.25">
      <c r="A5059" s="86">
        <v>5058</v>
      </c>
      <c r="B5059" s="87">
        <v>40.270253970782505</v>
      </c>
      <c r="C5059" s="14">
        <v>2</v>
      </c>
      <c r="D5059" s="86">
        <v>0.29192437764783419</v>
      </c>
      <c r="E5059" s="86"/>
      <c r="F5059" s="14"/>
    </row>
    <row r="5060" spans="1:6" x14ac:dyDescent="0.25">
      <c r="A5060" s="86">
        <v>5059</v>
      </c>
      <c r="B5060" s="87">
        <v>45.992885583807947</v>
      </c>
      <c r="C5060" s="14">
        <v>2</v>
      </c>
      <c r="D5060" s="86">
        <v>0.71547715320540706</v>
      </c>
      <c r="E5060" s="86"/>
      <c r="F5060" s="14"/>
    </row>
    <row r="5061" spans="1:6" x14ac:dyDescent="0.25">
      <c r="A5061" s="86">
        <v>5060</v>
      </c>
      <c r="B5061" s="87">
        <v>40.127952156006359</v>
      </c>
      <c r="C5061" s="14">
        <v>4</v>
      </c>
      <c r="D5061" s="86">
        <v>0.91363372795418174</v>
      </c>
      <c r="E5061" s="86"/>
      <c r="F5061" s="14"/>
    </row>
    <row r="5062" spans="1:6" x14ac:dyDescent="0.25">
      <c r="A5062" s="86">
        <v>5061</v>
      </c>
      <c r="B5062" s="87">
        <v>39.979158822796308</v>
      </c>
      <c r="C5062" s="14">
        <v>2</v>
      </c>
      <c r="D5062" s="86">
        <v>0.34082317557262276</v>
      </c>
      <c r="E5062" s="86"/>
      <c r="F5062" s="14"/>
    </row>
    <row r="5063" spans="1:6" x14ac:dyDescent="0.25">
      <c r="A5063" s="86">
        <v>5062</v>
      </c>
      <c r="B5063" s="87">
        <v>37.236463862762321</v>
      </c>
      <c r="C5063" s="14">
        <v>2</v>
      </c>
      <c r="D5063" s="86">
        <v>0.49547403466916251</v>
      </c>
      <c r="E5063" s="86"/>
      <c r="F5063" s="14"/>
    </row>
    <row r="5064" spans="1:6" x14ac:dyDescent="0.25">
      <c r="A5064" s="86">
        <v>5063</v>
      </c>
      <c r="B5064" s="87">
        <v>38.313885392533848</v>
      </c>
      <c r="C5064" s="14">
        <v>1</v>
      </c>
      <c r="D5064" s="86">
        <v>0.10557181412514194</v>
      </c>
      <c r="E5064" s="86"/>
      <c r="F5064" s="14"/>
    </row>
    <row r="5065" spans="1:6" x14ac:dyDescent="0.25">
      <c r="A5065" s="86">
        <v>5064</v>
      </c>
      <c r="B5065" s="87">
        <v>43.015108980733203</v>
      </c>
      <c r="C5065" s="14">
        <v>4</v>
      </c>
      <c r="D5065" s="86">
        <v>0.86530415220078161</v>
      </c>
      <c r="E5065" s="86"/>
      <c r="F5065" s="14"/>
    </row>
    <row r="5066" spans="1:6" x14ac:dyDescent="0.25">
      <c r="A5066" s="86">
        <v>5065</v>
      </c>
      <c r="B5066" s="87">
        <v>45.913645857915981</v>
      </c>
      <c r="C5066" s="14">
        <v>5</v>
      </c>
      <c r="D5066" s="86">
        <v>0.59390137389065645</v>
      </c>
      <c r="E5066" s="86"/>
      <c r="F5066" s="14"/>
    </row>
    <row r="5067" spans="1:6" x14ac:dyDescent="0.25">
      <c r="A5067" s="86">
        <v>5066</v>
      </c>
      <c r="B5067" s="87">
        <v>35.990660757641308</v>
      </c>
      <c r="C5067" s="14">
        <v>5</v>
      </c>
      <c r="D5067" s="86">
        <v>0.75641037221915663</v>
      </c>
      <c r="E5067" s="86"/>
      <c r="F5067" s="14"/>
    </row>
    <row r="5068" spans="1:6" x14ac:dyDescent="0.25">
      <c r="A5068" s="86">
        <v>5067</v>
      </c>
      <c r="B5068" s="87">
        <v>44.324406184721738</v>
      </c>
      <c r="C5068" s="14">
        <v>2</v>
      </c>
      <c r="D5068" s="86">
        <v>0.70035385953308948</v>
      </c>
      <c r="E5068" s="86"/>
      <c r="F5068" s="14"/>
    </row>
    <row r="5069" spans="1:6" x14ac:dyDescent="0.25">
      <c r="A5069" s="86">
        <v>5068</v>
      </c>
      <c r="B5069" s="87">
        <v>46.350271526869619</v>
      </c>
      <c r="C5069" s="14">
        <v>2</v>
      </c>
      <c r="D5069" s="86">
        <v>0.75556723708701379</v>
      </c>
      <c r="E5069" s="86"/>
      <c r="F5069" s="14"/>
    </row>
    <row r="5070" spans="1:6" x14ac:dyDescent="0.25">
      <c r="A5070" s="86">
        <v>5069</v>
      </c>
      <c r="B5070" s="87">
        <v>35.621405908721499</v>
      </c>
      <c r="C5070" s="14">
        <v>1</v>
      </c>
      <c r="D5070" s="86">
        <v>0.69162700639193508</v>
      </c>
      <c r="E5070" s="86"/>
      <c r="F5070" s="14"/>
    </row>
    <row r="5071" spans="1:6" x14ac:dyDescent="0.25">
      <c r="A5071" s="86">
        <v>5070</v>
      </c>
      <c r="B5071" s="87">
        <v>44.773594249243615</v>
      </c>
      <c r="C5071" s="14">
        <v>4</v>
      </c>
      <c r="D5071" s="86">
        <v>8.1088296951973837E-2</v>
      </c>
      <c r="E5071" s="86"/>
      <c r="F5071" s="14"/>
    </row>
    <row r="5072" spans="1:6" x14ac:dyDescent="0.25">
      <c r="A5072" s="86">
        <v>5071</v>
      </c>
      <c r="B5072" s="87">
        <v>42.38165728963213</v>
      </c>
      <c r="C5072" s="14">
        <v>5</v>
      </c>
      <c r="D5072" s="86">
        <v>0.84289146058214359</v>
      </c>
      <c r="E5072" s="86"/>
      <c r="F5072" s="14"/>
    </row>
    <row r="5073" spans="1:6" x14ac:dyDescent="0.25">
      <c r="A5073" s="86">
        <v>5072</v>
      </c>
      <c r="B5073" s="87">
        <v>44.401815552526386</v>
      </c>
      <c r="C5073" s="14">
        <v>5</v>
      </c>
      <c r="D5073" s="86">
        <v>0.7184165904456068</v>
      </c>
      <c r="E5073" s="86"/>
      <c r="F5073" s="14"/>
    </row>
    <row r="5074" spans="1:6" x14ac:dyDescent="0.25">
      <c r="A5074" s="86">
        <v>5073</v>
      </c>
      <c r="B5074" s="87">
        <v>41.647842858190415</v>
      </c>
      <c r="C5074" s="14">
        <v>1</v>
      </c>
      <c r="D5074" s="86">
        <v>0.61035738195189493</v>
      </c>
      <c r="E5074" s="86"/>
      <c r="F5074" s="14"/>
    </row>
    <row r="5075" spans="1:6" x14ac:dyDescent="0.25">
      <c r="A5075" s="86">
        <v>5074</v>
      </c>
      <c r="B5075" s="87">
        <v>44.370415247947676</v>
      </c>
      <c r="C5075" s="14">
        <v>2</v>
      </c>
      <c r="D5075" s="86">
        <v>0.60967547520748244</v>
      </c>
      <c r="E5075" s="86"/>
      <c r="F5075" s="14"/>
    </row>
    <row r="5076" spans="1:6" x14ac:dyDescent="0.25">
      <c r="A5076" s="86">
        <v>5075</v>
      </c>
      <c r="B5076" s="87">
        <v>46.002492121595424</v>
      </c>
      <c r="C5076" s="14">
        <v>4</v>
      </c>
      <c r="D5076" s="86">
        <v>0.47225205835464545</v>
      </c>
      <c r="E5076" s="86"/>
      <c r="F5076" s="14"/>
    </row>
    <row r="5077" spans="1:6" x14ac:dyDescent="0.25">
      <c r="A5077" s="86">
        <v>5076</v>
      </c>
      <c r="B5077" s="87">
        <v>39.293490767129697</v>
      </c>
      <c r="C5077" s="14">
        <v>5</v>
      </c>
      <c r="D5077" s="86">
        <v>0.1543677626963359</v>
      </c>
      <c r="E5077" s="86"/>
      <c r="F5077" s="14"/>
    </row>
    <row r="5078" spans="1:6" x14ac:dyDescent="0.25">
      <c r="A5078" s="86">
        <v>5077</v>
      </c>
      <c r="B5078" s="87">
        <v>39.168992311140755</v>
      </c>
      <c r="C5078" s="14">
        <v>2</v>
      </c>
      <c r="D5078" s="86">
        <v>0.46255131611771982</v>
      </c>
      <c r="E5078" s="86"/>
      <c r="F5078" s="14"/>
    </row>
    <row r="5079" spans="1:6" x14ac:dyDescent="0.25">
      <c r="A5079" s="86">
        <v>5078</v>
      </c>
      <c r="B5079" s="87">
        <v>32.171556080691516</v>
      </c>
      <c r="C5079" s="14">
        <v>4</v>
      </c>
      <c r="D5079" s="86">
        <v>0.84241193294639305</v>
      </c>
      <c r="E5079" s="86"/>
      <c r="F5079" s="14"/>
    </row>
    <row r="5080" spans="1:6" x14ac:dyDescent="0.25">
      <c r="A5080" s="86">
        <v>5079</v>
      </c>
      <c r="B5080" s="87">
        <v>53.926214599749073</v>
      </c>
      <c r="C5080" s="14">
        <v>2</v>
      </c>
      <c r="D5080" s="86">
        <v>0.92604921553723663</v>
      </c>
      <c r="E5080" s="86"/>
      <c r="F5080" s="14"/>
    </row>
    <row r="5081" spans="1:6" x14ac:dyDescent="0.25">
      <c r="A5081" s="86">
        <v>5080</v>
      </c>
      <c r="B5081" s="87">
        <v>43.402241084884736</v>
      </c>
      <c r="C5081" s="14">
        <v>4</v>
      </c>
      <c r="D5081" s="86">
        <v>0.32647493837330543</v>
      </c>
      <c r="E5081" s="86"/>
      <c r="F5081" s="14"/>
    </row>
    <row r="5082" spans="1:6" x14ac:dyDescent="0.25">
      <c r="A5082" s="86">
        <v>5081</v>
      </c>
      <c r="B5082" s="87">
        <v>42.896908775554039</v>
      </c>
      <c r="C5082" s="14">
        <v>4</v>
      </c>
      <c r="D5082" s="86">
        <v>0.11041965218763639</v>
      </c>
      <c r="E5082" s="86"/>
      <c r="F5082" s="14"/>
    </row>
    <row r="5083" spans="1:6" x14ac:dyDescent="0.25">
      <c r="A5083" s="86">
        <v>5082</v>
      </c>
      <c r="B5083" s="87">
        <v>41.714372395625105</v>
      </c>
      <c r="C5083" s="14">
        <v>2</v>
      </c>
      <c r="D5083" s="86">
        <v>0.28990780311306386</v>
      </c>
      <c r="E5083" s="86"/>
      <c r="F5083" s="14"/>
    </row>
    <row r="5084" spans="1:6" x14ac:dyDescent="0.25">
      <c r="A5084" s="86">
        <v>5083</v>
      </c>
      <c r="B5084" s="87">
        <v>35.625930644862819</v>
      </c>
      <c r="C5084" s="14">
        <v>2</v>
      </c>
      <c r="D5084" s="86">
        <v>0.41765045213025243</v>
      </c>
      <c r="E5084" s="86"/>
      <c r="F5084" s="14"/>
    </row>
    <row r="5085" spans="1:6" x14ac:dyDescent="0.25">
      <c r="A5085" s="86">
        <v>5084</v>
      </c>
      <c r="B5085" s="87">
        <v>37.391987456765492</v>
      </c>
      <c r="C5085" s="14">
        <v>1</v>
      </c>
      <c r="D5085" s="86">
        <v>0.12342254497388827</v>
      </c>
      <c r="E5085" s="86"/>
      <c r="F5085" s="14"/>
    </row>
    <row r="5086" spans="1:6" x14ac:dyDescent="0.25">
      <c r="A5086" s="86">
        <v>5085</v>
      </c>
      <c r="B5086" s="87">
        <v>42.583178578177467</v>
      </c>
      <c r="C5086" s="14">
        <v>2</v>
      </c>
      <c r="D5086" s="86">
        <v>0.48863972717629589</v>
      </c>
      <c r="E5086" s="86"/>
      <c r="F5086" s="14"/>
    </row>
    <row r="5087" spans="1:6" x14ac:dyDescent="0.25">
      <c r="A5087" s="86">
        <v>5086</v>
      </c>
      <c r="B5087" s="87">
        <v>38.176813172292896</v>
      </c>
      <c r="C5087" s="14">
        <v>2</v>
      </c>
      <c r="D5087" s="86">
        <v>0.3692228178488417</v>
      </c>
      <c r="E5087" s="86"/>
      <c r="F5087" s="14"/>
    </row>
    <row r="5088" spans="1:6" x14ac:dyDescent="0.25">
      <c r="A5088" s="86">
        <v>5087</v>
      </c>
      <c r="B5088" s="87">
        <v>44.961029738595244</v>
      </c>
      <c r="C5088" s="14">
        <v>1</v>
      </c>
      <c r="D5088" s="86">
        <v>0.25994647393162451</v>
      </c>
      <c r="E5088" s="86"/>
      <c r="F5088" s="14"/>
    </row>
    <row r="5089" spans="1:6" x14ac:dyDescent="0.25">
      <c r="A5089" s="86">
        <v>5088</v>
      </c>
      <c r="B5089" s="87">
        <v>47.294520294934046</v>
      </c>
      <c r="C5089" s="14">
        <v>3</v>
      </c>
      <c r="D5089" s="86">
        <v>0.99397133045923092</v>
      </c>
      <c r="E5089" s="86"/>
      <c r="F5089" s="14"/>
    </row>
    <row r="5090" spans="1:6" x14ac:dyDescent="0.25">
      <c r="A5090" s="86">
        <v>5089</v>
      </c>
      <c r="B5090" s="87">
        <v>49.990990186750423</v>
      </c>
      <c r="C5090" s="14">
        <v>5</v>
      </c>
      <c r="D5090" s="86">
        <v>0.72723165662095746</v>
      </c>
      <c r="E5090" s="86"/>
      <c r="F5090" s="14"/>
    </row>
    <row r="5091" spans="1:6" x14ac:dyDescent="0.25">
      <c r="A5091" s="86">
        <v>5090</v>
      </c>
      <c r="B5091" s="87">
        <v>38.455027601565234</v>
      </c>
      <c r="C5091" s="14">
        <v>4</v>
      </c>
      <c r="D5091" s="86">
        <v>0.87840759313989603</v>
      </c>
      <c r="E5091" s="86"/>
      <c r="F5091" s="14"/>
    </row>
    <row r="5092" spans="1:6" x14ac:dyDescent="0.25">
      <c r="A5092" s="86">
        <v>5091</v>
      </c>
      <c r="B5092" s="87">
        <v>37.226800481555983</v>
      </c>
      <c r="C5092" s="14">
        <v>1</v>
      </c>
      <c r="D5092" s="86">
        <v>0.96104578368763649</v>
      </c>
      <c r="E5092" s="86"/>
      <c r="F5092" s="14"/>
    </row>
    <row r="5093" spans="1:6" x14ac:dyDescent="0.25">
      <c r="A5093" s="86">
        <v>5092</v>
      </c>
      <c r="B5093" s="87">
        <v>52.105042408918962</v>
      </c>
      <c r="C5093" s="14">
        <v>4</v>
      </c>
      <c r="D5093" s="86">
        <v>0.32174690925192639</v>
      </c>
      <c r="E5093" s="86"/>
      <c r="F5093" s="14"/>
    </row>
    <row r="5094" spans="1:6" x14ac:dyDescent="0.25">
      <c r="A5094" s="86">
        <v>5093</v>
      </c>
      <c r="B5094" s="87">
        <v>41.097905518079642</v>
      </c>
      <c r="C5094" s="14">
        <v>2</v>
      </c>
      <c r="D5094" s="86">
        <v>0.86184033013255745</v>
      </c>
      <c r="E5094" s="86"/>
      <c r="F5094" s="14"/>
    </row>
    <row r="5095" spans="1:6" x14ac:dyDescent="0.25">
      <c r="A5095" s="86">
        <v>5094</v>
      </c>
      <c r="B5095" s="87">
        <v>38.944517650059424</v>
      </c>
      <c r="C5095" s="14">
        <v>2</v>
      </c>
      <c r="D5095" s="86">
        <v>0.80749286578336033</v>
      </c>
      <c r="E5095" s="86"/>
      <c r="F5095" s="14"/>
    </row>
    <row r="5096" spans="1:6" x14ac:dyDescent="0.25">
      <c r="A5096" s="86">
        <v>5095</v>
      </c>
      <c r="B5096" s="87">
        <v>48.175661499379203</v>
      </c>
      <c r="C5096" s="14">
        <v>3</v>
      </c>
      <c r="D5096" s="86">
        <v>0.14308602014678207</v>
      </c>
      <c r="E5096" s="86"/>
      <c r="F5096" s="14"/>
    </row>
    <row r="5097" spans="1:6" x14ac:dyDescent="0.25">
      <c r="A5097" s="86">
        <v>5096</v>
      </c>
      <c r="B5097" s="87">
        <v>32.723892213078216</v>
      </c>
      <c r="C5097" s="14">
        <v>4</v>
      </c>
      <c r="D5097" s="86">
        <v>0.51069373089253078</v>
      </c>
      <c r="E5097" s="86"/>
      <c r="F5097" s="14"/>
    </row>
    <row r="5098" spans="1:6" x14ac:dyDescent="0.25">
      <c r="A5098" s="86">
        <v>5097</v>
      </c>
      <c r="B5098" s="87">
        <v>43.569423264096258</v>
      </c>
      <c r="C5098" s="14">
        <v>1</v>
      </c>
      <c r="D5098" s="86">
        <v>0.81041778551238808</v>
      </c>
      <c r="E5098" s="86"/>
      <c r="F5098" s="14"/>
    </row>
    <row r="5099" spans="1:6" x14ac:dyDescent="0.25">
      <c r="A5099" s="86">
        <v>5098</v>
      </c>
      <c r="B5099" s="87">
        <v>41.897783370921388</v>
      </c>
      <c r="C5099" s="14">
        <v>2</v>
      </c>
      <c r="D5099" s="86">
        <v>0.88502745004619676</v>
      </c>
      <c r="E5099" s="86"/>
      <c r="F5099" s="14"/>
    </row>
    <row r="5100" spans="1:6" x14ac:dyDescent="0.25">
      <c r="A5100" s="86">
        <v>5099</v>
      </c>
      <c r="B5100" s="87">
        <v>40.699649156857049</v>
      </c>
      <c r="C5100" s="14">
        <v>1</v>
      </c>
      <c r="D5100" s="86">
        <v>0.34313777082380437</v>
      </c>
      <c r="E5100" s="86"/>
      <c r="F5100" s="14"/>
    </row>
    <row r="5101" spans="1:6" x14ac:dyDescent="0.25">
      <c r="A5101" s="86">
        <v>5100</v>
      </c>
      <c r="B5101" s="87">
        <v>33.307105690590106</v>
      </c>
      <c r="C5101" s="14">
        <v>1</v>
      </c>
      <c r="D5101" s="86">
        <v>0.65826998374715051</v>
      </c>
      <c r="E5101" s="86"/>
      <c r="F5101" s="14"/>
    </row>
    <row r="5102" spans="1:6" x14ac:dyDescent="0.25">
      <c r="A5102" s="86">
        <v>5101</v>
      </c>
      <c r="B5102" s="87">
        <v>38.872883573611034</v>
      </c>
      <c r="C5102" s="14">
        <v>5</v>
      </c>
      <c r="D5102" s="86">
        <v>0.20544631120548706</v>
      </c>
      <c r="E5102" s="86"/>
      <c r="F5102" s="14"/>
    </row>
    <row r="5103" spans="1:6" x14ac:dyDescent="0.25">
      <c r="A5103" s="86">
        <v>5102</v>
      </c>
      <c r="B5103" s="87">
        <v>43.437557901022956</v>
      </c>
      <c r="C5103" s="14">
        <v>2</v>
      </c>
      <c r="D5103" s="86">
        <v>0.90261266810819052</v>
      </c>
      <c r="E5103" s="86"/>
      <c r="F5103" s="14"/>
    </row>
    <row r="5104" spans="1:6" x14ac:dyDescent="0.25">
      <c r="A5104" s="86">
        <v>5103</v>
      </c>
      <c r="B5104" s="87">
        <v>39.671715507545741</v>
      </c>
      <c r="C5104" s="14">
        <v>4</v>
      </c>
      <c r="D5104" s="86">
        <v>0.9228163076474889</v>
      </c>
      <c r="E5104" s="86"/>
      <c r="F5104" s="14"/>
    </row>
    <row r="5105" spans="1:6" x14ac:dyDescent="0.25">
      <c r="A5105" s="86">
        <v>5104</v>
      </c>
      <c r="B5105" s="87">
        <v>43.755414930608822</v>
      </c>
      <c r="C5105" s="14">
        <v>4</v>
      </c>
      <c r="D5105" s="86">
        <v>0.88936336277264783</v>
      </c>
      <c r="E5105" s="86"/>
      <c r="F5105" s="14"/>
    </row>
    <row r="5106" spans="1:6" x14ac:dyDescent="0.25">
      <c r="A5106" s="86">
        <v>5105</v>
      </c>
      <c r="B5106" s="87">
        <v>55.265809345990419</v>
      </c>
      <c r="C5106" s="14">
        <v>3</v>
      </c>
      <c r="D5106" s="86">
        <v>4.7688374271135592E-2</v>
      </c>
      <c r="E5106" s="86"/>
      <c r="F5106" s="14"/>
    </row>
    <row r="5107" spans="1:6" x14ac:dyDescent="0.25">
      <c r="A5107" s="86">
        <v>5106</v>
      </c>
      <c r="B5107" s="87">
        <v>49.937511898286175</v>
      </c>
      <c r="C5107" s="14">
        <v>4</v>
      </c>
      <c r="D5107" s="86">
        <v>0.21454251944031255</v>
      </c>
      <c r="E5107" s="86"/>
      <c r="F5107" s="14"/>
    </row>
    <row r="5108" spans="1:6" x14ac:dyDescent="0.25">
      <c r="A5108" s="86">
        <v>5107</v>
      </c>
      <c r="B5108" s="87">
        <v>37.000404512917157</v>
      </c>
      <c r="C5108" s="14">
        <v>4</v>
      </c>
      <c r="D5108" s="86">
        <v>0.9866990765119581</v>
      </c>
      <c r="E5108" s="86"/>
      <c r="F5108" s="14"/>
    </row>
    <row r="5109" spans="1:6" x14ac:dyDescent="0.25">
      <c r="A5109" s="86">
        <v>5108</v>
      </c>
      <c r="B5109" s="87">
        <v>38.57570617980673</v>
      </c>
      <c r="C5109" s="14">
        <v>2</v>
      </c>
      <c r="D5109" s="86">
        <v>0.1971889526128513</v>
      </c>
      <c r="E5109" s="86"/>
      <c r="F5109" s="14"/>
    </row>
    <row r="5110" spans="1:6" x14ac:dyDescent="0.25">
      <c r="A5110" s="86">
        <v>5109</v>
      </c>
      <c r="B5110" s="87">
        <v>46.084437594225165</v>
      </c>
      <c r="C5110" s="14">
        <v>3</v>
      </c>
      <c r="D5110" s="86">
        <v>0.13531494072256234</v>
      </c>
      <c r="E5110" s="86"/>
      <c r="F5110" s="14"/>
    </row>
    <row r="5111" spans="1:6" x14ac:dyDescent="0.25">
      <c r="A5111" s="86">
        <v>5110</v>
      </c>
      <c r="B5111" s="87">
        <v>33.675541994278319</v>
      </c>
      <c r="C5111" s="14">
        <v>4</v>
      </c>
      <c r="D5111" s="86">
        <v>0.2889306929238048</v>
      </c>
      <c r="E5111" s="86"/>
      <c r="F5111" s="14"/>
    </row>
    <row r="5112" spans="1:6" x14ac:dyDescent="0.25">
      <c r="A5112" s="86">
        <v>5111</v>
      </c>
      <c r="B5112" s="87">
        <v>38.696066434902605</v>
      </c>
      <c r="C5112" s="14">
        <v>4</v>
      </c>
      <c r="D5112" s="86">
        <v>0.13916118789212839</v>
      </c>
      <c r="E5112" s="86"/>
      <c r="F5112" s="14"/>
    </row>
    <row r="5113" spans="1:6" x14ac:dyDescent="0.25">
      <c r="A5113" s="86">
        <v>5112</v>
      </c>
      <c r="B5113" s="87">
        <v>42.523652149946429</v>
      </c>
      <c r="C5113" s="14">
        <v>1</v>
      </c>
      <c r="D5113" s="86">
        <v>0.99991339163801018</v>
      </c>
      <c r="E5113" s="86"/>
      <c r="F5113" s="14"/>
    </row>
    <row r="5114" spans="1:6" x14ac:dyDescent="0.25">
      <c r="A5114" s="86">
        <v>5113</v>
      </c>
      <c r="B5114" s="87">
        <v>34.536651577916928</v>
      </c>
      <c r="C5114" s="14">
        <v>1</v>
      </c>
      <c r="D5114" s="86">
        <v>0.89013992112074358</v>
      </c>
      <c r="E5114" s="86"/>
      <c r="F5114" s="14"/>
    </row>
    <row r="5115" spans="1:6" x14ac:dyDescent="0.25">
      <c r="A5115" s="86">
        <v>5114</v>
      </c>
      <c r="B5115" s="87">
        <v>45.072226834570756</v>
      </c>
      <c r="C5115" s="14">
        <v>5</v>
      </c>
      <c r="D5115" s="86">
        <v>0.61240057120348701</v>
      </c>
      <c r="E5115" s="86"/>
      <c r="F5115" s="14"/>
    </row>
    <row r="5116" spans="1:6" x14ac:dyDescent="0.25">
      <c r="A5116" s="86">
        <v>5115</v>
      </c>
      <c r="B5116" s="87">
        <v>45.008204091907828</v>
      </c>
      <c r="C5116" s="14">
        <v>2</v>
      </c>
      <c r="D5116" s="86">
        <v>1.0070929539556239E-3</v>
      </c>
      <c r="E5116" s="86"/>
      <c r="F5116" s="14"/>
    </row>
    <row r="5117" spans="1:6" x14ac:dyDescent="0.25">
      <c r="A5117" s="86">
        <v>5116</v>
      </c>
      <c r="B5117" s="87">
        <v>47.858634383708704</v>
      </c>
      <c r="C5117" s="14">
        <v>4</v>
      </c>
      <c r="D5117" s="86">
        <v>0.26955390936831192</v>
      </c>
      <c r="E5117" s="86"/>
      <c r="F5117" s="14"/>
    </row>
    <row r="5118" spans="1:6" x14ac:dyDescent="0.25">
      <c r="A5118" s="86">
        <v>5117</v>
      </c>
      <c r="B5118" s="87">
        <v>39.460587681212928</v>
      </c>
      <c r="C5118" s="14">
        <v>4</v>
      </c>
      <c r="D5118" s="86">
        <v>0.10659688798223121</v>
      </c>
      <c r="E5118" s="86"/>
      <c r="F5118" s="14"/>
    </row>
    <row r="5119" spans="1:6" x14ac:dyDescent="0.25">
      <c r="A5119" s="86">
        <v>5118</v>
      </c>
      <c r="B5119" s="87">
        <v>41.785017396585317</v>
      </c>
      <c r="C5119" s="14">
        <v>2</v>
      </c>
      <c r="D5119" s="86">
        <v>0.28561119293003956</v>
      </c>
      <c r="E5119" s="86"/>
      <c r="F5119" s="14"/>
    </row>
    <row r="5120" spans="1:6" x14ac:dyDescent="0.25">
      <c r="A5120" s="86">
        <v>5119</v>
      </c>
      <c r="B5120" s="87">
        <v>45.183611513828509</v>
      </c>
      <c r="C5120" s="14">
        <v>5</v>
      </c>
      <c r="D5120" s="86">
        <v>0.37679684946849523</v>
      </c>
      <c r="E5120" s="86"/>
      <c r="F5120" s="14"/>
    </row>
    <row r="5121" spans="1:6" x14ac:dyDescent="0.25">
      <c r="A5121" s="86">
        <v>5120</v>
      </c>
      <c r="B5121" s="87">
        <v>41.80549239605898</v>
      </c>
      <c r="C5121" s="14">
        <v>4</v>
      </c>
      <c r="D5121" s="86">
        <v>0.7208440168863024</v>
      </c>
      <c r="E5121" s="86"/>
      <c r="F5121" s="14"/>
    </row>
    <row r="5122" spans="1:6" x14ac:dyDescent="0.25">
      <c r="A5122" s="86">
        <v>5121</v>
      </c>
      <c r="B5122" s="87">
        <v>45.382296315772692</v>
      </c>
      <c r="C5122" s="14">
        <v>4</v>
      </c>
      <c r="D5122" s="86">
        <v>0.34092355273258845</v>
      </c>
      <c r="E5122" s="86"/>
      <c r="F5122" s="14"/>
    </row>
    <row r="5123" spans="1:6" x14ac:dyDescent="0.25">
      <c r="A5123" s="86">
        <v>5122</v>
      </c>
      <c r="B5123" s="87">
        <v>44.825833351176698</v>
      </c>
      <c r="C5123" s="14">
        <v>2</v>
      </c>
      <c r="D5123" s="86">
        <v>0.82065343207024677</v>
      </c>
      <c r="E5123" s="86"/>
      <c r="F5123" s="14"/>
    </row>
    <row r="5124" spans="1:6" x14ac:dyDescent="0.25">
      <c r="A5124" s="86">
        <v>5123</v>
      </c>
      <c r="B5124" s="87">
        <v>37.184122442675289</v>
      </c>
      <c r="C5124" s="14">
        <v>2</v>
      </c>
      <c r="D5124" s="86">
        <v>0.83587517498339081</v>
      </c>
      <c r="E5124" s="86"/>
      <c r="F5124" s="14"/>
    </row>
    <row r="5125" spans="1:6" x14ac:dyDescent="0.25">
      <c r="A5125" s="86">
        <v>5124</v>
      </c>
      <c r="B5125" s="87">
        <v>49.611912795051467</v>
      </c>
      <c r="C5125" s="14">
        <v>3</v>
      </c>
      <c r="D5125" s="86">
        <v>3.417305040715457E-2</v>
      </c>
      <c r="E5125" s="86"/>
      <c r="F5125" s="14"/>
    </row>
    <row r="5126" spans="1:6" x14ac:dyDescent="0.25">
      <c r="A5126" s="86">
        <v>5125</v>
      </c>
      <c r="B5126" s="87">
        <v>42.816935769558768</v>
      </c>
      <c r="C5126" s="14">
        <v>2</v>
      </c>
      <c r="D5126" s="86">
        <v>0.54182618321376308</v>
      </c>
      <c r="E5126" s="86"/>
      <c r="F5126" s="14"/>
    </row>
    <row r="5127" spans="1:6" x14ac:dyDescent="0.25">
      <c r="A5127" s="86">
        <v>5126</v>
      </c>
      <c r="B5127" s="87">
        <v>44.773594249243615</v>
      </c>
      <c r="C5127" s="14">
        <v>2</v>
      </c>
      <c r="D5127" s="86">
        <v>0.75251001361296788</v>
      </c>
      <c r="E5127" s="86"/>
      <c r="F5127" s="14"/>
    </row>
    <row r="5128" spans="1:6" x14ac:dyDescent="0.25">
      <c r="A5128" s="86">
        <v>5127</v>
      </c>
      <c r="B5128" s="87">
        <v>51.662254913360812</v>
      </c>
      <c r="C5128" s="14">
        <v>5</v>
      </c>
      <c r="D5128" s="86">
        <v>0.97265856286885333</v>
      </c>
      <c r="E5128" s="86"/>
      <c r="F5128" s="14"/>
    </row>
    <row r="5129" spans="1:6" x14ac:dyDescent="0.25">
      <c r="A5129" s="86">
        <v>5128</v>
      </c>
      <c r="B5129" s="87">
        <v>47.698597422247985</v>
      </c>
      <c r="C5129" s="14">
        <v>3</v>
      </c>
      <c r="D5129" s="86">
        <v>0.25927169385688065</v>
      </c>
      <c r="E5129" s="86"/>
      <c r="F5129" s="14"/>
    </row>
    <row r="5130" spans="1:6" x14ac:dyDescent="0.25">
      <c r="A5130" s="86">
        <v>5129</v>
      </c>
      <c r="B5130" s="87">
        <v>46.27927409671247</v>
      </c>
      <c r="C5130" s="14">
        <v>1</v>
      </c>
      <c r="D5130" s="86">
        <v>0.88817737087958371</v>
      </c>
      <c r="E5130" s="86"/>
      <c r="F5130" s="14"/>
    </row>
    <row r="5131" spans="1:6" x14ac:dyDescent="0.25">
      <c r="A5131" s="86">
        <v>5130</v>
      </c>
      <c r="B5131" s="87">
        <v>49.899654181324877</v>
      </c>
      <c r="C5131" s="14">
        <v>2</v>
      </c>
      <c r="D5131" s="86">
        <v>0.99247542523514398</v>
      </c>
      <c r="E5131" s="86"/>
      <c r="F5131" s="14"/>
    </row>
    <row r="5132" spans="1:6" x14ac:dyDescent="0.25">
      <c r="A5132" s="86">
        <v>5131</v>
      </c>
      <c r="B5132" s="87">
        <v>44.989565134863369</v>
      </c>
      <c r="C5132" s="14">
        <v>4</v>
      </c>
      <c r="D5132" s="86">
        <v>0.91385310684473009</v>
      </c>
      <c r="E5132" s="86"/>
      <c r="F5132" s="14"/>
    </row>
    <row r="5133" spans="1:6" x14ac:dyDescent="0.25">
      <c r="A5133" s="86">
        <v>5132</v>
      </c>
      <c r="B5133" s="87">
        <v>36.051437741087284</v>
      </c>
      <c r="C5133" s="14">
        <v>2</v>
      </c>
      <c r="D5133" s="86">
        <v>0.51172397583168727</v>
      </c>
      <c r="E5133" s="86"/>
      <c r="F5133" s="14"/>
    </row>
    <row r="5134" spans="1:6" x14ac:dyDescent="0.25">
      <c r="A5134" s="86">
        <v>5133</v>
      </c>
      <c r="B5134" s="87">
        <v>37.748588960646885</v>
      </c>
      <c r="C5134" s="14">
        <v>2</v>
      </c>
      <c r="D5134" s="86">
        <v>0.13042413981667678</v>
      </c>
      <c r="E5134" s="86"/>
      <c r="F5134" s="14"/>
    </row>
    <row r="5135" spans="1:6" x14ac:dyDescent="0.25">
      <c r="A5135" s="86">
        <v>5134</v>
      </c>
      <c r="B5135" s="87">
        <v>44.014598183246562</v>
      </c>
      <c r="C5135" s="14">
        <v>5</v>
      </c>
      <c r="D5135" s="86">
        <v>0.13432965151356646</v>
      </c>
      <c r="E5135" s="86"/>
      <c r="F5135" s="14"/>
    </row>
    <row r="5136" spans="1:6" x14ac:dyDescent="0.25">
      <c r="A5136" s="86">
        <v>5135</v>
      </c>
      <c r="B5136" s="87">
        <v>49.136997399153188</v>
      </c>
      <c r="C5136" s="14">
        <v>4</v>
      </c>
      <c r="D5136" s="86">
        <v>5.8800839303836616E-2</v>
      </c>
      <c r="E5136" s="86"/>
      <c r="F5136" s="14"/>
    </row>
    <row r="5137" spans="1:6" x14ac:dyDescent="0.25">
      <c r="A5137" s="86">
        <v>5136</v>
      </c>
      <c r="B5137" s="87">
        <v>37.90471509488998</v>
      </c>
      <c r="C5137" s="14">
        <v>2</v>
      </c>
      <c r="D5137" s="86">
        <v>0.5660130630589314</v>
      </c>
      <c r="E5137" s="86"/>
      <c r="F5137" s="14"/>
    </row>
    <row r="5138" spans="1:6" x14ac:dyDescent="0.25">
      <c r="A5138" s="86">
        <v>5137</v>
      </c>
      <c r="B5138" s="87">
        <v>38.931750618183287</v>
      </c>
      <c r="C5138" s="14">
        <v>2</v>
      </c>
      <c r="D5138" s="86">
        <v>0.81366056572224221</v>
      </c>
      <c r="E5138" s="86"/>
      <c r="F5138" s="14"/>
    </row>
    <row r="5139" spans="1:6" x14ac:dyDescent="0.25">
      <c r="A5139" s="86">
        <v>5138</v>
      </c>
      <c r="B5139" s="87">
        <v>46.117816049780231</v>
      </c>
      <c r="C5139" s="14">
        <v>2</v>
      </c>
      <c r="D5139" s="86">
        <v>0.69739850058323205</v>
      </c>
      <c r="E5139" s="86"/>
      <c r="F5139" s="14"/>
    </row>
    <row r="5140" spans="1:6" x14ac:dyDescent="0.25">
      <c r="A5140" s="86">
        <v>5139</v>
      </c>
      <c r="B5140" s="87">
        <v>50.133075996534899</v>
      </c>
      <c r="C5140" s="14">
        <v>2</v>
      </c>
      <c r="D5140" s="86">
        <v>8.4179835937626679E-2</v>
      </c>
      <c r="E5140" s="86"/>
      <c r="F5140" s="14"/>
    </row>
    <row r="5141" spans="1:6" x14ac:dyDescent="0.25">
      <c r="A5141" s="86">
        <v>5140</v>
      </c>
      <c r="B5141" s="87">
        <v>35.697803463670425</v>
      </c>
      <c r="C5141" s="14">
        <v>2</v>
      </c>
      <c r="D5141" s="86">
        <v>0.33809037009973009</v>
      </c>
      <c r="E5141" s="86"/>
      <c r="F5141" s="14"/>
    </row>
    <row r="5142" spans="1:6" x14ac:dyDescent="0.25">
      <c r="A5142" s="86">
        <v>5141</v>
      </c>
      <c r="B5142" s="87">
        <v>50.048379302432295</v>
      </c>
      <c r="C5142" s="14">
        <v>4</v>
      </c>
      <c r="D5142" s="86">
        <v>0.81878434426351043</v>
      </c>
      <c r="E5142" s="86"/>
      <c r="F5142" s="14"/>
    </row>
    <row r="5143" spans="1:6" x14ac:dyDescent="0.25">
      <c r="A5143" s="86">
        <v>5142</v>
      </c>
      <c r="B5143" s="87">
        <v>44.825014805945102</v>
      </c>
      <c r="C5143" s="14">
        <v>2</v>
      </c>
      <c r="D5143" s="86">
        <v>0.72395250302185599</v>
      </c>
      <c r="E5143" s="86"/>
      <c r="F5143" s="14"/>
    </row>
    <row r="5144" spans="1:6" x14ac:dyDescent="0.25">
      <c r="A5144" s="86">
        <v>5143</v>
      </c>
      <c r="B5144" s="87">
        <v>45.815841071424074</v>
      </c>
      <c r="C5144" s="14">
        <v>4</v>
      </c>
      <c r="D5144" s="86">
        <v>0.72335199230575542</v>
      </c>
      <c r="E5144" s="86"/>
      <c r="F5144" s="14"/>
    </row>
    <row r="5145" spans="1:6" x14ac:dyDescent="0.25">
      <c r="A5145" s="86">
        <v>5144</v>
      </c>
      <c r="B5145" s="87">
        <v>38.354085058352211</v>
      </c>
      <c r="C5145" s="14">
        <v>4</v>
      </c>
      <c r="D5145" s="86">
        <v>0.55862929750420032</v>
      </c>
      <c r="E5145" s="86"/>
      <c r="F5145" s="14"/>
    </row>
    <row r="5146" spans="1:6" x14ac:dyDescent="0.25">
      <c r="A5146" s="86">
        <v>5145</v>
      </c>
      <c r="B5146" s="87">
        <v>36.786741470103152</v>
      </c>
      <c r="C5146" s="14">
        <v>4</v>
      </c>
      <c r="D5146" s="86">
        <v>0.33241122395789857</v>
      </c>
      <c r="E5146" s="86"/>
      <c r="F5146" s="14"/>
    </row>
    <row r="5147" spans="1:6" x14ac:dyDescent="0.25">
      <c r="A5147" s="86">
        <v>5146</v>
      </c>
      <c r="B5147" s="87">
        <v>47.469745817914372</v>
      </c>
      <c r="C5147" s="14">
        <v>1</v>
      </c>
      <c r="D5147" s="86">
        <v>8.8281450157072228E-2</v>
      </c>
      <c r="E5147" s="86"/>
      <c r="F5147" s="14"/>
    </row>
    <row r="5148" spans="1:6" x14ac:dyDescent="0.25">
      <c r="A5148" s="86">
        <v>5147</v>
      </c>
      <c r="B5148" s="87">
        <v>40.654060734930681</v>
      </c>
      <c r="C5148" s="14">
        <v>2</v>
      </c>
      <c r="D5148" s="86">
        <v>0.89122389372315247</v>
      </c>
      <c r="E5148" s="86"/>
      <c r="F5148" s="14"/>
    </row>
    <row r="5149" spans="1:6" x14ac:dyDescent="0.25">
      <c r="A5149" s="86">
        <v>5148</v>
      </c>
      <c r="B5149" s="87">
        <v>34.728986969974358</v>
      </c>
      <c r="C5149" s="14">
        <v>5</v>
      </c>
      <c r="D5149" s="86">
        <v>0.18858185130358773</v>
      </c>
      <c r="E5149" s="86"/>
      <c r="F5149" s="14"/>
    </row>
    <row r="5150" spans="1:6" x14ac:dyDescent="0.25">
      <c r="A5150" s="86">
        <v>5149</v>
      </c>
      <c r="B5150" s="87">
        <v>39.561109583126381</v>
      </c>
      <c r="C5150" s="14">
        <v>5</v>
      </c>
      <c r="D5150" s="86">
        <v>0.25559306647010316</v>
      </c>
      <c r="E5150" s="86"/>
      <c r="F5150" s="14"/>
    </row>
    <row r="5151" spans="1:6" x14ac:dyDescent="0.25">
      <c r="A5151" s="86">
        <v>5150</v>
      </c>
      <c r="B5151" s="87">
        <v>44.755279299686663</v>
      </c>
      <c r="C5151" s="14">
        <v>3</v>
      </c>
      <c r="D5151" s="86">
        <v>0.34886668471519966</v>
      </c>
      <c r="E5151" s="86"/>
      <c r="F5151" s="14"/>
    </row>
    <row r="5152" spans="1:6" x14ac:dyDescent="0.25">
      <c r="A5152" s="86">
        <v>5151</v>
      </c>
      <c r="B5152" s="87">
        <v>44.312923814111855</v>
      </c>
      <c r="C5152" s="14">
        <v>2</v>
      </c>
      <c r="D5152" s="86">
        <v>0.24085667261885224</v>
      </c>
      <c r="E5152" s="86"/>
      <c r="F5152" s="14"/>
    </row>
    <row r="5153" spans="1:6" x14ac:dyDescent="0.25">
      <c r="A5153" s="86">
        <v>5152</v>
      </c>
      <c r="B5153" s="87">
        <v>43.331669980369043</v>
      </c>
      <c r="C5153" s="14">
        <v>2</v>
      </c>
      <c r="D5153" s="86">
        <v>0.66310475900099863</v>
      </c>
      <c r="E5153" s="86"/>
      <c r="F5153" s="14"/>
    </row>
    <row r="5154" spans="1:6" x14ac:dyDescent="0.25">
      <c r="A5154" s="86">
        <v>5153</v>
      </c>
      <c r="B5154" s="87">
        <v>35.266839399235323</v>
      </c>
      <c r="C5154" s="14">
        <v>1</v>
      </c>
      <c r="D5154" s="86">
        <v>0.25932083048392329</v>
      </c>
      <c r="E5154" s="86"/>
      <c r="F5154" s="14"/>
    </row>
    <row r="5155" spans="1:6" x14ac:dyDescent="0.25">
      <c r="A5155" s="86">
        <v>5154</v>
      </c>
      <c r="B5155" s="87">
        <v>46.227279421480489</v>
      </c>
      <c r="C5155" s="14">
        <v>1</v>
      </c>
      <c r="D5155" s="86">
        <v>0.61118413411927153</v>
      </c>
      <c r="E5155" s="86"/>
      <c r="F5155" s="14"/>
    </row>
    <row r="5156" spans="1:6" x14ac:dyDescent="0.25">
      <c r="A5156" s="86">
        <v>5155</v>
      </c>
      <c r="B5156" s="87">
        <v>46.743866727745626</v>
      </c>
      <c r="C5156" s="14">
        <v>2</v>
      </c>
      <c r="D5156" s="86">
        <v>0.28262913118146349</v>
      </c>
      <c r="E5156" s="86"/>
      <c r="F5156" s="14"/>
    </row>
    <row r="5157" spans="1:6" x14ac:dyDescent="0.25">
      <c r="A5157" s="86">
        <v>5156</v>
      </c>
      <c r="B5157" s="87">
        <v>38.752295944839716</v>
      </c>
      <c r="C5157" s="14">
        <v>4</v>
      </c>
      <c r="D5157" s="86">
        <v>0.58845281100788582</v>
      </c>
      <c r="E5157" s="86"/>
      <c r="F5157" s="14"/>
    </row>
    <row r="5158" spans="1:6" x14ac:dyDescent="0.25">
      <c r="A5158" s="86">
        <v>5157</v>
      </c>
      <c r="B5158" s="87">
        <v>44.932971827045549</v>
      </c>
      <c r="C5158" s="14">
        <v>5</v>
      </c>
      <c r="D5158" s="86">
        <v>0.36902440983598372</v>
      </c>
      <c r="E5158" s="86"/>
      <c r="F5158" s="14"/>
    </row>
    <row r="5159" spans="1:6" x14ac:dyDescent="0.25">
      <c r="A5159" s="86">
        <v>5158</v>
      </c>
      <c r="B5159" s="87">
        <v>46.122931957477704</v>
      </c>
      <c r="C5159" s="14">
        <v>4</v>
      </c>
      <c r="D5159" s="86">
        <v>0.33494134723909175</v>
      </c>
      <c r="E5159" s="86"/>
      <c r="F5159" s="14"/>
    </row>
    <row r="5160" spans="1:6" x14ac:dyDescent="0.25">
      <c r="A5160" s="86">
        <v>5159</v>
      </c>
      <c r="B5160" s="87">
        <v>47.063463165948633</v>
      </c>
      <c r="C5160" s="14">
        <v>2</v>
      </c>
      <c r="D5160" s="86">
        <v>0.40747809503112253</v>
      </c>
      <c r="E5160" s="86"/>
      <c r="F5160" s="14"/>
    </row>
    <row r="5161" spans="1:6" x14ac:dyDescent="0.25">
      <c r="A5161" s="86">
        <v>5160</v>
      </c>
      <c r="B5161" s="87">
        <v>40.329109646670986</v>
      </c>
      <c r="C5161" s="14">
        <v>1</v>
      </c>
      <c r="D5161" s="86">
        <v>0.48480195586129193</v>
      </c>
      <c r="E5161" s="86"/>
      <c r="F5161" s="14"/>
    </row>
    <row r="5162" spans="1:6" x14ac:dyDescent="0.25">
      <c r="A5162" s="86">
        <v>5161</v>
      </c>
      <c r="B5162" s="87">
        <v>42.212070633802796</v>
      </c>
      <c r="C5162" s="14">
        <v>4</v>
      </c>
      <c r="D5162" s="86">
        <v>0.20207129040374705</v>
      </c>
      <c r="E5162" s="86"/>
      <c r="F5162" s="14"/>
    </row>
    <row r="5163" spans="1:6" x14ac:dyDescent="0.25">
      <c r="A5163" s="86">
        <v>5162</v>
      </c>
      <c r="B5163" s="87">
        <v>42.707415554439649</v>
      </c>
      <c r="C5163" s="14">
        <v>4</v>
      </c>
      <c r="D5163" s="86">
        <v>0.19629385873527361</v>
      </c>
      <c r="E5163" s="86"/>
      <c r="F5163" s="14"/>
    </row>
    <row r="5164" spans="1:6" x14ac:dyDescent="0.25">
      <c r="A5164" s="86">
        <v>5163</v>
      </c>
      <c r="B5164" s="87">
        <v>38.651012341113528</v>
      </c>
      <c r="C5164" s="14">
        <v>2</v>
      </c>
      <c r="D5164" s="86">
        <v>0.92917641478419111</v>
      </c>
      <c r="E5164" s="86"/>
      <c r="F5164" s="14"/>
    </row>
    <row r="5165" spans="1:6" x14ac:dyDescent="0.25">
      <c r="A5165" s="86">
        <v>5164</v>
      </c>
      <c r="B5165" s="87">
        <v>41.610508100682637</v>
      </c>
      <c r="C5165" s="14">
        <v>4</v>
      </c>
      <c r="D5165" s="86">
        <v>0.21466601027328303</v>
      </c>
      <c r="E5165" s="86"/>
      <c r="F5165" s="14"/>
    </row>
    <row r="5166" spans="1:6" x14ac:dyDescent="0.25">
      <c r="A5166" s="86">
        <v>5165</v>
      </c>
      <c r="B5166" s="87">
        <v>45.989679614984198</v>
      </c>
      <c r="C5166" s="14">
        <v>4</v>
      </c>
      <c r="D5166" s="86">
        <v>0.76138169246500775</v>
      </c>
      <c r="E5166" s="86"/>
      <c r="F5166" s="14"/>
    </row>
    <row r="5167" spans="1:6" x14ac:dyDescent="0.25">
      <c r="A5167" s="86">
        <v>5166</v>
      </c>
      <c r="B5167" s="87">
        <v>43.504019226355013</v>
      </c>
      <c r="C5167" s="14">
        <v>5</v>
      </c>
      <c r="D5167" s="86">
        <v>0.78271200634845295</v>
      </c>
      <c r="E5167" s="86"/>
      <c r="F5167" s="14"/>
    </row>
    <row r="5168" spans="1:6" x14ac:dyDescent="0.25">
      <c r="A5168" s="86">
        <v>5167</v>
      </c>
      <c r="B5168" s="87">
        <v>40.635688941954868</v>
      </c>
      <c r="C5168" s="14">
        <v>3</v>
      </c>
      <c r="D5168" s="86">
        <v>7.8830787768686239E-2</v>
      </c>
      <c r="E5168" s="86"/>
      <c r="F5168" s="14"/>
    </row>
    <row r="5169" spans="1:6" x14ac:dyDescent="0.25">
      <c r="A5169" s="86">
        <v>5168</v>
      </c>
      <c r="B5169" s="87">
        <v>46.804899506576476</v>
      </c>
      <c r="C5169" s="14">
        <v>4</v>
      </c>
      <c r="D5169" s="86">
        <v>0.62075013815776381</v>
      </c>
      <c r="E5169" s="86"/>
      <c r="F5169" s="14"/>
    </row>
    <row r="5170" spans="1:6" x14ac:dyDescent="0.25">
      <c r="A5170" s="86">
        <v>5169</v>
      </c>
      <c r="B5170" s="87">
        <v>37.517224877199624</v>
      </c>
      <c r="C5170" s="14">
        <v>3</v>
      </c>
      <c r="D5170" s="86">
        <v>0.85263983347959704</v>
      </c>
      <c r="E5170" s="86"/>
      <c r="F5170" s="14"/>
    </row>
    <row r="5171" spans="1:6" x14ac:dyDescent="0.25">
      <c r="A5171" s="86">
        <v>5170</v>
      </c>
      <c r="B5171" s="87">
        <v>31.855324772885069</v>
      </c>
      <c r="C5171" s="14">
        <v>5</v>
      </c>
      <c r="D5171" s="86">
        <v>1.1833324624479391E-2</v>
      </c>
      <c r="E5171" s="86"/>
      <c r="F5171" s="14"/>
    </row>
    <row r="5172" spans="1:6" x14ac:dyDescent="0.25">
      <c r="A5172" s="86">
        <v>5171</v>
      </c>
      <c r="B5172" s="87">
        <v>43.390730292565422</v>
      </c>
      <c r="C5172" s="14">
        <v>2</v>
      </c>
      <c r="D5172" s="86">
        <v>0.54393398743361987</v>
      </c>
      <c r="E5172" s="86"/>
      <c r="F5172" s="14"/>
    </row>
    <row r="5173" spans="1:6" x14ac:dyDescent="0.25">
      <c r="A5173" s="86">
        <v>5172</v>
      </c>
      <c r="B5173" s="87">
        <v>54.267184163443744</v>
      </c>
      <c r="C5173" s="14">
        <v>2</v>
      </c>
      <c r="D5173" s="86">
        <v>0.25860874554081059</v>
      </c>
      <c r="E5173" s="86"/>
      <c r="F5173" s="14"/>
    </row>
    <row r="5174" spans="1:6" x14ac:dyDescent="0.25">
      <c r="A5174" s="86">
        <v>5173</v>
      </c>
      <c r="B5174" s="87">
        <v>45.910473995143548</v>
      </c>
      <c r="C5174" s="14">
        <v>2</v>
      </c>
      <c r="D5174" s="86">
        <v>0.53560970978137112</v>
      </c>
      <c r="E5174" s="86"/>
      <c r="F5174" s="14"/>
    </row>
    <row r="5175" spans="1:6" x14ac:dyDescent="0.25">
      <c r="A5175" s="86">
        <v>5174</v>
      </c>
      <c r="B5175" s="87">
        <v>40.511758920154534</v>
      </c>
      <c r="C5175" s="14">
        <v>2</v>
      </c>
      <c r="D5175" s="86">
        <v>0.70901621291856398</v>
      </c>
      <c r="E5175" s="86"/>
      <c r="F5175" s="14"/>
    </row>
    <row r="5176" spans="1:6" x14ac:dyDescent="0.25">
      <c r="A5176" s="86">
        <v>5175</v>
      </c>
      <c r="B5176" s="87">
        <v>41.873471440674621</v>
      </c>
      <c r="C5176" s="14">
        <v>2</v>
      </c>
      <c r="D5176" s="86">
        <v>0.51941855841416529</v>
      </c>
      <c r="E5176" s="86"/>
      <c r="F5176" s="14"/>
    </row>
    <row r="5177" spans="1:6" x14ac:dyDescent="0.25">
      <c r="A5177" s="86">
        <v>5176</v>
      </c>
      <c r="B5177" s="87">
        <v>40.618988345493563</v>
      </c>
      <c r="C5177" s="14">
        <v>2</v>
      </c>
      <c r="D5177" s="86">
        <v>2.0328100543758332E-2</v>
      </c>
      <c r="E5177" s="86"/>
      <c r="F5177" s="14"/>
    </row>
    <row r="5178" spans="1:6" x14ac:dyDescent="0.25">
      <c r="A5178" s="86">
        <v>5177</v>
      </c>
      <c r="B5178" s="87">
        <v>27.991882229223847</v>
      </c>
      <c r="C5178" s="14">
        <v>2</v>
      </c>
      <c r="D5178" s="86">
        <v>0.43220269095120867</v>
      </c>
      <c r="E5178" s="86"/>
      <c r="F5178" s="14"/>
    </row>
    <row r="5179" spans="1:6" x14ac:dyDescent="0.25">
      <c r="A5179" s="86">
        <v>5178</v>
      </c>
      <c r="B5179" s="87">
        <v>37.508141298865667</v>
      </c>
      <c r="C5179" s="14">
        <v>1</v>
      </c>
      <c r="D5179" s="86">
        <v>0.5003512711120528</v>
      </c>
      <c r="E5179" s="86"/>
      <c r="F5179" s="14"/>
    </row>
    <row r="5180" spans="1:6" x14ac:dyDescent="0.25">
      <c r="A5180" s="86">
        <v>5179</v>
      </c>
      <c r="B5180" s="87">
        <v>42.757977775516338</v>
      </c>
      <c r="C5180" s="14">
        <v>5</v>
      </c>
      <c r="D5180" s="86">
        <v>0.36802287348891305</v>
      </c>
      <c r="E5180" s="86"/>
      <c r="F5180" s="14"/>
    </row>
    <row r="5181" spans="1:6" x14ac:dyDescent="0.25">
      <c r="A5181" s="86">
        <v>5180</v>
      </c>
      <c r="B5181" s="87">
        <v>46.606066911743255</v>
      </c>
      <c r="C5181" s="14">
        <v>1</v>
      </c>
      <c r="D5181" s="86">
        <v>1.7181634055368655E-2</v>
      </c>
      <c r="E5181" s="86"/>
      <c r="F5181" s="14"/>
    </row>
    <row r="5182" spans="1:6" x14ac:dyDescent="0.25">
      <c r="A5182" s="86">
        <v>5181</v>
      </c>
      <c r="B5182" s="87">
        <v>46.647858193289721</v>
      </c>
      <c r="C5182" s="14">
        <v>2</v>
      </c>
      <c r="D5182" s="86">
        <v>0.87996858907741804</v>
      </c>
      <c r="E5182" s="86"/>
      <c r="F5182" s="14"/>
    </row>
    <row r="5183" spans="1:6" x14ac:dyDescent="0.25">
      <c r="A5183" s="86">
        <v>5182</v>
      </c>
      <c r="B5183" s="87">
        <v>39.973650695508695</v>
      </c>
      <c r="C5183" s="14">
        <v>1</v>
      </c>
      <c r="D5183" s="86">
        <v>0.13908094702255658</v>
      </c>
      <c r="E5183" s="86"/>
      <c r="F5183" s="14"/>
    </row>
    <row r="5184" spans="1:6" x14ac:dyDescent="0.25">
      <c r="A5184" s="86">
        <v>5183</v>
      </c>
      <c r="B5184" s="87">
        <v>42.877400114201009</v>
      </c>
      <c r="C5184" s="14">
        <v>5</v>
      </c>
      <c r="D5184" s="86">
        <v>0.27581726769889148</v>
      </c>
      <c r="E5184" s="86"/>
      <c r="F5184" s="14"/>
    </row>
    <row r="5185" spans="1:6" x14ac:dyDescent="0.25">
      <c r="A5185" s="86">
        <v>5184</v>
      </c>
      <c r="B5185" s="87">
        <v>40.619420355476905</v>
      </c>
      <c r="C5185" s="14">
        <v>4</v>
      </c>
      <c r="D5185" s="86">
        <v>0.79530977180217965</v>
      </c>
      <c r="E5185" s="86"/>
      <c r="F5185" s="14"/>
    </row>
    <row r="5186" spans="1:6" x14ac:dyDescent="0.25">
      <c r="A5186" s="86">
        <v>5185</v>
      </c>
      <c r="B5186" s="87">
        <v>48.260721991362516</v>
      </c>
      <c r="C5186" s="14">
        <v>2</v>
      </c>
      <c r="D5186" s="86">
        <v>0.21914964609800791</v>
      </c>
      <c r="E5186" s="86"/>
      <c r="F5186" s="14"/>
    </row>
    <row r="5187" spans="1:6" x14ac:dyDescent="0.25">
      <c r="A5187" s="86">
        <v>5186</v>
      </c>
      <c r="B5187" s="87">
        <v>40.705180021512206</v>
      </c>
      <c r="C5187" s="14">
        <v>2</v>
      </c>
      <c r="D5187" s="86">
        <v>0.50744054805795635</v>
      </c>
      <c r="E5187" s="86"/>
      <c r="F5187" s="14"/>
    </row>
    <row r="5188" spans="1:6" x14ac:dyDescent="0.25">
      <c r="A5188" s="86">
        <v>5187</v>
      </c>
      <c r="B5188" s="87">
        <v>46.950083282688865</v>
      </c>
      <c r="C5188" s="14">
        <v>4</v>
      </c>
      <c r="D5188" s="86">
        <v>0.28791787791469658</v>
      </c>
      <c r="E5188" s="86"/>
      <c r="F5188" s="14"/>
    </row>
    <row r="5189" spans="1:6" x14ac:dyDescent="0.25">
      <c r="A5189" s="86">
        <v>5188</v>
      </c>
      <c r="B5189" s="87">
        <v>51.783126759226434</v>
      </c>
      <c r="C5189" s="14">
        <v>2</v>
      </c>
      <c r="D5189" s="86">
        <v>0.88534232546375768</v>
      </c>
      <c r="E5189" s="86"/>
      <c r="F5189" s="14"/>
    </row>
    <row r="5190" spans="1:6" x14ac:dyDescent="0.25">
      <c r="A5190" s="86">
        <v>5189</v>
      </c>
      <c r="B5190" s="87">
        <v>46.065031251026085</v>
      </c>
      <c r="C5190" s="14">
        <v>2</v>
      </c>
      <c r="D5190" s="86">
        <v>0.48741666471796874</v>
      </c>
      <c r="E5190" s="86"/>
      <c r="F5190" s="14"/>
    </row>
    <row r="5191" spans="1:6" x14ac:dyDescent="0.25">
      <c r="A5191" s="86">
        <v>5190</v>
      </c>
      <c r="B5191" s="87">
        <v>36.456242464162642</v>
      </c>
      <c r="C5191" s="14">
        <v>2</v>
      </c>
      <c r="D5191" s="86">
        <v>0.7862216397534918</v>
      </c>
      <c r="E5191" s="86"/>
      <c r="F5191" s="14"/>
    </row>
    <row r="5192" spans="1:6" x14ac:dyDescent="0.25">
      <c r="A5192" s="86">
        <v>5191</v>
      </c>
      <c r="B5192" s="87">
        <v>47.161631750321249</v>
      </c>
      <c r="C5192" s="14">
        <v>4</v>
      </c>
      <c r="D5192" s="86">
        <v>5.9153920571374141E-2</v>
      </c>
      <c r="E5192" s="86"/>
      <c r="F5192" s="14"/>
    </row>
    <row r="5193" spans="1:6" x14ac:dyDescent="0.25">
      <c r="A5193" s="86">
        <v>5192</v>
      </c>
      <c r="B5193" s="87">
        <v>40.914017058064928</v>
      </c>
      <c r="C5193" s="14">
        <v>2</v>
      </c>
      <c r="D5193" s="86">
        <v>0.70157502774080982</v>
      </c>
      <c r="E5193" s="86"/>
      <c r="F5193" s="14"/>
    </row>
    <row r="5194" spans="1:6" x14ac:dyDescent="0.25">
      <c r="A5194" s="86">
        <v>5193</v>
      </c>
      <c r="B5194" s="87">
        <v>37.880226950044744</v>
      </c>
      <c r="C5194" s="14">
        <v>2</v>
      </c>
      <c r="D5194" s="86">
        <v>0.59244311667726968</v>
      </c>
      <c r="E5194" s="86"/>
      <c r="F5194" s="14"/>
    </row>
    <row r="5195" spans="1:6" x14ac:dyDescent="0.25">
      <c r="A5195" s="86">
        <v>5194</v>
      </c>
      <c r="B5195" s="87">
        <v>46.556135652615922</v>
      </c>
      <c r="C5195" s="14">
        <v>2</v>
      </c>
      <c r="D5195" s="86">
        <v>4.3901749657614397E-2</v>
      </c>
      <c r="E5195" s="86"/>
      <c r="F5195" s="14"/>
    </row>
    <row r="5196" spans="1:6" x14ac:dyDescent="0.25">
      <c r="A5196" s="86">
        <v>5195</v>
      </c>
      <c r="B5196" s="87">
        <v>38.493635651655495</v>
      </c>
      <c r="C5196" s="14">
        <v>1</v>
      </c>
      <c r="D5196" s="86">
        <v>0.25611343804959008</v>
      </c>
      <c r="E5196" s="86"/>
      <c r="F5196" s="14"/>
    </row>
    <row r="5197" spans="1:6" x14ac:dyDescent="0.25">
      <c r="A5197" s="86">
        <v>5196</v>
      </c>
      <c r="B5197" s="87">
        <v>42.448283460878883</v>
      </c>
      <c r="C5197" s="14">
        <v>2</v>
      </c>
      <c r="D5197" s="86">
        <v>0.85042894982732598</v>
      </c>
      <c r="E5197" s="86"/>
      <c r="F5197" s="14"/>
    </row>
    <row r="5198" spans="1:6" x14ac:dyDescent="0.25">
      <c r="A5198" s="86">
        <v>5197</v>
      </c>
      <c r="B5198" s="87">
        <v>45.254097353215911</v>
      </c>
      <c r="C5198" s="14">
        <v>4</v>
      </c>
      <c r="D5198" s="86">
        <v>0.58267218580415514</v>
      </c>
      <c r="E5198" s="86"/>
      <c r="F5198" s="14"/>
    </row>
    <row r="5199" spans="1:6" x14ac:dyDescent="0.25">
      <c r="A5199" s="86">
        <v>5198</v>
      </c>
      <c r="B5199" s="87">
        <v>42.500590774914599</v>
      </c>
      <c r="C5199" s="14">
        <v>5</v>
      </c>
      <c r="D5199" s="86">
        <v>0.82777385921080626</v>
      </c>
      <c r="E5199" s="86"/>
      <c r="F5199" s="14"/>
    </row>
    <row r="5200" spans="1:6" x14ac:dyDescent="0.25">
      <c r="A5200" s="86">
        <v>5199</v>
      </c>
      <c r="B5200" s="87">
        <v>44.904561486298917</v>
      </c>
      <c r="C5200" s="14">
        <v>1</v>
      </c>
      <c r="D5200" s="86">
        <v>0.97827463377219914</v>
      </c>
      <c r="E5200" s="86"/>
      <c r="F5200" s="14"/>
    </row>
    <row r="5201" spans="1:6" x14ac:dyDescent="0.25">
      <c r="A5201" s="86">
        <v>5200</v>
      </c>
      <c r="B5201" s="87">
        <v>40.977693055872805</v>
      </c>
      <c r="C5201" s="14">
        <v>2</v>
      </c>
      <c r="D5201" s="86">
        <v>4.824343187862401E-3</v>
      </c>
      <c r="E5201" s="86"/>
      <c r="F5201" s="14"/>
    </row>
    <row r="5202" spans="1:6" x14ac:dyDescent="0.25">
      <c r="A5202" s="86">
        <v>5201</v>
      </c>
      <c r="B5202" s="87">
        <v>40.122995409881696</v>
      </c>
      <c r="C5202" s="14">
        <v>4</v>
      </c>
      <c r="D5202" s="86">
        <v>8.3294759079311609E-2</v>
      </c>
      <c r="E5202" s="86"/>
      <c r="F5202" s="14"/>
    </row>
    <row r="5203" spans="1:6" x14ac:dyDescent="0.25">
      <c r="A5203" s="86">
        <v>5202</v>
      </c>
      <c r="B5203" s="87">
        <v>42.912211023911368</v>
      </c>
      <c r="C5203" s="14">
        <v>5</v>
      </c>
      <c r="D5203" s="86">
        <v>0.92170026681873884</v>
      </c>
      <c r="E5203" s="86"/>
      <c r="F5203" s="14"/>
    </row>
    <row r="5204" spans="1:6" x14ac:dyDescent="0.25">
      <c r="A5204" s="86">
        <v>5203</v>
      </c>
      <c r="B5204" s="87">
        <v>52.928817235049792</v>
      </c>
      <c r="C5204" s="14">
        <v>2</v>
      </c>
      <c r="D5204" s="86">
        <v>0.82905802392042449</v>
      </c>
      <c r="E5204" s="86"/>
      <c r="F5204" s="14"/>
    </row>
    <row r="5205" spans="1:6" x14ac:dyDescent="0.25">
      <c r="A5205" s="86">
        <v>5204</v>
      </c>
      <c r="B5205" s="87">
        <v>35.743050825083628</v>
      </c>
      <c r="C5205" s="14">
        <v>5</v>
      </c>
      <c r="D5205" s="86">
        <v>0.90938423216145858</v>
      </c>
      <c r="E5205" s="86"/>
      <c r="F5205" s="14"/>
    </row>
    <row r="5206" spans="1:6" x14ac:dyDescent="0.25">
      <c r="A5206" s="86">
        <v>5205</v>
      </c>
      <c r="B5206" s="87">
        <v>52.041514204000123</v>
      </c>
      <c r="C5206" s="14">
        <v>1</v>
      </c>
      <c r="D5206" s="86">
        <v>0.81393045460961133</v>
      </c>
      <c r="E5206" s="86"/>
      <c r="F5206" s="14"/>
    </row>
    <row r="5207" spans="1:6" x14ac:dyDescent="0.25">
      <c r="A5207" s="86">
        <v>5206</v>
      </c>
      <c r="B5207" s="87">
        <v>46.749948973563733</v>
      </c>
      <c r="C5207" s="14">
        <v>2</v>
      </c>
      <c r="D5207" s="86">
        <v>0.4044627938692007</v>
      </c>
      <c r="E5207" s="86"/>
      <c r="F5207" s="14"/>
    </row>
    <row r="5208" spans="1:6" x14ac:dyDescent="0.25">
      <c r="A5208" s="86">
        <v>5207</v>
      </c>
      <c r="B5208" s="87">
        <v>40.561855025196564</v>
      </c>
      <c r="C5208" s="14">
        <v>1</v>
      </c>
      <c r="D5208" s="86">
        <v>0.71794594407606782</v>
      </c>
      <c r="E5208" s="86"/>
      <c r="F5208" s="14"/>
    </row>
    <row r="5209" spans="1:6" x14ac:dyDescent="0.25">
      <c r="A5209" s="86">
        <v>5208</v>
      </c>
      <c r="B5209" s="87">
        <v>35.092693901213352</v>
      </c>
      <c r="C5209" s="14">
        <v>2</v>
      </c>
      <c r="D5209" s="86">
        <v>0.94011883796055018</v>
      </c>
      <c r="E5209" s="86"/>
      <c r="F5209" s="14"/>
    </row>
    <row r="5210" spans="1:6" x14ac:dyDescent="0.25">
      <c r="A5210" s="86">
        <v>5209</v>
      </c>
      <c r="B5210" s="87">
        <v>42.486368551515625</v>
      </c>
      <c r="C5210" s="14">
        <v>2</v>
      </c>
      <c r="D5210" s="86">
        <v>0.53820585761099593</v>
      </c>
      <c r="E5210" s="86"/>
      <c r="F5210" s="14"/>
    </row>
    <row r="5211" spans="1:6" x14ac:dyDescent="0.25">
      <c r="A5211" s="86">
        <v>5210</v>
      </c>
      <c r="B5211" s="87">
        <v>45.389583642070647</v>
      </c>
      <c r="C5211" s="14">
        <v>1</v>
      </c>
      <c r="D5211" s="86">
        <v>7.5792671427558411E-2</v>
      </c>
      <c r="E5211" s="86"/>
      <c r="F5211" s="14"/>
    </row>
    <row r="5212" spans="1:6" x14ac:dyDescent="0.25">
      <c r="A5212" s="86">
        <v>5211</v>
      </c>
      <c r="B5212" s="87">
        <v>39.073381680616876</v>
      </c>
      <c r="C5212" s="14">
        <v>2</v>
      </c>
      <c r="D5212" s="86">
        <v>0.64932002611709505</v>
      </c>
      <c r="E5212" s="86"/>
      <c r="F5212" s="14"/>
    </row>
    <row r="5213" spans="1:6" x14ac:dyDescent="0.25">
      <c r="A5213" s="86">
        <v>5212</v>
      </c>
      <c r="B5213" s="87">
        <v>28.362956067547202</v>
      </c>
      <c r="C5213" s="14">
        <v>4</v>
      </c>
      <c r="D5213" s="86">
        <v>0.63927219170559602</v>
      </c>
      <c r="E5213" s="86"/>
      <c r="F5213" s="14"/>
    </row>
    <row r="5214" spans="1:6" x14ac:dyDescent="0.25">
      <c r="A5214" s="86">
        <v>5213</v>
      </c>
      <c r="B5214" s="87">
        <v>54.897645890712738</v>
      </c>
      <c r="C5214" s="14">
        <v>2</v>
      </c>
      <c r="D5214" s="86">
        <v>0.76389065196324435</v>
      </c>
      <c r="E5214" s="86"/>
      <c r="F5214" s="14"/>
    </row>
    <row r="5215" spans="1:6" x14ac:dyDescent="0.25">
      <c r="A5215" s="86">
        <v>5214</v>
      </c>
      <c r="B5215" s="87">
        <v>56.583849067799747</v>
      </c>
      <c r="C5215" s="14">
        <v>5</v>
      </c>
      <c r="D5215" s="86">
        <v>5.8533616679749878E-2</v>
      </c>
      <c r="E5215" s="86"/>
      <c r="F5215" s="14"/>
    </row>
    <row r="5216" spans="1:6" x14ac:dyDescent="0.25">
      <c r="A5216" s="86">
        <v>5215</v>
      </c>
      <c r="B5216" s="87">
        <v>43.231295871344628</v>
      </c>
      <c r="C5216" s="14">
        <v>2</v>
      </c>
      <c r="D5216" s="86">
        <v>0.14899940062987438</v>
      </c>
      <c r="E5216" s="86"/>
      <c r="F5216" s="14"/>
    </row>
    <row r="5217" spans="1:6" x14ac:dyDescent="0.25">
      <c r="A5217" s="86">
        <v>5216</v>
      </c>
      <c r="B5217" s="87">
        <v>42.474448486580513</v>
      </c>
      <c r="C5217" s="14">
        <v>2</v>
      </c>
      <c r="D5217" s="86">
        <v>0.11879568622768999</v>
      </c>
      <c r="E5217" s="86"/>
      <c r="F5217" s="14"/>
    </row>
    <row r="5218" spans="1:6" x14ac:dyDescent="0.25">
      <c r="A5218" s="86">
        <v>5217</v>
      </c>
      <c r="B5218" s="87">
        <v>39.909548372059362</v>
      </c>
      <c r="C5218" s="14">
        <v>1</v>
      </c>
      <c r="D5218" s="86">
        <v>0.31383064920651349</v>
      </c>
      <c r="E5218" s="86"/>
      <c r="F5218" s="14"/>
    </row>
    <row r="5219" spans="1:6" x14ac:dyDescent="0.25">
      <c r="A5219" s="86">
        <v>5218</v>
      </c>
      <c r="B5219" s="87">
        <v>32.51948327885475</v>
      </c>
      <c r="C5219" s="14">
        <v>2</v>
      </c>
      <c r="D5219" s="86">
        <v>0.92124092386174528</v>
      </c>
      <c r="E5219" s="86"/>
      <c r="F5219" s="14"/>
    </row>
    <row r="5220" spans="1:6" x14ac:dyDescent="0.25">
      <c r="A5220" s="86">
        <v>5219</v>
      </c>
      <c r="B5220" s="87">
        <v>43.307522896036971</v>
      </c>
      <c r="C5220" s="14">
        <v>2</v>
      </c>
      <c r="D5220" s="86">
        <v>0.99658563097353092</v>
      </c>
      <c r="E5220" s="86"/>
      <c r="F5220" s="14"/>
    </row>
    <row r="5221" spans="1:6" x14ac:dyDescent="0.25">
      <c r="A5221" s="86">
        <v>5220</v>
      </c>
      <c r="B5221" s="87">
        <v>41.054249772394542</v>
      </c>
      <c r="C5221" s="14">
        <v>4</v>
      </c>
      <c r="D5221" s="86">
        <v>0.12366960608491406</v>
      </c>
      <c r="E5221" s="86"/>
      <c r="F5221" s="14"/>
    </row>
    <row r="5222" spans="1:6" x14ac:dyDescent="0.25">
      <c r="A5222" s="86">
        <v>5221</v>
      </c>
      <c r="B5222" s="87">
        <v>43.169285385709372</v>
      </c>
      <c r="C5222" s="14">
        <v>2</v>
      </c>
      <c r="D5222" s="86">
        <v>0.61333218761674524</v>
      </c>
      <c r="E5222" s="86"/>
      <c r="F5222" s="14"/>
    </row>
    <row r="5223" spans="1:6" x14ac:dyDescent="0.25">
      <c r="A5223" s="86">
        <v>5222</v>
      </c>
      <c r="B5223" s="87">
        <v>44.331937937720795</v>
      </c>
      <c r="C5223" s="14">
        <v>2</v>
      </c>
      <c r="D5223" s="86">
        <v>0.60969123657050905</v>
      </c>
      <c r="E5223" s="86"/>
      <c r="F5223" s="14"/>
    </row>
    <row r="5224" spans="1:6" x14ac:dyDescent="0.25">
      <c r="A5224" s="86">
        <v>5223</v>
      </c>
      <c r="B5224" s="87">
        <v>43.995083837551647</v>
      </c>
      <c r="C5224" s="14">
        <v>2</v>
      </c>
      <c r="D5224" s="86">
        <v>0.24695048679938025</v>
      </c>
      <c r="E5224" s="86"/>
      <c r="F5224" s="14"/>
    </row>
    <row r="5225" spans="1:6" x14ac:dyDescent="0.25">
      <c r="A5225" s="86">
        <v>5224</v>
      </c>
      <c r="B5225" s="87">
        <v>41.603351514248061</v>
      </c>
      <c r="C5225" s="14">
        <v>2</v>
      </c>
      <c r="D5225" s="86">
        <v>0.10326289603634831</v>
      </c>
      <c r="E5225" s="86"/>
      <c r="F5225" s="14"/>
    </row>
    <row r="5226" spans="1:6" x14ac:dyDescent="0.25">
      <c r="A5226" s="86">
        <v>5225</v>
      </c>
      <c r="B5226" s="87">
        <v>47.664798325393349</v>
      </c>
      <c r="C5226" s="14">
        <v>2</v>
      </c>
      <c r="D5226" s="86">
        <v>0.78356147664487696</v>
      </c>
      <c r="E5226" s="86"/>
      <c r="F5226" s="14"/>
    </row>
    <row r="5227" spans="1:6" x14ac:dyDescent="0.25">
      <c r="A5227" s="86">
        <v>5226</v>
      </c>
      <c r="B5227" s="87">
        <v>39.124722656531958</v>
      </c>
      <c r="C5227" s="14">
        <v>1</v>
      </c>
      <c r="D5227" s="86">
        <v>8.7248349380347978E-2</v>
      </c>
      <c r="E5227" s="86"/>
      <c r="F5227" s="14"/>
    </row>
    <row r="5228" spans="1:6" x14ac:dyDescent="0.25">
      <c r="A5228" s="86">
        <v>5227</v>
      </c>
      <c r="B5228" s="87">
        <v>43.423347046307754</v>
      </c>
      <c r="C5228" s="14">
        <v>4</v>
      </c>
      <c r="D5228" s="86">
        <v>0.39360917255768502</v>
      </c>
      <c r="E5228" s="86"/>
      <c r="F5228" s="14"/>
    </row>
    <row r="5229" spans="1:6" x14ac:dyDescent="0.25">
      <c r="A5229" s="86">
        <v>5228</v>
      </c>
      <c r="B5229" s="87">
        <v>47.4874582272314</v>
      </c>
      <c r="C5229" s="14">
        <v>4</v>
      </c>
      <c r="D5229" s="86">
        <v>0.46541791206531558</v>
      </c>
      <c r="E5229" s="86"/>
      <c r="F5229" s="14"/>
    </row>
    <row r="5230" spans="1:6" x14ac:dyDescent="0.25">
      <c r="A5230" s="86">
        <v>5229</v>
      </c>
      <c r="B5230" s="87">
        <v>44.717086206554086</v>
      </c>
      <c r="C5230" s="14">
        <v>4</v>
      </c>
      <c r="D5230" s="86">
        <v>0.69200355203963959</v>
      </c>
      <c r="E5230" s="86"/>
      <c r="F5230" s="14"/>
    </row>
    <row r="5231" spans="1:6" x14ac:dyDescent="0.25">
      <c r="A5231" s="86">
        <v>5230</v>
      </c>
      <c r="B5231" s="87">
        <v>45.172259883082006</v>
      </c>
      <c r="C5231" s="14">
        <v>4</v>
      </c>
      <c r="D5231" s="86">
        <v>0.67899857433024302</v>
      </c>
      <c r="E5231" s="86"/>
      <c r="F5231" s="14"/>
    </row>
    <row r="5232" spans="1:6" x14ac:dyDescent="0.25">
      <c r="A5232" s="86">
        <v>5231</v>
      </c>
      <c r="B5232" s="87">
        <v>37.787594914669171</v>
      </c>
      <c r="C5232" s="14">
        <v>2</v>
      </c>
      <c r="D5232" s="86">
        <v>0.51546394593788558</v>
      </c>
      <c r="E5232" s="86"/>
      <c r="F5232" s="14"/>
    </row>
    <row r="5233" spans="1:6" x14ac:dyDescent="0.25">
      <c r="A5233" s="86">
        <v>5232</v>
      </c>
      <c r="B5233" s="87">
        <v>40.370491655601654</v>
      </c>
      <c r="C5233" s="14">
        <v>2</v>
      </c>
      <c r="D5233" s="86">
        <v>0.37988004532024011</v>
      </c>
      <c r="E5233" s="86"/>
      <c r="F5233" s="14"/>
    </row>
    <row r="5234" spans="1:6" x14ac:dyDescent="0.25">
      <c r="A5234" s="86">
        <v>5233</v>
      </c>
      <c r="B5234" s="87">
        <v>43.711725078872405</v>
      </c>
      <c r="C5234" s="14">
        <v>2</v>
      </c>
      <c r="D5234" s="86">
        <v>0.5477360279631891</v>
      </c>
      <c r="E5234" s="86"/>
      <c r="F5234" s="14"/>
    </row>
    <row r="5235" spans="1:6" x14ac:dyDescent="0.25">
      <c r="A5235" s="86">
        <v>5234</v>
      </c>
      <c r="B5235" s="87">
        <v>45.516418362574768</v>
      </c>
      <c r="C5235" s="14">
        <v>2</v>
      </c>
      <c r="D5235" s="86">
        <v>0.1563727892499619</v>
      </c>
      <c r="E5235" s="86"/>
      <c r="F5235" s="14"/>
    </row>
    <row r="5236" spans="1:6" x14ac:dyDescent="0.25">
      <c r="A5236" s="86">
        <v>5235</v>
      </c>
      <c r="B5236" s="87">
        <v>51.356346370419487</v>
      </c>
      <c r="C5236" s="14">
        <v>1</v>
      </c>
      <c r="D5236" s="86">
        <v>0.1663507944215713</v>
      </c>
      <c r="E5236" s="86"/>
      <c r="F5236" s="14"/>
    </row>
    <row r="5237" spans="1:6" x14ac:dyDescent="0.25">
      <c r="A5237" s="86">
        <v>5236</v>
      </c>
      <c r="B5237" s="87">
        <v>42.971885245031444</v>
      </c>
      <c r="C5237" s="14">
        <v>2</v>
      </c>
      <c r="D5237" s="86">
        <v>0.2699726423570884</v>
      </c>
      <c r="E5237" s="86"/>
      <c r="F5237" s="14"/>
    </row>
    <row r="5238" spans="1:6" x14ac:dyDescent="0.25">
      <c r="A5238" s="86">
        <v>5237</v>
      </c>
      <c r="B5238" s="87">
        <v>41.707255599583732</v>
      </c>
      <c r="C5238" s="14">
        <v>5</v>
      </c>
      <c r="D5238" s="86">
        <v>0.31970074655355385</v>
      </c>
      <c r="E5238" s="86"/>
      <c r="F5238" s="14"/>
    </row>
    <row r="5239" spans="1:6" x14ac:dyDescent="0.25">
      <c r="A5239" s="86">
        <v>5238</v>
      </c>
      <c r="B5239" s="87">
        <v>35.102038959274068</v>
      </c>
      <c r="C5239" s="14">
        <v>1</v>
      </c>
      <c r="D5239" s="86">
        <v>0.7809813530054186</v>
      </c>
      <c r="E5239" s="86"/>
      <c r="F5239" s="14"/>
    </row>
    <row r="5240" spans="1:6" x14ac:dyDescent="0.25">
      <c r="A5240" s="86">
        <v>5239</v>
      </c>
      <c r="B5240" s="87">
        <v>44.284439576920704</v>
      </c>
      <c r="C5240" s="14">
        <v>5</v>
      </c>
      <c r="D5240" s="86">
        <v>0.10829747952041235</v>
      </c>
      <c r="E5240" s="86"/>
      <c r="F5240" s="14"/>
    </row>
    <row r="5241" spans="1:6" x14ac:dyDescent="0.25">
      <c r="A5241" s="86">
        <v>5240</v>
      </c>
      <c r="B5241" s="87">
        <v>36.605524650774896</v>
      </c>
      <c r="C5241" s="14">
        <v>2</v>
      </c>
      <c r="D5241" s="86">
        <v>0.93743166612698292</v>
      </c>
      <c r="E5241" s="86"/>
      <c r="F5241" s="14"/>
    </row>
    <row r="5242" spans="1:6" x14ac:dyDescent="0.25">
      <c r="A5242" s="86">
        <v>5241</v>
      </c>
      <c r="B5242" s="87">
        <v>44.489956957811955</v>
      </c>
      <c r="C5242" s="14">
        <v>2</v>
      </c>
      <c r="D5242" s="86">
        <v>0.59684038662927885</v>
      </c>
      <c r="E5242" s="86"/>
      <c r="F5242" s="14"/>
    </row>
    <row r="5243" spans="1:6" x14ac:dyDescent="0.25">
      <c r="A5243" s="86">
        <v>5242</v>
      </c>
      <c r="B5243" s="87">
        <v>40.324255218700273</v>
      </c>
      <c r="C5243" s="14">
        <v>2</v>
      </c>
      <c r="D5243" s="86">
        <v>0.82390818983638303</v>
      </c>
      <c r="E5243" s="86"/>
      <c r="F5243" s="14"/>
    </row>
    <row r="5244" spans="1:6" x14ac:dyDescent="0.25">
      <c r="A5244" s="86">
        <v>5243</v>
      </c>
      <c r="B5244" s="87">
        <v>39.758572251565056</v>
      </c>
      <c r="C5244" s="14">
        <v>2</v>
      </c>
      <c r="D5244" s="86">
        <v>0.97886814115183829</v>
      </c>
      <c r="E5244" s="86"/>
      <c r="F5244" s="14"/>
    </row>
    <row r="5245" spans="1:6" x14ac:dyDescent="0.25">
      <c r="A5245" s="86">
        <v>5244</v>
      </c>
      <c r="B5245" s="87">
        <v>47.434491529536899</v>
      </c>
      <c r="C5245" s="14">
        <v>2</v>
      </c>
      <c r="D5245" s="86">
        <v>8.1940134033574585E-2</v>
      </c>
      <c r="E5245" s="86"/>
      <c r="F5245" s="14"/>
    </row>
    <row r="5246" spans="1:6" x14ac:dyDescent="0.25">
      <c r="A5246" s="86">
        <v>5245</v>
      </c>
      <c r="B5246" s="87">
        <v>31.752097124233842</v>
      </c>
      <c r="C5246" s="14">
        <v>4</v>
      </c>
      <c r="D5246" s="86">
        <v>0.14048485442630654</v>
      </c>
      <c r="E5246" s="86"/>
      <c r="F5246" s="14"/>
    </row>
    <row r="5247" spans="1:6" x14ac:dyDescent="0.25">
      <c r="A5247" s="86">
        <v>5246</v>
      </c>
      <c r="B5247" s="87">
        <v>46.823322458629264</v>
      </c>
      <c r="C5247" s="14">
        <v>4</v>
      </c>
      <c r="D5247" s="86">
        <v>0.41582675183770346</v>
      </c>
      <c r="E5247" s="86"/>
      <c r="F5247" s="14"/>
    </row>
    <row r="5248" spans="1:6" x14ac:dyDescent="0.25">
      <c r="A5248" s="86">
        <v>5247</v>
      </c>
      <c r="B5248" s="87">
        <v>33.888932188681792</v>
      </c>
      <c r="C5248" s="14">
        <v>4</v>
      </c>
      <c r="D5248" s="86">
        <v>0.99345140015422817</v>
      </c>
      <c r="E5248" s="86"/>
      <c r="F5248" s="14"/>
    </row>
    <row r="5249" spans="1:6" x14ac:dyDescent="0.25">
      <c r="A5249" s="86">
        <v>5248</v>
      </c>
      <c r="B5249" s="87">
        <v>38.069106262235437</v>
      </c>
      <c r="C5249" s="14">
        <v>2</v>
      </c>
      <c r="D5249" s="86">
        <v>0.60057564080328119</v>
      </c>
      <c r="E5249" s="86"/>
      <c r="F5249" s="14"/>
    </row>
    <row r="5250" spans="1:6" x14ac:dyDescent="0.25">
      <c r="A5250" s="86">
        <v>5249</v>
      </c>
      <c r="B5250" s="87">
        <v>49.974778443691321</v>
      </c>
      <c r="C5250" s="14">
        <v>4</v>
      </c>
      <c r="D5250" s="86">
        <v>0.77285857882684639</v>
      </c>
      <c r="E5250" s="86"/>
      <c r="F5250" s="14"/>
    </row>
    <row r="5251" spans="1:6" x14ac:dyDescent="0.25">
      <c r="A5251" s="86">
        <v>5250</v>
      </c>
      <c r="B5251" s="87">
        <v>39.384997302811826</v>
      </c>
      <c r="C5251" s="14">
        <v>5</v>
      </c>
      <c r="D5251" s="86">
        <v>0.16432238991319292</v>
      </c>
      <c r="E5251" s="86"/>
      <c r="F5251" s="14"/>
    </row>
    <row r="5252" spans="1:6" x14ac:dyDescent="0.25">
      <c r="A5252" s="86">
        <v>5251</v>
      </c>
      <c r="B5252" s="87">
        <v>31.809031492564827</v>
      </c>
      <c r="C5252" s="14">
        <v>2</v>
      </c>
      <c r="D5252" s="86">
        <v>7.2518574437713368E-2</v>
      </c>
      <c r="E5252" s="86"/>
      <c r="F5252" s="14"/>
    </row>
    <row r="5253" spans="1:6" x14ac:dyDescent="0.25">
      <c r="A5253" s="86">
        <v>5252</v>
      </c>
      <c r="B5253" s="87">
        <v>43.589056980970781</v>
      </c>
      <c r="C5253" s="14">
        <v>5</v>
      </c>
      <c r="D5253" s="86">
        <v>0.85711135415414763</v>
      </c>
      <c r="E5253" s="86"/>
      <c r="F5253" s="14"/>
    </row>
    <row r="5254" spans="1:6" x14ac:dyDescent="0.25">
      <c r="A5254" s="86">
        <v>5253</v>
      </c>
      <c r="B5254" s="87">
        <v>45.569089474491193</v>
      </c>
      <c r="C5254" s="14">
        <v>2</v>
      </c>
      <c r="D5254" s="86">
        <v>0.48527174120173888</v>
      </c>
      <c r="E5254" s="86"/>
      <c r="F5254" s="14"/>
    </row>
    <row r="5255" spans="1:6" x14ac:dyDescent="0.25">
      <c r="A5255" s="86">
        <v>5254</v>
      </c>
      <c r="B5255" s="87">
        <v>42.071155798446853</v>
      </c>
      <c r="C5255" s="14">
        <v>4</v>
      </c>
      <c r="D5255" s="86">
        <v>0.87429613062118683</v>
      </c>
      <c r="E5255" s="86"/>
      <c r="F5255" s="14"/>
    </row>
    <row r="5256" spans="1:6" x14ac:dyDescent="0.25">
      <c r="A5256" s="86">
        <v>5255</v>
      </c>
      <c r="B5256" s="87">
        <v>49.304526323219761</v>
      </c>
      <c r="C5256" s="14">
        <v>1</v>
      </c>
      <c r="D5256" s="86">
        <v>0.6789581852262444</v>
      </c>
      <c r="E5256" s="86"/>
      <c r="F5256" s="14"/>
    </row>
    <row r="5257" spans="1:6" x14ac:dyDescent="0.25">
      <c r="A5257" s="86">
        <v>5256</v>
      </c>
      <c r="B5257" s="87">
        <v>42.013499518696335</v>
      </c>
      <c r="C5257" s="14">
        <v>4</v>
      </c>
      <c r="D5257" s="86">
        <v>0.42831248038835312</v>
      </c>
      <c r="E5257" s="86"/>
      <c r="F5257" s="14"/>
    </row>
    <row r="5258" spans="1:6" x14ac:dyDescent="0.25">
      <c r="A5258" s="86">
        <v>5257</v>
      </c>
      <c r="B5258" s="87">
        <v>47.073581294505857</v>
      </c>
      <c r="C5258" s="14">
        <v>2</v>
      </c>
      <c r="D5258" s="86">
        <v>7.7718940542667481E-2</v>
      </c>
      <c r="E5258" s="86"/>
      <c r="F5258" s="14"/>
    </row>
    <row r="5259" spans="1:6" x14ac:dyDescent="0.25">
      <c r="A5259" s="86">
        <v>5258</v>
      </c>
      <c r="B5259" s="87">
        <v>35.953689798014238</v>
      </c>
      <c r="C5259" s="14">
        <v>4</v>
      </c>
      <c r="D5259" s="86">
        <v>0.61022817395636753</v>
      </c>
      <c r="E5259" s="86"/>
      <c r="F5259" s="14"/>
    </row>
    <row r="5260" spans="1:6" x14ac:dyDescent="0.25">
      <c r="A5260" s="86">
        <v>5259</v>
      </c>
      <c r="B5260" s="87">
        <v>47.261983121978119</v>
      </c>
      <c r="C5260" s="14">
        <v>5</v>
      </c>
      <c r="D5260" s="86">
        <v>0.65170133734285884</v>
      </c>
      <c r="E5260" s="86"/>
      <c r="F5260" s="14"/>
    </row>
    <row r="5261" spans="1:6" x14ac:dyDescent="0.25">
      <c r="A5261" s="86">
        <v>5260</v>
      </c>
      <c r="B5261" s="87">
        <v>33.9916368778795</v>
      </c>
      <c r="C5261" s="14">
        <v>5</v>
      </c>
      <c r="D5261" s="86">
        <v>6.9936101050378063E-2</v>
      </c>
      <c r="E5261" s="86"/>
      <c r="F5261" s="14"/>
    </row>
    <row r="5262" spans="1:6" x14ac:dyDescent="0.25">
      <c r="A5262" s="86">
        <v>5261</v>
      </c>
      <c r="B5262" s="87">
        <v>37.889901699934853</v>
      </c>
      <c r="C5262" s="14">
        <v>5</v>
      </c>
      <c r="D5262" s="86">
        <v>0.81390447335752025</v>
      </c>
      <c r="E5262" s="86"/>
      <c r="F5262" s="14"/>
    </row>
    <row r="5263" spans="1:6" x14ac:dyDescent="0.25">
      <c r="A5263" s="86">
        <v>5262</v>
      </c>
      <c r="B5263" s="87">
        <v>46.729712716449285</v>
      </c>
      <c r="C5263" s="14">
        <v>2</v>
      </c>
      <c r="D5263" s="86">
        <v>0.11835245452089327</v>
      </c>
      <c r="E5263" s="86"/>
      <c r="F5263" s="14"/>
    </row>
    <row r="5264" spans="1:6" x14ac:dyDescent="0.25">
      <c r="A5264" s="86">
        <v>5263</v>
      </c>
      <c r="B5264" s="87">
        <v>39.515907696448267</v>
      </c>
      <c r="C5264" s="14">
        <v>5</v>
      </c>
      <c r="D5264" s="86">
        <v>0.17671828989704763</v>
      </c>
      <c r="E5264" s="86"/>
      <c r="F5264" s="14"/>
    </row>
    <row r="5265" spans="1:6" x14ac:dyDescent="0.25">
      <c r="A5265" s="86">
        <v>5264</v>
      </c>
      <c r="B5265" s="87">
        <v>44.581383912707679</v>
      </c>
      <c r="C5265" s="14">
        <v>4</v>
      </c>
      <c r="D5265" s="86">
        <v>0.20423622581686074</v>
      </c>
      <c r="E5265" s="86"/>
      <c r="F5265" s="14"/>
    </row>
    <row r="5266" spans="1:6" x14ac:dyDescent="0.25">
      <c r="A5266" s="86">
        <v>5265</v>
      </c>
      <c r="B5266" s="87">
        <v>40.01580577493587</v>
      </c>
      <c r="C5266" s="14">
        <v>2</v>
      </c>
      <c r="D5266" s="86">
        <v>0.72326953396541549</v>
      </c>
      <c r="E5266" s="86"/>
      <c r="F5266" s="14"/>
    </row>
    <row r="5267" spans="1:6" x14ac:dyDescent="0.25">
      <c r="A5267" s="86">
        <v>5266</v>
      </c>
      <c r="B5267" s="87">
        <v>49.759660209354479</v>
      </c>
      <c r="C5267" s="14">
        <v>5</v>
      </c>
      <c r="D5267" s="86">
        <v>0.45882181046931136</v>
      </c>
      <c r="E5267" s="86"/>
      <c r="F5267" s="14"/>
    </row>
    <row r="5268" spans="1:6" x14ac:dyDescent="0.25">
      <c r="A5268" s="86">
        <v>5267</v>
      </c>
      <c r="B5268" s="87">
        <v>47.383150553621817</v>
      </c>
      <c r="C5268" s="14">
        <v>4</v>
      </c>
      <c r="D5268" s="86">
        <v>0.30679415986797764</v>
      </c>
      <c r="E5268" s="86"/>
      <c r="F5268" s="14"/>
    </row>
    <row r="5269" spans="1:6" x14ac:dyDescent="0.25">
      <c r="A5269" s="86">
        <v>5268</v>
      </c>
      <c r="B5269" s="87">
        <v>42.516734305871068</v>
      </c>
      <c r="C5269" s="14">
        <v>2</v>
      </c>
      <c r="D5269" s="86">
        <v>0.31636453531638153</v>
      </c>
      <c r="E5269" s="86"/>
      <c r="F5269" s="14"/>
    </row>
    <row r="5270" spans="1:6" x14ac:dyDescent="0.25">
      <c r="A5270" s="86">
        <v>5269</v>
      </c>
      <c r="B5270" s="87">
        <v>45.17603997043625</v>
      </c>
      <c r="C5270" s="14">
        <v>5</v>
      </c>
      <c r="D5270" s="86">
        <v>0.36751117847646841</v>
      </c>
      <c r="E5270" s="86"/>
      <c r="F5270" s="14"/>
    </row>
    <row r="5271" spans="1:6" x14ac:dyDescent="0.25">
      <c r="A5271" s="86">
        <v>5270</v>
      </c>
      <c r="B5271" s="87">
        <v>42.55552993924357</v>
      </c>
      <c r="C5271" s="14">
        <v>3</v>
      </c>
      <c r="D5271" s="86">
        <v>0.9818613208491701</v>
      </c>
      <c r="E5271" s="86"/>
      <c r="F5271" s="14"/>
    </row>
    <row r="5272" spans="1:6" x14ac:dyDescent="0.25">
      <c r="A5272" s="86">
        <v>5271</v>
      </c>
      <c r="B5272" s="87">
        <v>44.453611275792355</v>
      </c>
      <c r="C5272" s="14">
        <v>4</v>
      </c>
      <c r="D5272" s="86">
        <v>0.31982781634144331</v>
      </c>
      <c r="E5272" s="86"/>
      <c r="F5272" s="14"/>
    </row>
    <row r="5273" spans="1:6" x14ac:dyDescent="0.25">
      <c r="A5273" s="86">
        <v>5272</v>
      </c>
      <c r="B5273" s="87">
        <v>45.3848656383052</v>
      </c>
      <c r="C5273" s="14">
        <v>5</v>
      </c>
      <c r="D5273" s="86">
        <v>0.23368870986616974</v>
      </c>
      <c r="E5273" s="86"/>
      <c r="F5273" s="14"/>
    </row>
    <row r="5274" spans="1:6" x14ac:dyDescent="0.25">
      <c r="A5274" s="86">
        <v>5273</v>
      </c>
      <c r="B5274" s="87">
        <v>32.594016369665042</v>
      </c>
      <c r="C5274" s="14">
        <v>2</v>
      </c>
      <c r="D5274" s="86">
        <v>0.69150899108857622</v>
      </c>
      <c r="E5274" s="86"/>
      <c r="F5274" s="14"/>
    </row>
    <row r="5275" spans="1:6" x14ac:dyDescent="0.25">
      <c r="A5275" s="86">
        <v>5274</v>
      </c>
      <c r="B5275" s="87">
        <v>44.193325260828715</v>
      </c>
      <c r="C5275" s="14">
        <v>5</v>
      </c>
      <c r="D5275" s="86">
        <v>0.91448556510271906</v>
      </c>
      <c r="E5275" s="86"/>
      <c r="F5275" s="14"/>
    </row>
    <row r="5276" spans="1:6" x14ac:dyDescent="0.25">
      <c r="A5276" s="86">
        <v>5275</v>
      </c>
      <c r="B5276" s="87">
        <v>56.465250958688557</v>
      </c>
      <c r="C5276" s="14">
        <v>5</v>
      </c>
      <c r="D5276" s="86">
        <v>0.79120084173629091</v>
      </c>
      <c r="E5276" s="86"/>
      <c r="F5276" s="14"/>
    </row>
    <row r="5277" spans="1:6" x14ac:dyDescent="0.25">
      <c r="A5277" s="86">
        <v>5276</v>
      </c>
      <c r="B5277" s="87">
        <v>40.085444647382246</v>
      </c>
      <c r="C5277" s="14">
        <v>5</v>
      </c>
      <c r="D5277" s="86">
        <v>0.83661019868900144</v>
      </c>
      <c r="E5277" s="86"/>
      <c r="F5277" s="14"/>
    </row>
    <row r="5278" spans="1:6" x14ac:dyDescent="0.25">
      <c r="A5278" s="86">
        <v>5277</v>
      </c>
      <c r="B5278" s="87">
        <v>47.775279194291215</v>
      </c>
      <c r="C5278" s="14">
        <v>5</v>
      </c>
      <c r="D5278" s="86">
        <v>0.51219681708641973</v>
      </c>
      <c r="E5278" s="86"/>
      <c r="F5278" s="14"/>
    </row>
    <row r="5279" spans="1:6" x14ac:dyDescent="0.25">
      <c r="A5279" s="86">
        <v>5278</v>
      </c>
      <c r="B5279" s="87">
        <v>48.514993972610682</v>
      </c>
      <c r="C5279" s="14">
        <v>3</v>
      </c>
      <c r="D5279" s="86">
        <v>4.7545960085960903E-2</v>
      </c>
      <c r="E5279" s="86"/>
      <c r="F5279" s="14"/>
    </row>
    <row r="5280" spans="1:6" x14ac:dyDescent="0.25">
      <c r="A5280" s="86">
        <v>5279</v>
      </c>
      <c r="B5280" s="87">
        <v>43.499022689837147</v>
      </c>
      <c r="C5280" s="14">
        <v>2</v>
      </c>
      <c r="D5280" s="86">
        <v>0.4422926804939219</v>
      </c>
      <c r="E5280" s="86"/>
      <c r="F5280" s="14"/>
    </row>
    <row r="5281" spans="1:6" x14ac:dyDescent="0.25">
      <c r="A5281" s="86">
        <v>5280</v>
      </c>
      <c r="B5281" s="87">
        <v>38.27097997997771</v>
      </c>
      <c r="C5281" s="14">
        <v>5</v>
      </c>
      <c r="D5281" s="86">
        <v>0.10711719951261511</v>
      </c>
      <c r="E5281" s="86"/>
      <c r="F5281" s="14"/>
    </row>
    <row r="5282" spans="1:6" x14ac:dyDescent="0.25">
      <c r="A5282" s="86">
        <v>5281</v>
      </c>
      <c r="B5282" s="87">
        <v>47.653577434510225</v>
      </c>
      <c r="C5282" s="14">
        <v>2</v>
      </c>
      <c r="D5282" s="86">
        <v>0.54304451304791479</v>
      </c>
      <c r="E5282" s="86"/>
      <c r="F5282" s="14"/>
    </row>
    <row r="5283" spans="1:6" x14ac:dyDescent="0.25">
      <c r="A5283" s="86">
        <v>5282</v>
      </c>
      <c r="B5283" s="87">
        <v>38.113080331066158</v>
      </c>
      <c r="C5283" s="14">
        <v>5</v>
      </c>
      <c r="D5283" s="86">
        <v>0.46198728754209895</v>
      </c>
      <c r="E5283" s="86"/>
      <c r="F5283" s="14"/>
    </row>
    <row r="5284" spans="1:6" x14ac:dyDescent="0.25">
      <c r="A5284" s="86">
        <v>5283</v>
      </c>
      <c r="B5284" s="87">
        <v>50.287781045306474</v>
      </c>
      <c r="C5284" s="14">
        <v>2</v>
      </c>
      <c r="D5284" s="86">
        <v>6.1606468182610508E-2</v>
      </c>
      <c r="E5284" s="86"/>
      <c r="F5284" s="14"/>
    </row>
    <row r="5285" spans="1:6" x14ac:dyDescent="0.25">
      <c r="A5285" s="86">
        <v>5284</v>
      </c>
      <c r="B5285" s="87">
        <v>46.719105734489858</v>
      </c>
      <c r="C5285" s="14">
        <v>4</v>
      </c>
      <c r="D5285" s="86">
        <v>0.71691306100351193</v>
      </c>
      <c r="E5285" s="86"/>
      <c r="F5285" s="14"/>
    </row>
    <row r="5286" spans="1:6" x14ac:dyDescent="0.25">
      <c r="A5286" s="86">
        <v>5285</v>
      </c>
      <c r="B5286" s="87">
        <v>48.884135134692769</v>
      </c>
      <c r="C5286" s="14">
        <v>2</v>
      </c>
      <c r="D5286" s="86">
        <v>0.32261157212836289</v>
      </c>
      <c r="E5286" s="86"/>
      <c r="F5286" s="14"/>
    </row>
    <row r="5287" spans="1:6" x14ac:dyDescent="0.25">
      <c r="A5287" s="86">
        <v>5286</v>
      </c>
      <c r="B5287" s="87">
        <v>29.646434990689158</v>
      </c>
      <c r="C5287" s="14">
        <v>5</v>
      </c>
      <c r="D5287" s="86">
        <v>0.60687239785948233</v>
      </c>
      <c r="E5287" s="86"/>
      <c r="F5287" s="14"/>
    </row>
    <row r="5288" spans="1:6" x14ac:dyDescent="0.25">
      <c r="A5288" s="86">
        <v>5287</v>
      </c>
      <c r="B5288" s="87">
        <v>45.144128075087792</v>
      </c>
      <c r="C5288" s="14">
        <v>4</v>
      </c>
      <c r="D5288" s="86">
        <v>0.23197014749713762</v>
      </c>
      <c r="E5288" s="86"/>
      <c r="F5288" s="14"/>
    </row>
    <row r="5289" spans="1:6" x14ac:dyDescent="0.25">
      <c r="A5289" s="86">
        <v>5288</v>
      </c>
      <c r="B5289" s="87">
        <v>50.566723070340231</v>
      </c>
      <c r="C5289" s="14">
        <v>4</v>
      </c>
      <c r="D5289" s="86">
        <v>0.19762591753387782</v>
      </c>
      <c r="E5289" s="86"/>
      <c r="F5289" s="14"/>
    </row>
    <row r="5290" spans="1:6" x14ac:dyDescent="0.25">
      <c r="A5290" s="86">
        <v>5289</v>
      </c>
      <c r="B5290" s="87">
        <v>47.255389285390265</v>
      </c>
      <c r="C5290" s="14">
        <v>5</v>
      </c>
      <c r="D5290" s="86">
        <v>0.20202364879214441</v>
      </c>
      <c r="E5290" s="86"/>
      <c r="F5290" s="14"/>
    </row>
    <row r="5291" spans="1:6" x14ac:dyDescent="0.25">
      <c r="A5291" s="86">
        <v>5290</v>
      </c>
      <c r="B5291" s="87">
        <v>41.115987409619265</v>
      </c>
      <c r="C5291" s="14">
        <v>1</v>
      </c>
      <c r="D5291" s="86">
        <v>0.94329972862874023</v>
      </c>
      <c r="E5291" s="86"/>
      <c r="F5291" s="14"/>
    </row>
    <row r="5292" spans="1:6" x14ac:dyDescent="0.25">
      <c r="A5292" s="86">
        <v>5291</v>
      </c>
      <c r="B5292" s="87">
        <v>38.943448993784841</v>
      </c>
      <c r="C5292" s="14">
        <v>2</v>
      </c>
      <c r="D5292" s="86">
        <v>0.39216598287464699</v>
      </c>
      <c r="E5292" s="86"/>
      <c r="F5292" s="14"/>
    </row>
    <row r="5293" spans="1:6" x14ac:dyDescent="0.25">
      <c r="A5293" s="86">
        <v>5292</v>
      </c>
      <c r="B5293" s="87">
        <v>45.862577730411431</v>
      </c>
      <c r="C5293" s="14">
        <v>4</v>
      </c>
      <c r="D5293" s="86">
        <v>0.3067766339201683</v>
      </c>
      <c r="E5293" s="86"/>
      <c r="F5293" s="14"/>
    </row>
    <row r="5294" spans="1:6" x14ac:dyDescent="0.25">
      <c r="A5294" s="86">
        <v>5293</v>
      </c>
      <c r="B5294" s="87">
        <v>45.400736320851138</v>
      </c>
      <c r="C5294" s="14">
        <v>3</v>
      </c>
      <c r="D5294" s="86">
        <v>0.53554506717427341</v>
      </c>
      <c r="E5294" s="86"/>
      <c r="F5294" s="14"/>
    </row>
    <row r="5295" spans="1:6" x14ac:dyDescent="0.25">
      <c r="A5295" s="86">
        <v>5294</v>
      </c>
      <c r="B5295" s="87">
        <v>45.097260676237056</v>
      </c>
      <c r="C5295" s="14">
        <v>2</v>
      </c>
      <c r="D5295" s="86">
        <v>0.57779537883113119</v>
      </c>
      <c r="E5295" s="86"/>
      <c r="F5295" s="14"/>
    </row>
    <row r="5296" spans="1:6" x14ac:dyDescent="0.25">
      <c r="A5296" s="86">
        <v>5295</v>
      </c>
      <c r="B5296" s="87">
        <v>43.147088030644227</v>
      </c>
      <c r="C5296" s="14">
        <v>4</v>
      </c>
      <c r="D5296" s="86">
        <v>0.69531139577979684</v>
      </c>
      <c r="E5296" s="86"/>
      <c r="F5296" s="14"/>
    </row>
    <row r="5297" spans="1:6" x14ac:dyDescent="0.25">
      <c r="A5297" s="86">
        <v>5296</v>
      </c>
      <c r="B5297" s="87">
        <v>47.689081833930686</v>
      </c>
      <c r="C5297" s="14">
        <v>4</v>
      </c>
      <c r="D5297" s="86">
        <v>0.35015954115174242</v>
      </c>
      <c r="E5297" s="86"/>
      <c r="F5297" s="14"/>
    </row>
    <row r="5298" spans="1:6" x14ac:dyDescent="0.25">
      <c r="A5298" s="86">
        <v>5297</v>
      </c>
      <c r="B5298" s="87">
        <v>38.060386481782189</v>
      </c>
      <c r="C5298" s="14">
        <v>4</v>
      </c>
      <c r="D5298" s="86">
        <v>0.89452951742614184</v>
      </c>
      <c r="E5298" s="86"/>
      <c r="F5298" s="14"/>
    </row>
    <row r="5299" spans="1:6" x14ac:dyDescent="0.25">
      <c r="A5299" s="86">
        <v>5298</v>
      </c>
      <c r="B5299" s="87">
        <v>39.335145624470897</v>
      </c>
      <c r="C5299" s="14">
        <v>4</v>
      </c>
      <c r="D5299" s="86">
        <v>0.97660255537144292</v>
      </c>
      <c r="E5299" s="86"/>
      <c r="F5299" s="14"/>
    </row>
    <row r="5300" spans="1:6" x14ac:dyDescent="0.25">
      <c r="A5300" s="86">
        <v>5299</v>
      </c>
      <c r="B5300" s="87">
        <v>43.672338273943751</v>
      </c>
      <c r="C5300" s="14">
        <v>5</v>
      </c>
      <c r="D5300" s="86">
        <v>0.21237334963030818</v>
      </c>
      <c r="E5300" s="86"/>
      <c r="F5300" s="14"/>
    </row>
    <row r="5301" spans="1:6" x14ac:dyDescent="0.25">
      <c r="A5301" s="86">
        <v>5300</v>
      </c>
      <c r="B5301" s="87">
        <v>38.725352164299693</v>
      </c>
      <c r="C5301" s="14">
        <v>4</v>
      </c>
      <c r="D5301" s="86">
        <v>0.32358109134022317</v>
      </c>
      <c r="E5301" s="86"/>
      <c r="F5301" s="14"/>
    </row>
    <row r="5302" spans="1:6" x14ac:dyDescent="0.25">
      <c r="A5302" s="86">
        <v>5301</v>
      </c>
      <c r="B5302" s="87">
        <v>40.807969975838205</v>
      </c>
      <c r="C5302" s="14">
        <v>4</v>
      </c>
      <c r="D5302" s="86">
        <v>0.58982656376282883</v>
      </c>
      <c r="E5302" s="86"/>
      <c r="F5302" s="14"/>
    </row>
    <row r="5303" spans="1:6" x14ac:dyDescent="0.25">
      <c r="A5303" s="86">
        <v>5302</v>
      </c>
      <c r="B5303" s="87">
        <v>44.022016249407898</v>
      </c>
      <c r="C5303" s="14">
        <v>1</v>
      </c>
      <c r="D5303" s="86">
        <v>0.93706528256883859</v>
      </c>
      <c r="E5303" s="86"/>
      <c r="F5303" s="14"/>
    </row>
    <row r="5304" spans="1:6" x14ac:dyDescent="0.25">
      <c r="A5304" s="86">
        <v>5303</v>
      </c>
      <c r="B5304" s="87">
        <v>48.103652256366331</v>
      </c>
      <c r="C5304" s="14">
        <v>4</v>
      </c>
      <c r="D5304" s="86">
        <v>0.87311103779847621</v>
      </c>
      <c r="E5304" s="86"/>
      <c r="F5304" s="14"/>
    </row>
    <row r="5305" spans="1:6" x14ac:dyDescent="0.25">
      <c r="A5305" s="86">
        <v>5304</v>
      </c>
      <c r="B5305" s="87">
        <v>43.910563358047511</v>
      </c>
      <c r="C5305" s="14">
        <v>4</v>
      </c>
      <c r="D5305" s="86">
        <v>0.2982065331528384</v>
      </c>
      <c r="E5305" s="86"/>
      <c r="F5305" s="14"/>
    </row>
    <row r="5306" spans="1:6" x14ac:dyDescent="0.25">
      <c r="A5306" s="86">
        <v>5305</v>
      </c>
      <c r="B5306" s="87">
        <v>44.440048436052166</v>
      </c>
      <c r="C5306" s="14">
        <v>4</v>
      </c>
      <c r="D5306" s="86">
        <v>0.46120937275679497</v>
      </c>
      <c r="E5306" s="86"/>
      <c r="F5306" s="14"/>
    </row>
    <row r="5307" spans="1:6" x14ac:dyDescent="0.25">
      <c r="A5307" s="86">
        <v>5306</v>
      </c>
      <c r="B5307" s="87">
        <v>53.204485079157166</v>
      </c>
      <c r="C5307" s="14">
        <v>4</v>
      </c>
      <c r="D5307" s="86">
        <v>0.56781691493742992</v>
      </c>
      <c r="E5307" s="86"/>
      <c r="F5307" s="14"/>
    </row>
    <row r="5308" spans="1:6" x14ac:dyDescent="0.25">
      <c r="A5308" s="86">
        <v>5307</v>
      </c>
      <c r="B5308" s="87">
        <v>42.691323182560154</v>
      </c>
      <c r="C5308" s="14">
        <v>2</v>
      </c>
      <c r="D5308" s="86">
        <v>0.88455340352014478</v>
      </c>
      <c r="E5308" s="86"/>
      <c r="F5308" s="14"/>
    </row>
    <row r="5309" spans="1:6" x14ac:dyDescent="0.25">
      <c r="A5309" s="86">
        <v>5308</v>
      </c>
      <c r="B5309" s="87">
        <v>43.237042740991456</v>
      </c>
      <c r="C5309" s="14">
        <v>2</v>
      </c>
      <c r="D5309" s="86">
        <v>0.86472349304947405</v>
      </c>
      <c r="E5309" s="86"/>
      <c r="F5309" s="14"/>
    </row>
    <row r="5310" spans="1:6" x14ac:dyDescent="0.25">
      <c r="A5310" s="86">
        <v>5309</v>
      </c>
      <c r="B5310" s="87">
        <v>41.096672015890363</v>
      </c>
      <c r="C5310" s="14">
        <v>2</v>
      </c>
      <c r="D5310" s="86">
        <v>0.82694188228597243</v>
      </c>
      <c r="E5310" s="86"/>
      <c r="F5310" s="14"/>
    </row>
    <row r="5311" spans="1:6" x14ac:dyDescent="0.25">
      <c r="A5311" s="86">
        <v>5310</v>
      </c>
      <c r="B5311" s="87">
        <v>47.012582621726324</v>
      </c>
      <c r="C5311" s="14">
        <v>5</v>
      </c>
      <c r="D5311" s="86">
        <v>9.9274669240173807E-2</v>
      </c>
      <c r="E5311" s="86"/>
      <c r="F5311" s="14"/>
    </row>
    <row r="5312" spans="1:6" x14ac:dyDescent="0.25">
      <c r="A5312" s="86">
        <v>5311</v>
      </c>
      <c r="B5312" s="87">
        <v>45.528145159885753</v>
      </c>
      <c r="C5312" s="14">
        <v>2</v>
      </c>
      <c r="D5312" s="86">
        <v>0.12710047124259249</v>
      </c>
      <c r="E5312" s="86"/>
      <c r="F5312" s="14"/>
    </row>
    <row r="5313" spans="1:6" x14ac:dyDescent="0.25">
      <c r="A5313" s="86">
        <v>5312</v>
      </c>
      <c r="B5313" s="87">
        <v>46.580316842999309</v>
      </c>
      <c r="C5313" s="14">
        <v>4</v>
      </c>
      <c r="D5313" s="86">
        <v>0.33709192059986959</v>
      </c>
      <c r="E5313" s="86"/>
      <c r="F5313" s="14"/>
    </row>
    <row r="5314" spans="1:6" x14ac:dyDescent="0.25">
      <c r="A5314" s="86">
        <v>5313</v>
      </c>
      <c r="B5314" s="87">
        <v>41.873079221084481</v>
      </c>
      <c r="C5314" s="14">
        <v>3</v>
      </c>
      <c r="D5314" s="86">
        <v>0.44069410163175171</v>
      </c>
      <c r="E5314" s="86"/>
      <c r="F5314" s="14"/>
    </row>
    <row r="5315" spans="1:6" x14ac:dyDescent="0.25">
      <c r="A5315" s="86">
        <v>5314</v>
      </c>
      <c r="B5315" s="87">
        <v>46.828449735010508</v>
      </c>
      <c r="C5315" s="14">
        <v>2</v>
      </c>
      <c r="D5315" s="86">
        <v>0.22863742561247602</v>
      </c>
      <c r="E5315" s="86"/>
      <c r="F5315" s="14"/>
    </row>
    <row r="5316" spans="1:6" x14ac:dyDescent="0.25">
      <c r="A5316" s="86">
        <v>5315</v>
      </c>
      <c r="B5316" s="87">
        <v>44.310547759203473</v>
      </c>
      <c r="C5316" s="14">
        <v>5</v>
      </c>
      <c r="D5316" s="86">
        <v>0.87167495707702802</v>
      </c>
      <c r="E5316" s="86"/>
      <c r="F5316" s="14"/>
    </row>
    <row r="5317" spans="1:6" x14ac:dyDescent="0.25">
      <c r="A5317" s="86">
        <v>5316</v>
      </c>
      <c r="B5317" s="87">
        <v>39.931740042782621</v>
      </c>
      <c r="C5317" s="14">
        <v>4</v>
      </c>
      <c r="D5317" s="86">
        <v>0.26976375300374222</v>
      </c>
      <c r="E5317" s="86"/>
      <c r="F5317" s="14"/>
    </row>
    <row r="5318" spans="1:6" x14ac:dyDescent="0.25">
      <c r="A5318" s="86">
        <v>5317</v>
      </c>
      <c r="B5318" s="87">
        <v>43.928065446714754</v>
      </c>
      <c r="C5318" s="14">
        <v>2</v>
      </c>
      <c r="D5318" s="86">
        <v>0.18411204971065009</v>
      </c>
      <c r="E5318" s="86"/>
      <c r="F5318" s="14"/>
    </row>
    <row r="5319" spans="1:6" x14ac:dyDescent="0.25">
      <c r="A5319" s="86">
        <v>5318</v>
      </c>
      <c r="B5319" s="87">
        <v>35.359107636730187</v>
      </c>
      <c r="C5319" s="14">
        <v>3</v>
      </c>
      <c r="D5319" s="86">
        <v>0.69451320933496208</v>
      </c>
      <c r="E5319" s="86"/>
      <c r="F5319" s="14"/>
    </row>
    <row r="5320" spans="1:6" x14ac:dyDescent="0.25">
      <c r="A5320" s="86">
        <v>5319</v>
      </c>
      <c r="B5320" s="87">
        <v>51.774168236413971</v>
      </c>
      <c r="C5320" s="14">
        <v>3</v>
      </c>
      <c r="D5320" s="86">
        <v>0.3787330879474603</v>
      </c>
      <c r="E5320" s="86"/>
      <c r="F5320" s="14"/>
    </row>
    <row r="5321" spans="1:6" x14ac:dyDescent="0.25">
      <c r="A5321" s="86">
        <v>5320</v>
      </c>
      <c r="B5321" s="87">
        <v>51.855613486957736</v>
      </c>
      <c r="C5321" s="14">
        <v>4</v>
      </c>
      <c r="D5321" s="86">
        <v>0.38130360793912244</v>
      </c>
      <c r="E5321" s="86"/>
      <c r="F5321" s="14"/>
    </row>
    <row r="5322" spans="1:6" x14ac:dyDescent="0.25">
      <c r="A5322" s="86">
        <v>5321</v>
      </c>
      <c r="B5322" s="87">
        <v>30.94755811104551</v>
      </c>
      <c r="C5322" s="14">
        <v>4</v>
      </c>
      <c r="D5322" s="86">
        <v>7.7294341612990092E-3</v>
      </c>
      <c r="E5322" s="86"/>
      <c r="F5322" s="14"/>
    </row>
    <row r="5323" spans="1:6" x14ac:dyDescent="0.25">
      <c r="A5323" s="86">
        <v>5322</v>
      </c>
      <c r="B5323" s="87">
        <v>47.82500581711065</v>
      </c>
      <c r="C5323" s="14">
        <v>2</v>
      </c>
      <c r="D5323" s="86">
        <v>0.67208390027138509</v>
      </c>
      <c r="E5323" s="86"/>
      <c r="F5323" s="14"/>
    </row>
    <row r="5324" spans="1:6" x14ac:dyDescent="0.25">
      <c r="A5324" s="86">
        <v>5323</v>
      </c>
      <c r="B5324" s="87">
        <v>44.577359398652334</v>
      </c>
      <c r="C5324" s="14">
        <v>4</v>
      </c>
      <c r="D5324" s="86">
        <v>0.49410338839462653</v>
      </c>
      <c r="E5324" s="86"/>
      <c r="F5324" s="14"/>
    </row>
    <row r="5325" spans="1:6" x14ac:dyDescent="0.25">
      <c r="A5325" s="86">
        <v>5324</v>
      </c>
      <c r="B5325" s="87">
        <v>42.84411260811612</v>
      </c>
      <c r="C5325" s="14">
        <v>4</v>
      </c>
      <c r="D5325" s="86">
        <v>0.45693626804898457</v>
      </c>
      <c r="E5325" s="86"/>
      <c r="F5325" s="14"/>
    </row>
    <row r="5326" spans="1:6" x14ac:dyDescent="0.25">
      <c r="A5326" s="86">
        <v>5325</v>
      </c>
      <c r="B5326" s="87">
        <v>44.1002612154698</v>
      </c>
      <c r="C5326" s="14">
        <v>2</v>
      </c>
      <c r="D5326" s="86">
        <v>0.30896142007691829</v>
      </c>
      <c r="E5326" s="86"/>
      <c r="F5326" s="14"/>
    </row>
    <row r="5327" spans="1:6" x14ac:dyDescent="0.25">
      <c r="A5327" s="86">
        <v>5326</v>
      </c>
      <c r="B5327" s="87">
        <v>43.129870159071288</v>
      </c>
      <c r="C5327" s="14">
        <v>2</v>
      </c>
      <c r="D5327" s="86">
        <v>0.40688909763619008</v>
      </c>
      <c r="E5327" s="86"/>
      <c r="F5327" s="14"/>
    </row>
    <row r="5328" spans="1:6" x14ac:dyDescent="0.25">
      <c r="A5328" s="86">
        <v>5327</v>
      </c>
      <c r="B5328" s="87">
        <v>45.501235485397046</v>
      </c>
      <c r="C5328" s="14">
        <v>2</v>
      </c>
      <c r="D5328" s="86">
        <v>0.13667103306752237</v>
      </c>
      <c r="E5328" s="86"/>
      <c r="F5328" s="14"/>
    </row>
    <row r="5329" spans="1:6" x14ac:dyDescent="0.25">
      <c r="A5329" s="86">
        <v>5328</v>
      </c>
      <c r="B5329" s="87">
        <v>50.987114258867223</v>
      </c>
      <c r="C5329" s="14">
        <v>2</v>
      </c>
      <c r="D5329" s="86">
        <v>0.82334568789743467</v>
      </c>
      <c r="E5329" s="86"/>
      <c r="F5329" s="14"/>
    </row>
    <row r="5330" spans="1:6" x14ac:dyDescent="0.25">
      <c r="A5330" s="86">
        <v>5329</v>
      </c>
      <c r="B5330" s="87">
        <v>41.000498635519762</v>
      </c>
      <c r="C5330" s="14">
        <v>5</v>
      </c>
      <c r="D5330" s="86">
        <v>1.1667058925005303E-2</v>
      </c>
      <c r="E5330" s="86"/>
      <c r="F5330" s="14"/>
    </row>
    <row r="5331" spans="1:6" x14ac:dyDescent="0.25">
      <c r="A5331" s="86">
        <v>5330</v>
      </c>
      <c r="B5331" s="87">
        <v>43.19110188986815</v>
      </c>
      <c r="C5331" s="14">
        <v>4</v>
      </c>
      <c r="D5331" s="86">
        <v>0.33892288216704902</v>
      </c>
      <c r="E5331" s="86"/>
      <c r="F5331" s="14"/>
    </row>
    <row r="5332" spans="1:6" x14ac:dyDescent="0.25">
      <c r="A5332" s="86">
        <v>5331</v>
      </c>
      <c r="B5332" s="87">
        <v>48.10880227011512</v>
      </c>
      <c r="C5332" s="14">
        <v>2</v>
      </c>
      <c r="D5332" s="86">
        <v>0.67493956752891149</v>
      </c>
      <c r="E5332" s="86"/>
      <c r="F5332" s="14"/>
    </row>
    <row r="5333" spans="1:6" x14ac:dyDescent="0.25">
      <c r="A5333" s="86">
        <v>5332</v>
      </c>
      <c r="B5333" s="87">
        <v>52.067161954590119</v>
      </c>
      <c r="C5333" s="14">
        <v>5</v>
      </c>
      <c r="D5333" s="86">
        <v>0.35562041415470702</v>
      </c>
      <c r="E5333" s="86"/>
      <c r="F5333" s="14"/>
    </row>
    <row r="5334" spans="1:6" x14ac:dyDescent="0.25">
      <c r="A5334" s="86">
        <v>5333</v>
      </c>
      <c r="B5334" s="87">
        <v>48.095932920085033</v>
      </c>
      <c r="C5334" s="14">
        <v>2</v>
      </c>
      <c r="D5334" s="86">
        <v>0.96062733685705659</v>
      </c>
      <c r="E5334" s="86"/>
      <c r="F5334" s="14"/>
    </row>
    <row r="5335" spans="1:6" x14ac:dyDescent="0.25">
      <c r="A5335" s="86">
        <v>5334</v>
      </c>
      <c r="B5335" s="87">
        <v>39.977328464708989</v>
      </c>
      <c r="C5335" s="14">
        <v>2</v>
      </c>
      <c r="D5335" s="86">
        <v>0.44616398552347514</v>
      </c>
      <c r="E5335" s="86"/>
      <c r="F5335" s="14"/>
    </row>
    <row r="5336" spans="1:6" x14ac:dyDescent="0.25">
      <c r="A5336" s="86">
        <v>5335</v>
      </c>
      <c r="B5336" s="87">
        <v>51.120059646898881</v>
      </c>
      <c r="C5336" s="14">
        <v>4</v>
      </c>
      <c r="D5336" s="86">
        <v>0.50980307834153016</v>
      </c>
      <c r="E5336" s="86"/>
      <c r="F5336" s="14"/>
    </row>
    <row r="5337" spans="1:6" x14ac:dyDescent="0.25">
      <c r="A5337" s="86">
        <v>5336</v>
      </c>
      <c r="B5337" s="87">
        <v>35.444077179243322</v>
      </c>
      <c r="C5337" s="14">
        <v>1</v>
      </c>
      <c r="D5337" s="86">
        <v>0.6657298448608252</v>
      </c>
      <c r="E5337" s="86"/>
      <c r="F5337" s="14"/>
    </row>
    <row r="5338" spans="1:6" x14ac:dyDescent="0.25">
      <c r="A5338" s="86">
        <v>5337</v>
      </c>
      <c r="B5338" s="87">
        <v>46.477759946690639</v>
      </c>
      <c r="C5338" s="14">
        <v>2</v>
      </c>
      <c r="D5338" s="86">
        <v>0.81912492044684271</v>
      </c>
      <c r="E5338" s="86"/>
      <c r="F5338" s="14"/>
    </row>
    <row r="5339" spans="1:6" x14ac:dyDescent="0.25">
      <c r="A5339" s="86">
        <v>5338</v>
      </c>
      <c r="B5339" s="87">
        <v>44.716273345664376</v>
      </c>
      <c r="C5339" s="14">
        <v>4</v>
      </c>
      <c r="D5339" s="86">
        <v>0.98124334728855955</v>
      </c>
      <c r="E5339" s="86"/>
      <c r="F5339" s="14"/>
    </row>
    <row r="5340" spans="1:6" x14ac:dyDescent="0.25">
      <c r="A5340" s="86">
        <v>5339</v>
      </c>
      <c r="B5340" s="87">
        <v>41.690640268250718</v>
      </c>
      <c r="C5340" s="14">
        <v>4</v>
      </c>
      <c r="D5340" s="86">
        <v>0.80335908418321123</v>
      </c>
      <c r="E5340" s="86"/>
      <c r="F5340" s="14"/>
    </row>
    <row r="5341" spans="1:6" x14ac:dyDescent="0.25">
      <c r="A5341" s="86">
        <v>5340</v>
      </c>
      <c r="B5341" s="87">
        <v>45.267654508614214</v>
      </c>
      <c r="C5341" s="14">
        <v>4</v>
      </c>
      <c r="D5341" s="86">
        <v>0.95843965858273017</v>
      </c>
      <c r="E5341" s="86"/>
      <c r="F5341" s="14"/>
    </row>
    <row r="5342" spans="1:6" x14ac:dyDescent="0.25">
      <c r="A5342" s="86">
        <v>5341</v>
      </c>
      <c r="B5342" s="87">
        <v>41.596990735677537</v>
      </c>
      <c r="C5342" s="14">
        <v>2</v>
      </c>
      <c r="D5342" s="86">
        <v>0.15719787948635566</v>
      </c>
      <c r="E5342" s="86"/>
      <c r="F5342" s="14"/>
    </row>
    <row r="5343" spans="1:6" x14ac:dyDescent="0.25">
      <c r="A5343" s="86">
        <v>5342</v>
      </c>
      <c r="B5343" s="87">
        <v>41.223552211129572</v>
      </c>
      <c r="C5343" s="14">
        <v>2</v>
      </c>
      <c r="D5343" s="86">
        <v>0.73723674964121366</v>
      </c>
      <c r="E5343" s="86"/>
      <c r="F5343" s="14"/>
    </row>
    <row r="5344" spans="1:6" x14ac:dyDescent="0.25">
      <c r="A5344" s="86">
        <v>5343</v>
      </c>
      <c r="B5344" s="87">
        <v>40.520848182830377</v>
      </c>
      <c r="C5344" s="14">
        <v>5</v>
      </c>
      <c r="D5344" s="86">
        <v>0.50737536299734765</v>
      </c>
      <c r="E5344" s="86"/>
      <c r="F5344" s="14"/>
    </row>
    <row r="5345" spans="1:6" x14ac:dyDescent="0.25">
      <c r="A5345" s="86">
        <v>5344</v>
      </c>
      <c r="B5345" s="87">
        <v>46.227279421480489</v>
      </c>
      <c r="C5345" s="14">
        <v>3</v>
      </c>
      <c r="D5345" s="86">
        <v>4.4273663079279491E-2</v>
      </c>
      <c r="E5345" s="86"/>
      <c r="F5345" s="14"/>
    </row>
    <row r="5346" spans="1:6" x14ac:dyDescent="0.25">
      <c r="A5346" s="86">
        <v>5345</v>
      </c>
      <c r="B5346" s="87">
        <v>43.141733380587539</v>
      </c>
      <c r="C5346" s="14">
        <v>5</v>
      </c>
      <c r="D5346" s="86">
        <v>0.2717527559450208</v>
      </c>
      <c r="E5346" s="86"/>
      <c r="F5346" s="14"/>
    </row>
    <row r="5347" spans="1:6" x14ac:dyDescent="0.25">
      <c r="A5347" s="86">
        <v>5346</v>
      </c>
      <c r="B5347" s="87">
        <v>47.762023309012875</v>
      </c>
      <c r="C5347" s="14">
        <v>5</v>
      </c>
      <c r="D5347" s="86">
        <v>0.62238595449735712</v>
      </c>
      <c r="E5347" s="86"/>
      <c r="F5347" s="14"/>
    </row>
    <row r="5348" spans="1:6" x14ac:dyDescent="0.25">
      <c r="A5348" s="86">
        <v>5347</v>
      </c>
      <c r="B5348" s="87">
        <v>33.651485859416425</v>
      </c>
      <c r="C5348" s="14">
        <v>2</v>
      </c>
      <c r="D5348" s="86">
        <v>0.92961565687770131</v>
      </c>
      <c r="E5348" s="86"/>
      <c r="F5348" s="14"/>
    </row>
    <row r="5349" spans="1:6" x14ac:dyDescent="0.25">
      <c r="A5349" s="86">
        <v>5348</v>
      </c>
      <c r="B5349" s="87">
        <v>40.66302494208503</v>
      </c>
      <c r="C5349" s="14">
        <v>2</v>
      </c>
      <c r="D5349" s="86">
        <v>0.23646596310994372</v>
      </c>
      <c r="E5349" s="86"/>
      <c r="F5349" s="14"/>
    </row>
    <row r="5350" spans="1:6" x14ac:dyDescent="0.25">
      <c r="A5350" s="86">
        <v>5349</v>
      </c>
      <c r="B5350" s="87">
        <v>38.619100445765071</v>
      </c>
      <c r="C5350" s="14">
        <v>2</v>
      </c>
      <c r="D5350" s="86">
        <v>0.75605279618032861</v>
      </c>
      <c r="E5350" s="86"/>
      <c r="F5350" s="14"/>
    </row>
    <row r="5351" spans="1:6" x14ac:dyDescent="0.25">
      <c r="A5351" s="86">
        <v>5350</v>
      </c>
      <c r="B5351" s="87">
        <v>44.419732598151313</v>
      </c>
      <c r="C5351" s="14">
        <v>4</v>
      </c>
      <c r="D5351" s="86">
        <v>0.92645202615461852</v>
      </c>
      <c r="E5351" s="86"/>
      <c r="F5351" s="14"/>
    </row>
    <row r="5352" spans="1:6" x14ac:dyDescent="0.25">
      <c r="A5352" s="86">
        <v>5351</v>
      </c>
      <c r="B5352" s="87">
        <v>30.989031069446355</v>
      </c>
      <c r="C5352" s="14">
        <v>5</v>
      </c>
      <c r="D5352" s="86">
        <v>0.63500922513878488</v>
      </c>
      <c r="E5352" s="86"/>
      <c r="F5352" s="14"/>
    </row>
    <row r="5353" spans="1:6" x14ac:dyDescent="0.25">
      <c r="A5353" s="86">
        <v>5352</v>
      </c>
      <c r="B5353" s="87">
        <v>35.469133758277167</v>
      </c>
      <c r="C5353" s="14">
        <v>1</v>
      </c>
      <c r="D5353" s="86">
        <v>0.54025353112341334</v>
      </c>
      <c r="E5353" s="86"/>
      <c r="F5353" s="14"/>
    </row>
    <row r="5354" spans="1:6" x14ac:dyDescent="0.25">
      <c r="A5354" s="86">
        <v>5353</v>
      </c>
      <c r="B5354" s="87">
        <v>52.209406925947405</v>
      </c>
      <c r="C5354" s="14">
        <v>2</v>
      </c>
      <c r="D5354" s="86">
        <v>0.9646876634461321</v>
      </c>
      <c r="E5354" s="86"/>
      <c r="F5354" s="14"/>
    </row>
    <row r="5355" spans="1:6" x14ac:dyDescent="0.25">
      <c r="A5355" s="86">
        <v>5354</v>
      </c>
      <c r="B5355" s="87">
        <v>36.341953086201102</v>
      </c>
      <c r="C5355" s="14">
        <v>2</v>
      </c>
      <c r="D5355" s="86">
        <v>0.17835861686125065</v>
      </c>
      <c r="E5355" s="86"/>
      <c r="F5355" s="14"/>
    </row>
    <row r="5356" spans="1:6" x14ac:dyDescent="0.25">
      <c r="A5356" s="86">
        <v>5355</v>
      </c>
      <c r="B5356" s="87">
        <v>43.985329506875132</v>
      </c>
      <c r="C5356" s="14">
        <v>2</v>
      </c>
      <c r="D5356" s="86">
        <v>0.65832165107524709</v>
      </c>
      <c r="E5356" s="86"/>
      <c r="F5356" s="14"/>
    </row>
    <row r="5357" spans="1:6" x14ac:dyDescent="0.25">
      <c r="A5357" s="86">
        <v>5356</v>
      </c>
      <c r="B5357" s="87">
        <v>31.421041052788496</v>
      </c>
      <c r="C5357" s="14">
        <v>4</v>
      </c>
      <c r="D5357" s="86">
        <v>0.70713088053331208</v>
      </c>
      <c r="E5357" s="86"/>
      <c r="F5357" s="14"/>
    </row>
    <row r="5358" spans="1:6" x14ac:dyDescent="0.25">
      <c r="A5358" s="86">
        <v>5357</v>
      </c>
      <c r="B5358" s="87">
        <v>37.302129380230326</v>
      </c>
      <c r="C5358" s="14">
        <v>2</v>
      </c>
      <c r="D5358" s="86">
        <v>0.14809857375698554</v>
      </c>
      <c r="E5358" s="86"/>
      <c r="F5358" s="14"/>
    </row>
    <row r="5359" spans="1:6" x14ac:dyDescent="0.25">
      <c r="A5359" s="86">
        <v>5358</v>
      </c>
      <c r="B5359" s="87">
        <v>46.661352820927277</v>
      </c>
      <c r="C5359" s="14">
        <v>4</v>
      </c>
      <c r="D5359" s="86">
        <v>3.9150619460166514E-3</v>
      </c>
      <c r="E5359" s="86"/>
      <c r="F5359" s="14"/>
    </row>
    <row r="5360" spans="1:6" x14ac:dyDescent="0.25">
      <c r="A5360" s="86">
        <v>5359</v>
      </c>
      <c r="B5360" s="87">
        <v>45.271048060720204</v>
      </c>
      <c r="C5360" s="14">
        <v>4</v>
      </c>
      <c r="D5360" s="86">
        <v>0.31209647107474914</v>
      </c>
      <c r="E5360" s="86"/>
      <c r="F5360" s="14"/>
    </row>
    <row r="5361" spans="1:6" x14ac:dyDescent="0.25">
      <c r="A5361" s="86">
        <v>5360</v>
      </c>
      <c r="B5361" s="87">
        <v>43.664618937662453</v>
      </c>
      <c r="C5361" s="14">
        <v>1</v>
      </c>
      <c r="D5361" s="86">
        <v>0.73176471779297081</v>
      </c>
      <c r="E5361" s="86"/>
      <c r="F5361" s="14"/>
    </row>
    <row r="5362" spans="1:6" x14ac:dyDescent="0.25">
      <c r="A5362" s="86">
        <v>5361</v>
      </c>
      <c r="B5362" s="87">
        <v>41.203577433741884</v>
      </c>
      <c r="C5362" s="14">
        <v>5</v>
      </c>
      <c r="D5362" s="86">
        <v>0.30131401875205222</v>
      </c>
      <c r="E5362" s="86"/>
      <c r="F5362" s="14"/>
    </row>
    <row r="5363" spans="1:6" x14ac:dyDescent="0.25">
      <c r="A5363" s="86">
        <v>5362</v>
      </c>
      <c r="B5363" s="87">
        <v>41.809425960644148</v>
      </c>
      <c r="C5363" s="14">
        <v>2</v>
      </c>
      <c r="D5363" s="86">
        <v>5.8223980235422301E-2</v>
      </c>
      <c r="E5363" s="86"/>
      <c r="F5363" s="14"/>
    </row>
    <row r="5364" spans="1:6" x14ac:dyDescent="0.25">
      <c r="A5364" s="86">
        <v>5363</v>
      </c>
      <c r="B5364" s="87">
        <v>30.817682267632335</v>
      </c>
      <c r="C5364" s="14">
        <v>5</v>
      </c>
      <c r="D5364" s="86">
        <v>0.16529611602405847</v>
      </c>
      <c r="E5364" s="86"/>
      <c r="F5364" s="14"/>
    </row>
    <row r="5365" spans="1:6" x14ac:dyDescent="0.25">
      <c r="A5365" s="86">
        <v>5364</v>
      </c>
      <c r="B5365" s="87">
        <v>35.310813468066044</v>
      </c>
      <c r="C5365" s="14">
        <v>4</v>
      </c>
      <c r="D5365" s="86">
        <v>0.126374479611573</v>
      </c>
      <c r="E5365" s="86"/>
      <c r="F5365" s="14"/>
    </row>
    <row r="5366" spans="1:6" x14ac:dyDescent="0.25">
      <c r="A5366" s="86">
        <v>5365</v>
      </c>
      <c r="B5366" s="87">
        <v>44.033345142786857</v>
      </c>
      <c r="C5366" s="14">
        <v>2</v>
      </c>
      <c r="D5366" s="86">
        <v>0.31419268718463622</v>
      </c>
      <c r="E5366" s="86"/>
      <c r="F5366" s="14"/>
    </row>
    <row r="5367" spans="1:6" x14ac:dyDescent="0.25">
      <c r="A5367" s="86">
        <v>5366</v>
      </c>
      <c r="B5367" s="87">
        <v>45.445904101477936</v>
      </c>
      <c r="C5367" s="14">
        <v>5</v>
      </c>
      <c r="D5367" s="86">
        <v>0.54270496216229969</v>
      </c>
      <c r="E5367" s="86"/>
      <c r="F5367" s="14"/>
    </row>
    <row r="5368" spans="1:6" x14ac:dyDescent="0.25">
      <c r="A5368" s="86">
        <v>5367</v>
      </c>
      <c r="B5368" s="87">
        <v>45.999752268806333</v>
      </c>
      <c r="C5368" s="14">
        <v>3</v>
      </c>
      <c r="D5368" s="86">
        <v>0.90387963977028396</v>
      </c>
      <c r="E5368" s="86"/>
      <c r="F5368" s="14"/>
    </row>
    <row r="5369" spans="1:6" x14ac:dyDescent="0.25">
      <c r="A5369" s="86">
        <v>5368</v>
      </c>
      <c r="B5369" s="87">
        <v>55.066539056831971</v>
      </c>
      <c r="C5369" s="14">
        <v>4</v>
      </c>
      <c r="D5369" s="86">
        <v>7.3259981436507138E-2</v>
      </c>
      <c r="E5369" s="86"/>
      <c r="F5369" s="14"/>
    </row>
    <row r="5370" spans="1:6" x14ac:dyDescent="0.25">
      <c r="A5370" s="86">
        <v>5369</v>
      </c>
      <c r="B5370" s="87">
        <v>38.978964761889074</v>
      </c>
      <c r="C5370" s="14">
        <v>4</v>
      </c>
      <c r="D5370" s="86">
        <v>0.78374989532059358</v>
      </c>
      <c r="E5370" s="86"/>
      <c r="F5370" s="14"/>
    </row>
    <row r="5371" spans="1:6" x14ac:dyDescent="0.25">
      <c r="A5371" s="86">
        <v>5370</v>
      </c>
      <c r="B5371" s="87">
        <v>43.290663138002856</v>
      </c>
      <c r="C5371" s="14">
        <v>3</v>
      </c>
      <c r="D5371" s="86">
        <v>0.77478919307917293</v>
      </c>
      <c r="E5371" s="86"/>
      <c r="F5371" s="14"/>
    </row>
    <row r="5372" spans="1:6" x14ac:dyDescent="0.25">
      <c r="A5372" s="86">
        <v>5371</v>
      </c>
      <c r="B5372" s="87">
        <v>37.075164977402892</v>
      </c>
      <c r="C5372" s="14">
        <v>1</v>
      </c>
      <c r="D5372" s="86">
        <v>1.3504547437530601E-3</v>
      </c>
      <c r="E5372" s="86"/>
      <c r="F5372" s="14"/>
    </row>
    <row r="5373" spans="1:6" x14ac:dyDescent="0.25">
      <c r="A5373" s="86">
        <v>5372</v>
      </c>
      <c r="B5373" s="87">
        <v>50.198218554549385</v>
      </c>
      <c r="C5373" s="14">
        <v>2</v>
      </c>
      <c r="D5373" s="86">
        <v>0.14617450952474831</v>
      </c>
      <c r="E5373" s="86"/>
      <c r="F5373" s="14"/>
    </row>
    <row r="5374" spans="1:6" x14ac:dyDescent="0.25">
      <c r="A5374" s="86">
        <v>5373</v>
      </c>
      <c r="B5374" s="87">
        <v>45.09767563319474</v>
      </c>
      <c r="C5374" s="14">
        <v>4</v>
      </c>
      <c r="D5374" s="86">
        <v>0.17592769042463841</v>
      </c>
      <c r="E5374" s="86"/>
      <c r="F5374" s="14"/>
    </row>
    <row r="5375" spans="1:6" x14ac:dyDescent="0.25">
      <c r="A5375" s="86">
        <v>5374</v>
      </c>
      <c r="B5375" s="87">
        <v>45.268507159897126</v>
      </c>
      <c r="C5375" s="14">
        <v>4</v>
      </c>
      <c r="D5375" s="86">
        <v>0.51800512081669547</v>
      </c>
      <c r="E5375" s="86"/>
      <c r="F5375" s="14"/>
    </row>
    <row r="5376" spans="1:6" x14ac:dyDescent="0.25">
      <c r="A5376" s="86">
        <v>5375</v>
      </c>
      <c r="B5376" s="87">
        <v>41.213775143085513</v>
      </c>
      <c r="C5376" s="14">
        <v>4</v>
      </c>
      <c r="D5376" s="86">
        <v>0.4945076200945131</v>
      </c>
      <c r="E5376" s="86"/>
      <c r="F5376" s="14"/>
    </row>
    <row r="5377" spans="1:6" x14ac:dyDescent="0.25">
      <c r="A5377" s="86">
        <v>5376</v>
      </c>
      <c r="B5377" s="87">
        <v>42.273200046445709</v>
      </c>
      <c r="C5377" s="14">
        <v>4</v>
      </c>
      <c r="D5377" s="86">
        <v>0.56802336719202173</v>
      </c>
      <c r="E5377" s="86"/>
      <c r="F5377" s="14"/>
    </row>
    <row r="5378" spans="1:6" x14ac:dyDescent="0.25">
      <c r="A5378" s="86">
        <v>5377</v>
      </c>
      <c r="B5378" s="87">
        <v>41.260170741559705</v>
      </c>
      <c r="C5378" s="14">
        <v>2</v>
      </c>
      <c r="D5378" s="86">
        <v>0.89671538333025091</v>
      </c>
      <c r="E5378" s="86"/>
      <c r="F5378" s="14"/>
    </row>
    <row r="5379" spans="1:6" x14ac:dyDescent="0.25">
      <c r="A5379" s="86">
        <v>5378</v>
      </c>
      <c r="B5379" s="87">
        <v>48.250080903351773</v>
      </c>
      <c r="C5379" s="14">
        <v>2</v>
      </c>
      <c r="D5379" s="86">
        <v>7.3474782883246159E-2</v>
      </c>
      <c r="E5379" s="86"/>
      <c r="F5379" s="14"/>
    </row>
    <row r="5380" spans="1:6" x14ac:dyDescent="0.25">
      <c r="A5380" s="86">
        <v>5379</v>
      </c>
      <c r="B5380" s="87">
        <v>48.320976015354972</v>
      </c>
      <c r="C5380" s="14">
        <v>5</v>
      </c>
      <c r="D5380" s="86">
        <v>0.86769465425741432</v>
      </c>
      <c r="E5380" s="86"/>
      <c r="F5380" s="14"/>
    </row>
    <row r="5381" spans="1:6" x14ac:dyDescent="0.25">
      <c r="A5381" s="86">
        <v>5380</v>
      </c>
      <c r="B5381" s="87">
        <v>39.346645048106438</v>
      </c>
      <c r="C5381" s="14">
        <v>4</v>
      </c>
      <c r="D5381" s="86">
        <v>1.3771970353973817E-2</v>
      </c>
      <c r="E5381" s="86"/>
      <c r="F5381" s="14"/>
    </row>
    <row r="5382" spans="1:6" x14ac:dyDescent="0.25">
      <c r="A5382" s="86">
        <v>5381</v>
      </c>
      <c r="B5382" s="87">
        <v>34.843969837646</v>
      </c>
      <c r="C5382" s="14">
        <v>2</v>
      </c>
      <c r="D5382" s="86">
        <v>0.58411990541993419</v>
      </c>
      <c r="E5382" s="86"/>
      <c r="F5382" s="14"/>
    </row>
    <row r="5383" spans="1:6" x14ac:dyDescent="0.25">
      <c r="A5383" s="86">
        <v>5382</v>
      </c>
      <c r="B5383" s="87">
        <v>50.680455382796936</v>
      </c>
      <c r="C5383" s="14">
        <v>4</v>
      </c>
      <c r="D5383" s="86">
        <v>0.92718763849755204</v>
      </c>
      <c r="E5383" s="86"/>
      <c r="F5383" s="14"/>
    </row>
    <row r="5384" spans="1:6" x14ac:dyDescent="0.25">
      <c r="A5384" s="86">
        <v>5383</v>
      </c>
      <c r="B5384" s="87">
        <v>38.692735410557361</v>
      </c>
      <c r="C5384" s="14">
        <v>4</v>
      </c>
      <c r="D5384" s="86">
        <v>0.48418032353383356</v>
      </c>
      <c r="E5384" s="86"/>
      <c r="F5384" s="14"/>
    </row>
    <row r="5385" spans="1:6" x14ac:dyDescent="0.25">
      <c r="A5385" s="86">
        <v>5384</v>
      </c>
      <c r="B5385" s="87">
        <v>40.975197629784816</v>
      </c>
      <c r="C5385" s="14">
        <v>2</v>
      </c>
      <c r="D5385" s="86">
        <v>0.26335930687604681</v>
      </c>
      <c r="E5385" s="86"/>
      <c r="F5385" s="14"/>
    </row>
    <row r="5386" spans="1:6" x14ac:dyDescent="0.25">
      <c r="A5386" s="86">
        <v>5385</v>
      </c>
      <c r="B5386" s="87">
        <v>44.86636839316634</v>
      </c>
      <c r="C5386" s="14">
        <v>3</v>
      </c>
      <c r="D5386" s="86">
        <v>0.60180742989167546</v>
      </c>
      <c r="E5386" s="86"/>
      <c r="F5386" s="14"/>
    </row>
    <row r="5387" spans="1:6" x14ac:dyDescent="0.25">
      <c r="A5387" s="86">
        <v>5386</v>
      </c>
      <c r="B5387" s="87">
        <v>42.803537775733275</v>
      </c>
      <c r="C5387" s="14">
        <v>4</v>
      </c>
      <c r="D5387" s="86">
        <v>0.16552362376118146</v>
      </c>
      <c r="E5387" s="86"/>
      <c r="F5387" s="14"/>
    </row>
    <row r="5388" spans="1:6" x14ac:dyDescent="0.25">
      <c r="A5388" s="86">
        <v>5387</v>
      </c>
      <c r="B5388" s="87">
        <v>39.742985786113422</v>
      </c>
      <c r="C5388" s="14">
        <v>1</v>
      </c>
      <c r="D5388" s="86">
        <v>0.52920091633041144</v>
      </c>
      <c r="E5388" s="86"/>
      <c r="F5388" s="14"/>
    </row>
    <row r="5389" spans="1:6" x14ac:dyDescent="0.25">
      <c r="A5389" s="86">
        <v>5388</v>
      </c>
      <c r="B5389" s="87">
        <v>53.009762263507582</v>
      </c>
      <c r="C5389" s="14">
        <v>4</v>
      </c>
      <c r="D5389" s="86">
        <v>0.96779907552261446</v>
      </c>
      <c r="E5389" s="86"/>
      <c r="F5389" s="14"/>
    </row>
    <row r="5390" spans="1:6" x14ac:dyDescent="0.25">
      <c r="A5390" s="86">
        <v>5389</v>
      </c>
      <c r="B5390" s="87">
        <v>42.711633336119121</v>
      </c>
      <c r="C5390" s="14">
        <v>2</v>
      </c>
      <c r="D5390" s="86">
        <v>0.33252343140123297</v>
      </c>
      <c r="E5390" s="86"/>
      <c r="F5390" s="14"/>
    </row>
    <row r="5391" spans="1:6" x14ac:dyDescent="0.25">
      <c r="A5391" s="86">
        <v>5390</v>
      </c>
      <c r="B5391" s="87">
        <v>38.20960045629181</v>
      </c>
      <c r="C5391" s="14">
        <v>4</v>
      </c>
      <c r="D5391" s="86">
        <v>0.86451915908642096</v>
      </c>
      <c r="E5391" s="86"/>
      <c r="F5391" s="14"/>
    </row>
    <row r="5392" spans="1:6" x14ac:dyDescent="0.25">
      <c r="A5392" s="86">
        <v>5391</v>
      </c>
      <c r="B5392" s="87">
        <v>43.146326328831492</v>
      </c>
      <c r="C5392" s="14">
        <v>4</v>
      </c>
      <c r="D5392" s="86">
        <v>0.83917174238356729</v>
      </c>
      <c r="E5392" s="86"/>
      <c r="F5392" s="14"/>
    </row>
    <row r="5393" spans="1:6" x14ac:dyDescent="0.25">
      <c r="A5393" s="86">
        <v>5392</v>
      </c>
      <c r="B5393" s="87">
        <v>46.412776550248964</v>
      </c>
      <c r="C5393" s="14">
        <v>2</v>
      </c>
      <c r="D5393" s="86">
        <v>0.99551310948734639</v>
      </c>
      <c r="E5393" s="86"/>
      <c r="F5393" s="14"/>
    </row>
    <row r="5394" spans="1:6" x14ac:dyDescent="0.25">
      <c r="A5394" s="86">
        <v>5393</v>
      </c>
      <c r="B5394" s="87">
        <v>37.786287516035372</v>
      </c>
      <c r="C5394" s="14">
        <v>1</v>
      </c>
      <c r="D5394" s="86">
        <v>0.90553390179818904</v>
      </c>
      <c r="E5394" s="86"/>
      <c r="F5394" s="14"/>
    </row>
    <row r="5395" spans="1:6" x14ac:dyDescent="0.25">
      <c r="A5395" s="86">
        <v>5394</v>
      </c>
      <c r="B5395" s="87">
        <v>40.783942262685741</v>
      </c>
      <c r="C5395" s="14">
        <v>2</v>
      </c>
      <c r="D5395" s="86">
        <v>0.76444320077217476</v>
      </c>
      <c r="E5395" s="86"/>
      <c r="F5395" s="14"/>
    </row>
    <row r="5396" spans="1:6" x14ac:dyDescent="0.25">
      <c r="A5396" s="86">
        <v>5395</v>
      </c>
      <c r="B5396" s="87">
        <v>31.540548656601459</v>
      </c>
      <c r="C5396" s="14">
        <v>1</v>
      </c>
      <c r="D5396" s="86">
        <v>0.8132842865646569</v>
      </c>
      <c r="E5396" s="86"/>
      <c r="F5396" s="14"/>
    </row>
    <row r="5397" spans="1:6" x14ac:dyDescent="0.25">
      <c r="A5397" s="86">
        <v>5396</v>
      </c>
      <c r="B5397" s="87">
        <v>47.437890765984775</v>
      </c>
      <c r="C5397" s="14">
        <v>4</v>
      </c>
      <c r="D5397" s="86">
        <v>0.17191752829535634</v>
      </c>
      <c r="E5397" s="86"/>
      <c r="F5397" s="14"/>
    </row>
    <row r="5398" spans="1:6" x14ac:dyDescent="0.25">
      <c r="A5398" s="86">
        <v>5397</v>
      </c>
      <c r="B5398" s="87">
        <v>47.427693056641147</v>
      </c>
      <c r="C5398" s="14">
        <v>1</v>
      </c>
      <c r="D5398" s="86">
        <v>0.34043045114633164</v>
      </c>
      <c r="E5398" s="86"/>
      <c r="F5398" s="14"/>
    </row>
    <row r="5399" spans="1:6" x14ac:dyDescent="0.25">
      <c r="A5399" s="86">
        <v>5398</v>
      </c>
      <c r="B5399" s="87">
        <v>39.698403492700891</v>
      </c>
      <c r="C5399" s="14">
        <v>2</v>
      </c>
      <c r="D5399" s="86">
        <v>0.10696269649118539</v>
      </c>
      <c r="E5399" s="86"/>
      <c r="F5399" s="14"/>
    </row>
    <row r="5400" spans="1:6" x14ac:dyDescent="0.25">
      <c r="A5400" s="86">
        <v>5399</v>
      </c>
      <c r="B5400" s="87">
        <v>37.670929481799249</v>
      </c>
      <c r="C5400" s="14">
        <v>2</v>
      </c>
      <c r="D5400" s="86">
        <v>0.51925345860391037</v>
      </c>
      <c r="E5400" s="86"/>
      <c r="F5400" s="14"/>
    </row>
    <row r="5401" spans="1:6" x14ac:dyDescent="0.25">
      <c r="A5401" s="86">
        <v>5400</v>
      </c>
      <c r="B5401" s="87">
        <v>45.810008936648956</v>
      </c>
      <c r="C5401" s="14">
        <v>2</v>
      </c>
      <c r="D5401" s="86">
        <v>0.71839345072657756</v>
      </c>
      <c r="E5401" s="86"/>
      <c r="F5401" s="14"/>
    </row>
    <row r="5402" spans="1:6" x14ac:dyDescent="0.25">
      <c r="A5402" s="86">
        <v>5401</v>
      </c>
      <c r="B5402" s="87">
        <v>37.676329606591025</v>
      </c>
      <c r="C5402" s="14">
        <v>4</v>
      </c>
      <c r="D5402" s="86">
        <v>9.7690469597034313E-2</v>
      </c>
      <c r="E5402" s="86"/>
      <c r="F5402" s="14"/>
    </row>
    <row r="5403" spans="1:6" x14ac:dyDescent="0.25">
      <c r="A5403" s="86">
        <v>5402</v>
      </c>
      <c r="B5403" s="87">
        <v>41.622035946027609</v>
      </c>
      <c r="C5403" s="14">
        <v>5</v>
      </c>
      <c r="D5403" s="86">
        <v>5.4247336831703352E-2</v>
      </c>
      <c r="E5403" s="86"/>
      <c r="F5403" s="14"/>
    </row>
    <row r="5404" spans="1:6" x14ac:dyDescent="0.25">
      <c r="A5404" s="86">
        <v>5403</v>
      </c>
      <c r="B5404" s="87">
        <v>44.970943230844568</v>
      </c>
      <c r="C5404" s="14">
        <v>2</v>
      </c>
      <c r="D5404" s="86">
        <v>0.89329367538398019</v>
      </c>
      <c r="E5404" s="86"/>
      <c r="F5404" s="14"/>
    </row>
    <row r="5405" spans="1:6" x14ac:dyDescent="0.25">
      <c r="A5405" s="86">
        <v>5404</v>
      </c>
      <c r="B5405" s="87">
        <v>42.717761056672316</v>
      </c>
      <c r="C5405" s="14">
        <v>2</v>
      </c>
      <c r="D5405" s="86">
        <v>0.328786708366261</v>
      </c>
      <c r="E5405" s="86"/>
      <c r="F5405" s="14"/>
    </row>
    <row r="5406" spans="1:6" x14ac:dyDescent="0.25">
      <c r="A5406" s="86">
        <v>5405</v>
      </c>
      <c r="B5406" s="87">
        <v>47.140031251154142</v>
      </c>
      <c r="C5406" s="14">
        <v>4</v>
      </c>
      <c r="D5406" s="86">
        <v>0.72108967743594476</v>
      </c>
      <c r="E5406" s="86"/>
      <c r="F5406" s="14"/>
    </row>
    <row r="5407" spans="1:6" x14ac:dyDescent="0.25">
      <c r="A5407" s="86">
        <v>5406</v>
      </c>
      <c r="B5407" s="87">
        <v>36.717426605144283</v>
      </c>
      <c r="C5407" s="14">
        <v>2</v>
      </c>
      <c r="D5407" s="86">
        <v>0.46426800664504264</v>
      </c>
      <c r="E5407" s="86"/>
      <c r="F5407" s="14"/>
    </row>
    <row r="5408" spans="1:6" x14ac:dyDescent="0.25">
      <c r="A5408" s="86">
        <v>5407</v>
      </c>
      <c r="B5408" s="87">
        <v>52.549194146529771</v>
      </c>
      <c r="C5408" s="14">
        <v>5</v>
      </c>
      <c r="D5408" s="86">
        <v>0.77236974960855842</v>
      </c>
      <c r="E5408" s="86"/>
      <c r="F5408" s="14"/>
    </row>
    <row r="5409" spans="1:6" x14ac:dyDescent="0.25">
      <c r="A5409" s="86">
        <v>5408</v>
      </c>
      <c r="B5409" s="87">
        <v>46.156003458570922</v>
      </c>
      <c r="C5409" s="14">
        <v>4</v>
      </c>
      <c r="D5409" s="86">
        <v>0.82690811230696026</v>
      </c>
      <c r="E5409" s="86"/>
      <c r="F5409" s="14"/>
    </row>
    <row r="5410" spans="1:6" x14ac:dyDescent="0.25">
      <c r="A5410" s="86">
        <v>5409</v>
      </c>
      <c r="B5410" s="87">
        <v>44.44204364005418</v>
      </c>
      <c r="C5410" s="14">
        <v>4</v>
      </c>
      <c r="D5410" s="86">
        <v>0.57811604620466139</v>
      </c>
      <c r="E5410" s="86"/>
      <c r="F5410" s="14"/>
    </row>
    <row r="5411" spans="1:6" x14ac:dyDescent="0.25">
      <c r="A5411" s="86">
        <v>5410</v>
      </c>
      <c r="B5411" s="87">
        <v>38.118014339823276</v>
      </c>
      <c r="C5411" s="14">
        <v>5</v>
      </c>
      <c r="D5411" s="86">
        <v>0.75421862634385439</v>
      </c>
      <c r="E5411" s="86"/>
      <c r="F5411" s="14"/>
    </row>
    <row r="5412" spans="1:6" x14ac:dyDescent="0.25">
      <c r="A5412" s="86">
        <v>5411</v>
      </c>
      <c r="B5412" s="87">
        <v>41.514039134533959</v>
      </c>
      <c r="C5412" s="14">
        <v>2</v>
      </c>
      <c r="D5412" s="86">
        <v>0.2692456388264709</v>
      </c>
      <c r="E5412" s="86"/>
      <c r="F5412" s="14"/>
    </row>
    <row r="5413" spans="1:6" x14ac:dyDescent="0.25">
      <c r="A5413" s="86">
        <v>5412</v>
      </c>
      <c r="B5413" s="87">
        <v>41.045581151018268</v>
      </c>
      <c r="C5413" s="14">
        <v>2</v>
      </c>
      <c r="D5413" s="86">
        <v>0.63292804204495745</v>
      </c>
      <c r="E5413" s="86"/>
      <c r="F5413" s="14"/>
    </row>
    <row r="5414" spans="1:6" x14ac:dyDescent="0.25">
      <c r="A5414" s="86">
        <v>5413</v>
      </c>
      <c r="B5414" s="87">
        <v>41.516034338535974</v>
      </c>
      <c r="C5414" s="14">
        <v>2</v>
      </c>
      <c r="D5414" s="86">
        <v>0.40170600531646028</v>
      </c>
      <c r="E5414" s="86"/>
      <c r="F5414" s="14"/>
    </row>
    <row r="5415" spans="1:6" x14ac:dyDescent="0.25">
      <c r="A5415" s="86">
        <v>5414</v>
      </c>
      <c r="B5415" s="87">
        <v>44.404998783982592</v>
      </c>
      <c r="C5415" s="14">
        <v>2</v>
      </c>
      <c r="D5415" s="86">
        <v>0.7724671759530265</v>
      </c>
      <c r="E5415" s="86"/>
      <c r="F5415" s="14"/>
    </row>
    <row r="5416" spans="1:6" x14ac:dyDescent="0.25">
      <c r="A5416" s="86">
        <v>5415</v>
      </c>
      <c r="B5416" s="87">
        <v>35.249081515183207</v>
      </c>
      <c r="C5416" s="14">
        <v>1</v>
      </c>
      <c r="D5416" s="86">
        <v>0.19813498211267089</v>
      </c>
      <c r="E5416" s="86"/>
      <c r="F5416" s="14"/>
    </row>
    <row r="5417" spans="1:6" x14ac:dyDescent="0.25">
      <c r="A5417" s="86">
        <v>5416</v>
      </c>
      <c r="B5417" s="87">
        <v>41.967041392461397</v>
      </c>
      <c r="C5417" s="14">
        <v>4</v>
      </c>
      <c r="D5417" s="86">
        <v>0.19195277942012401</v>
      </c>
      <c r="E5417" s="86"/>
      <c r="F5417" s="14"/>
    </row>
    <row r="5418" spans="1:6" x14ac:dyDescent="0.25">
      <c r="A5418" s="86">
        <v>5417</v>
      </c>
      <c r="B5418" s="87">
        <v>41.915410515110125</v>
      </c>
      <c r="C5418" s="14">
        <v>1</v>
      </c>
      <c r="D5418" s="86">
        <v>0.37494212038088437</v>
      </c>
      <c r="E5418" s="86"/>
      <c r="F5418" s="14"/>
    </row>
    <row r="5419" spans="1:6" x14ac:dyDescent="0.25">
      <c r="A5419" s="86">
        <v>5418</v>
      </c>
      <c r="B5419" s="87">
        <v>37.755887655628612</v>
      </c>
      <c r="C5419" s="14">
        <v>2</v>
      </c>
      <c r="D5419" s="86">
        <v>0.64905873413656023</v>
      </c>
      <c r="E5419" s="86"/>
      <c r="F5419" s="14"/>
    </row>
    <row r="5420" spans="1:6" x14ac:dyDescent="0.25">
      <c r="A5420" s="86">
        <v>5419</v>
      </c>
      <c r="B5420" s="87">
        <v>43.046088644012343</v>
      </c>
      <c r="C5420" s="14">
        <v>2</v>
      </c>
      <c r="D5420" s="86">
        <v>0.72450000995436326</v>
      </c>
      <c r="E5420" s="86"/>
      <c r="F5420" s="14"/>
    </row>
    <row r="5421" spans="1:6" x14ac:dyDescent="0.25">
      <c r="A5421" s="86">
        <v>5420</v>
      </c>
      <c r="B5421" s="87">
        <v>36.93546659121057</v>
      </c>
      <c r="C5421" s="14">
        <v>2</v>
      </c>
      <c r="D5421" s="86">
        <v>2.0006199486392262E-2</v>
      </c>
      <c r="E5421" s="86"/>
      <c r="F5421" s="14"/>
    </row>
    <row r="5422" spans="1:6" x14ac:dyDescent="0.25">
      <c r="A5422" s="86">
        <v>5421</v>
      </c>
      <c r="B5422" s="87">
        <v>45.836929979821434</v>
      </c>
      <c r="C5422" s="14">
        <v>4</v>
      </c>
      <c r="D5422" s="86">
        <v>0.4461653511433008</v>
      </c>
      <c r="E5422" s="86"/>
      <c r="F5422" s="14"/>
    </row>
    <row r="5423" spans="1:6" x14ac:dyDescent="0.25">
      <c r="A5423" s="86">
        <v>5422</v>
      </c>
      <c r="B5423" s="87">
        <v>46.039679086214164</v>
      </c>
      <c r="C5423" s="14">
        <v>5</v>
      </c>
      <c r="D5423" s="86">
        <v>0.91621658674300532</v>
      </c>
      <c r="E5423" s="86"/>
      <c r="F5423" s="14"/>
    </row>
    <row r="5424" spans="1:6" x14ac:dyDescent="0.25">
      <c r="A5424" s="86">
        <v>5423</v>
      </c>
      <c r="B5424" s="87">
        <v>41.816116431044065</v>
      </c>
      <c r="C5424" s="14">
        <v>4</v>
      </c>
      <c r="D5424" s="86">
        <v>0.48660170471872677</v>
      </c>
      <c r="E5424" s="86"/>
      <c r="F5424" s="14"/>
    </row>
    <row r="5425" spans="1:6" x14ac:dyDescent="0.25">
      <c r="A5425" s="86">
        <v>5424</v>
      </c>
      <c r="B5425" s="87">
        <v>38.384041540091857</v>
      </c>
      <c r="C5425" s="14">
        <v>4</v>
      </c>
      <c r="D5425" s="86">
        <v>0.4569573605538112</v>
      </c>
      <c r="E5425" s="86"/>
      <c r="F5425" s="14"/>
    </row>
    <row r="5426" spans="1:6" x14ac:dyDescent="0.25">
      <c r="A5426" s="86">
        <v>5425</v>
      </c>
      <c r="B5426" s="87">
        <v>35.184848451870494</v>
      </c>
      <c r="C5426" s="14">
        <v>2</v>
      </c>
      <c r="D5426" s="86">
        <v>0.61990228450599871</v>
      </c>
      <c r="E5426" s="86"/>
      <c r="F5426" s="14"/>
    </row>
    <row r="5427" spans="1:6" x14ac:dyDescent="0.25">
      <c r="A5427" s="86">
        <v>5426</v>
      </c>
      <c r="B5427" s="87">
        <v>42.878161816013744</v>
      </c>
      <c r="C5427" s="14">
        <v>4</v>
      </c>
      <c r="D5427" s="86">
        <v>2.4140030420406799E-2</v>
      </c>
      <c r="E5427" s="86"/>
      <c r="F5427" s="14"/>
    </row>
    <row r="5428" spans="1:6" x14ac:dyDescent="0.25">
      <c r="A5428" s="86">
        <v>5427</v>
      </c>
      <c r="B5428" s="87">
        <v>42.853673671168508</v>
      </c>
      <c r="C5428" s="14">
        <v>2</v>
      </c>
      <c r="D5428" s="86">
        <v>3.6581054394598245E-2</v>
      </c>
      <c r="E5428" s="86"/>
      <c r="F5428" s="14"/>
    </row>
    <row r="5429" spans="1:6" x14ac:dyDescent="0.25">
      <c r="A5429" s="86">
        <v>5428</v>
      </c>
      <c r="B5429" s="87">
        <v>43.926121401789715</v>
      </c>
      <c r="C5429" s="14">
        <v>2</v>
      </c>
      <c r="D5429" s="86">
        <v>0.66831849424456935</v>
      </c>
      <c r="E5429" s="86"/>
      <c r="F5429" s="14"/>
    </row>
    <row r="5430" spans="1:6" x14ac:dyDescent="0.25">
      <c r="A5430" s="86">
        <v>5429</v>
      </c>
      <c r="B5430" s="87">
        <v>45.861224857042544</v>
      </c>
      <c r="C5430" s="14">
        <v>2</v>
      </c>
      <c r="D5430" s="86">
        <v>0.65224373254348822</v>
      </c>
      <c r="E5430" s="86"/>
      <c r="F5430" s="14"/>
    </row>
    <row r="5431" spans="1:6" x14ac:dyDescent="0.25">
      <c r="A5431" s="86">
        <v>5430</v>
      </c>
      <c r="B5431" s="87">
        <v>45.390009967712103</v>
      </c>
      <c r="C5431" s="14">
        <v>2</v>
      </c>
      <c r="D5431" s="86">
        <v>0.8410750799218234</v>
      </c>
      <c r="E5431" s="86"/>
      <c r="F5431" s="14"/>
    </row>
    <row r="5432" spans="1:6" x14ac:dyDescent="0.25">
      <c r="A5432" s="86">
        <v>5431</v>
      </c>
      <c r="B5432" s="87">
        <v>40.657903350045672</v>
      </c>
      <c r="C5432" s="14">
        <v>2</v>
      </c>
      <c r="D5432" s="86">
        <v>0.11353035839288961</v>
      </c>
      <c r="E5432" s="86"/>
      <c r="F5432" s="14"/>
    </row>
    <row r="5433" spans="1:6" x14ac:dyDescent="0.25">
      <c r="A5433" s="86">
        <v>5432</v>
      </c>
      <c r="B5433" s="87">
        <v>37.118934409925714</v>
      </c>
      <c r="C5433" s="14">
        <v>4</v>
      </c>
      <c r="D5433" s="86">
        <v>0.2772122956312566</v>
      </c>
      <c r="E5433" s="86"/>
      <c r="F5433" s="14"/>
    </row>
    <row r="5434" spans="1:6" x14ac:dyDescent="0.25">
      <c r="A5434" s="86">
        <v>5433</v>
      </c>
      <c r="B5434" s="87">
        <v>37.361758126615314</v>
      </c>
      <c r="C5434" s="14">
        <v>4</v>
      </c>
      <c r="D5434" s="86">
        <v>0.12152295506308075</v>
      </c>
      <c r="E5434" s="86"/>
      <c r="F5434" s="14"/>
    </row>
    <row r="5435" spans="1:6" x14ac:dyDescent="0.25">
      <c r="A5435" s="86">
        <v>5434</v>
      </c>
      <c r="B5435" s="87">
        <v>46.622454869400826</v>
      </c>
      <c r="C5435" s="14">
        <v>4</v>
      </c>
      <c r="D5435" s="86">
        <v>0.78522372691222708</v>
      </c>
      <c r="E5435" s="86"/>
      <c r="F5435" s="14"/>
    </row>
    <row r="5436" spans="1:6" x14ac:dyDescent="0.25">
      <c r="A5436" s="86">
        <v>5435</v>
      </c>
      <c r="B5436" s="87">
        <v>45.235907459180453</v>
      </c>
      <c r="C5436" s="14">
        <v>4</v>
      </c>
      <c r="D5436" s="86">
        <v>0.23106321058450774</v>
      </c>
      <c r="E5436" s="86"/>
      <c r="F5436" s="14"/>
    </row>
    <row r="5437" spans="1:6" x14ac:dyDescent="0.25">
      <c r="A5437" s="86">
        <v>5436</v>
      </c>
      <c r="B5437" s="87">
        <v>43.904725538930506</v>
      </c>
      <c r="C5437" s="14">
        <v>5</v>
      </c>
      <c r="D5437" s="86">
        <v>0.27739408238821284</v>
      </c>
      <c r="E5437" s="86"/>
      <c r="F5437" s="14"/>
    </row>
    <row r="5438" spans="1:6" x14ac:dyDescent="0.25">
      <c r="A5438" s="86">
        <v>5437</v>
      </c>
      <c r="B5438" s="87">
        <v>40.68560883239843</v>
      </c>
      <c r="C5438" s="14">
        <v>5</v>
      </c>
      <c r="D5438" s="86">
        <v>0.53692580285202895</v>
      </c>
      <c r="E5438" s="86"/>
      <c r="F5438" s="14"/>
    </row>
    <row r="5439" spans="1:6" x14ac:dyDescent="0.25">
      <c r="A5439" s="86">
        <v>5438</v>
      </c>
      <c r="B5439" s="87">
        <v>40.452709976641927</v>
      </c>
      <c r="C5439" s="14">
        <v>5</v>
      </c>
      <c r="D5439" s="86">
        <v>0.19291355876370897</v>
      </c>
      <c r="E5439" s="86"/>
      <c r="F5439" s="14"/>
    </row>
    <row r="5440" spans="1:6" x14ac:dyDescent="0.25">
      <c r="A5440" s="86">
        <v>5439</v>
      </c>
      <c r="B5440" s="87">
        <v>42.090221081132768</v>
      </c>
      <c r="C5440" s="14">
        <v>4</v>
      </c>
      <c r="D5440" s="86">
        <v>0.62672196083348408</v>
      </c>
      <c r="E5440" s="86"/>
      <c r="F5440" s="14"/>
    </row>
    <row r="5441" spans="1:6" x14ac:dyDescent="0.25">
      <c r="A5441" s="86">
        <v>5440</v>
      </c>
      <c r="B5441" s="87">
        <v>32.912430464755744</v>
      </c>
      <c r="C5441" s="14">
        <v>4</v>
      </c>
      <c r="D5441" s="86">
        <v>0.30252682453789081</v>
      </c>
      <c r="E5441" s="86"/>
      <c r="F5441" s="14"/>
    </row>
    <row r="5442" spans="1:6" x14ac:dyDescent="0.25">
      <c r="A5442" s="86">
        <v>5441</v>
      </c>
      <c r="B5442" s="87">
        <v>40.53424617665587</v>
      </c>
      <c r="C5442" s="14">
        <v>1</v>
      </c>
      <c r="D5442" s="86">
        <v>0.41509580924924228</v>
      </c>
      <c r="E5442" s="86"/>
      <c r="F5442" s="14"/>
    </row>
    <row r="5443" spans="1:6" x14ac:dyDescent="0.25">
      <c r="A5443" s="86">
        <v>5442</v>
      </c>
      <c r="B5443" s="87">
        <v>48.412152859207708</v>
      </c>
      <c r="C5443" s="14">
        <v>2</v>
      </c>
      <c r="D5443" s="86">
        <v>0.4219186271527553</v>
      </c>
      <c r="E5443" s="86"/>
      <c r="F5443" s="14"/>
    </row>
    <row r="5444" spans="1:6" x14ac:dyDescent="0.25">
      <c r="A5444" s="86">
        <v>5443</v>
      </c>
      <c r="B5444" s="87">
        <v>43.886848283698782</v>
      </c>
      <c r="C5444" s="14">
        <v>1</v>
      </c>
      <c r="D5444" s="86">
        <v>0.88158770545033716</v>
      </c>
      <c r="E5444" s="86"/>
      <c r="F5444" s="14"/>
    </row>
    <row r="5445" spans="1:6" x14ac:dyDescent="0.25">
      <c r="A5445" s="86">
        <v>5444</v>
      </c>
      <c r="B5445" s="87">
        <v>34.171807778300717</v>
      </c>
      <c r="C5445" s="14">
        <v>4</v>
      </c>
      <c r="D5445" s="86">
        <v>0.19595766095934097</v>
      </c>
      <c r="E5445" s="86"/>
      <c r="F5445" s="14"/>
    </row>
    <row r="5446" spans="1:6" x14ac:dyDescent="0.25">
      <c r="A5446" s="86">
        <v>5445</v>
      </c>
      <c r="B5446" s="87">
        <v>40.65021811981569</v>
      </c>
      <c r="C5446" s="14">
        <v>4</v>
      </c>
      <c r="D5446" s="86">
        <v>0.44561092150873294</v>
      </c>
      <c r="E5446" s="86"/>
      <c r="F5446" s="14"/>
    </row>
    <row r="5447" spans="1:6" x14ac:dyDescent="0.25">
      <c r="A5447" s="86">
        <v>5446</v>
      </c>
      <c r="B5447" s="87">
        <v>42.766407654533396</v>
      </c>
      <c r="C5447" s="14">
        <v>5</v>
      </c>
      <c r="D5447" s="86">
        <v>0.13152810059992004</v>
      </c>
      <c r="E5447" s="86"/>
      <c r="F5447" s="14"/>
    </row>
    <row r="5448" spans="1:6" x14ac:dyDescent="0.25">
      <c r="A5448" s="86">
        <v>5447</v>
      </c>
      <c r="B5448" s="87">
        <v>40.43353100711829</v>
      </c>
      <c r="C5448" s="14">
        <v>5</v>
      </c>
      <c r="D5448" s="86">
        <v>0.72328015099093967</v>
      </c>
      <c r="E5448" s="86"/>
      <c r="F5448" s="14"/>
    </row>
    <row r="5449" spans="1:6" x14ac:dyDescent="0.25">
      <c r="A5449" s="86">
        <v>5448</v>
      </c>
      <c r="B5449" s="87">
        <v>42.368162661994575</v>
      </c>
      <c r="C5449" s="14">
        <v>2</v>
      </c>
      <c r="D5449" s="86">
        <v>0.17618409874317564</v>
      </c>
      <c r="E5449" s="86"/>
      <c r="F5449" s="14"/>
    </row>
    <row r="5450" spans="1:6" x14ac:dyDescent="0.25">
      <c r="A5450" s="86">
        <v>5449</v>
      </c>
      <c r="B5450" s="87">
        <v>34.807590049575083</v>
      </c>
      <c r="C5450" s="14">
        <v>2</v>
      </c>
      <c r="D5450" s="86">
        <v>0.93034235486546102</v>
      </c>
      <c r="E5450" s="86"/>
      <c r="F5450" s="14"/>
    </row>
    <row r="5451" spans="1:6" x14ac:dyDescent="0.25">
      <c r="A5451" s="86">
        <v>5450</v>
      </c>
      <c r="B5451" s="87">
        <v>56.847238733433187</v>
      </c>
      <c r="C5451" s="14">
        <v>2</v>
      </c>
      <c r="D5451" s="86">
        <v>0.24765074343299964</v>
      </c>
      <c r="E5451" s="86"/>
      <c r="F5451" s="14"/>
    </row>
    <row r="5452" spans="1:6" x14ac:dyDescent="0.25">
      <c r="A5452" s="86">
        <v>5451</v>
      </c>
      <c r="B5452" s="87">
        <v>47.486309990170412</v>
      </c>
      <c r="C5452" s="14">
        <v>2</v>
      </c>
      <c r="D5452" s="86">
        <v>0.95445439517144937</v>
      </c>
      <c r="E5452" s="86"/>
      <c r="F5452" s="14"/>
    </row>
    <row r="5453" spans="1:6" x14ac:dyDescent="0.25">
      <c r="A5453" s="86">
        <v>5452</v>
      </c>
      <c r="B5453" s="87">
        <v>38.252403550693998</v>
      </c>
      <c r="C5453" s="14">
        <v>1</v>
      </c>
      <c r="D5453" s="86">
        <v>0.73023179357948731</v>
      </c>
      <c r="E5453" s="86"/>
      <c r="F5453" s="14"/>
    </row>
    <row r="5454" spans="1:6" x14ac:dyDescent="0.25">
      <c r="A5454" s="86">
        <v>5453</v>
      </c>
      <c r="B5454" s="87">
        <v>47.674859610531712</v>
      </c>
      <c r="C5454" s="14">
        <v>5</v>
      </c>
      <c r="D5454" s="86">
        <v>0.97381773338740485</v>
      </c>
      <c r="E5454" s="86"/>
      <c r="F5454" s="14"/>
    </row>
    <row r="5455" spans="1:6" x14ac:dyDescent="0.25">
      <c r="A5455" s="86">
        <v>5454</v>
      </c>
      <c r="B5455" s="87">
        <v>46.250869440307724</v>
      </c>
      <c r="C5455" s="14">
        <v>2</v>
      </c>
      <c r="D5455" s="86">
        <v>0.80234612379085302</v>
      </c>
      <c r="E5455" s="86"/>
      <c r="F5455" s="14"/>
    </row>
    <row r="5456" spans="1:6" x14ac:dyDescent="0.25">
      <c r="A5456" s="86">
        <v>5455</v>
      </c>
      <c r="B5456" s="87">
        <v>45.928618414443918</v>
      </c>
      <c r="C5456" s="14">
        <v>5</v>
      </c>
      <c r="D5456" s="86">
        <v>0.8497147166811625</v>
      </c>
      <c r="E5456" s="86"/>
      <c r="F5456" s="14"/>
    </row>
    <row r="5457" spans="1:6" x14ac:dyDescent="0.25">
      <c r="A5457" s="86">
        <v>5456</v>
      </c>
      <c r="B5457" s="87">
        <v>55.686723493970931</v>
      </c>
      <c r="C5457" s="14">
        <v>5</v>
      </c>
      <c r="D5457" s="86">
        <v>0.85012613101638013</v>
      </c>
      <c r="E5457" s="86"/>
      <c r="F5457" s="14"/>
    </row>
    <row r="5458" spans="1:6" x14ac:dyDescent="0.25">
      <c r="A5458" s="86">
        <v>5457</v>
      </c>
      <c r="B5458" s="87">
        <v>48.083722953713732</v>
      </c>
      <c r="C5458" s="14">
        <v>4</v>
      </c>
      <c r="D5458" s="86">
        <v>0.93284949576883214</v>
      </c>
      <c r="E5458" s="86"/>
      <c r="F5458" s="14"/>
    </row>
    <row r="5459" spans="1:6" x14ac:dyDescent="0.25">
      <c r="A5459" s="86">
        <v>5458</v>
      </c>
      <c r="B5459" s="87">
        <v>48.821902959723957</v>
      </c>
      <c r="C5459" s="14">
        <v>4</v>
      </c>
      <c r="D5459" s="86">
        <v>0.77216997051635139</v>
      </c>
      <c r="E5459" s="86"/>
      <c r="F5459" s="14"/>
    </row>
    <row r="5460" spans="1:6" x14ac:dyDescent="0.25">
      <c r="A5460" s="86">
        <v>5459</v>
      </c>
      <c r="B5460" s="87">
        <v>46.015793481608853</v>
      </c>
      <c r="C5460" s="14">
        <v>2</v>
      </c>
      <c r="D5460" s="86">
        <v>0.98727194452221489</v>
      </c>
      <c r="E5460" s="86"/>
      <c r="F5460" s="14"/>
    </row>
    <row r="5461" spans="1:6" x14ac:dyDescent="0.25">
      <c r="A5461" s="86">
        <v>5460</v>
      </c>
      <c r="B5461" s="87">
        <v>46.10342898046656</v>
      </c>
      <c r="C5461" s="14">
        <v>5</v>
      </c>
      <c r="D5461" s="86">
        <v>0.49731929591508972</v>
      </c>
      <c r="E5461" s="86"/>
      <c r="F5461" s="14"/>
    </row>
    <row r="5462" spans="1:6" x14ac:dyDescent="0.25">
      <c r="A5462" s="86">
        <v>5461</v>
      </c>
      <c r="B5462" s="87">
        <v>41.487231778199202</v>
      </c>
      <c r="C5462" s="14">
        <v>2</v>
      </c>
      <c r="D5462" s="86">
        <v>6.7567486116957509E-2</v>
      </c>
      <c r="E5462" s="86"/>
      <c r="F5462" s="14"/>
    </row>
    <row r="5463" spans="1:6" x14ac:dyDescent="0.25">
      <c r="A5463" s="86">
        <v>5462</v>
      </c>
      <c r="B5463" s="87">
        <v>52.161840353044681</v>
      </c>
      <c r="C5463" s="14">
        <v>2</v>
      </c>
      <c r="D5463" s="86">
        <v>0.74374485752856678</v>
      </c>
      <c r="E5463" s="86"/>
      <c r="F5463" s="14"/>
    </row>
    <row r="5464" spans="1:6" x14ac:dyDescent="0.25">
      <c r="A5464" s="86">
        <v>5463</v>
      </c>
      <c r="B5464" s="87">
        <v>43.386893361792318</v>
      </c>
      <c r="C5464" s="14">
        <v>4</v>
      </c>
      <c r="D5464" s="86">
        <v>0.24517924206158392</v>
      </c>
      <c r="E5464" s="86"/>
      <c r="F5464" s="14"/>
    </row>
    <row r="5465" spans="1:6" x14ac:dyDescent="0.25">
      <c r="A5465" s="86">
        <v>5464</v>
      </c>
      <c r="B5465" s="87">
        <v>44.734952093102038</v>
      </c>
      <c r="C5465" s="14">
        <v>2</v>
      </c>
      <c r="D5465" s="86">
        <v>0.82698329103747314</v>
      </c>
      <c r="E5465" s="86"/>
      <c r="F5465" s="14"/>
    </row>
    <row r="5466" spans="1:6" x14ac:dyDescent="0.25">
      <c r="A5466" s="86">
        <v>5465</v>
      </c>
      <c r="B5466" s="87">
        <v>37.819108906085603</v>
      </c>
      <c r="C5466" s="14">
        <v>5</v>
      </c>
      <c r="D5466" s="86">
        <v>0.74956997485212651</v>
      </c>
      <c r="E5466" s="86"/>
      <c r="F5466" s="14"/>
    </row>
    <row r="5467" spans="1:6" x14ac:dyDescent="0.25">
      <c r="A5467" s="86">
        <v>5466</v>
      </c>
      <c r="B5467" s="87">
        <v>51.406232154811732</v>
      </c>
      <c r="C5467" s="14">
        <v>2</v>
      </c>
      <c r="D5467" s="86">
        <v>0.32901767418712402</v>
      </c>
      <c r="E5467" s="86"/>
      <c r="F5467" s="14"/>
    </row>
    <row r="5468" spans="1:6" x14ac:dyDescent="0.25">
      <c r="A5468" s="86">
        <v>5467</v>
      </c>
      <c r="B5468" s="87">
        <v>43.031172930903267</v>
      </c>
      <c r="C5468" s="14">
        <v>4</v>
      </c>
      <c r="D5468" s="86">
        <v>0.15769499122195807</v>
      </c>
      <c r="E5468" s="86"/>
      <c r="F5468" s="14"/>
    </row>
    <row r="5469" spans="1:6" x14ac:dyDescent="0.25">
      <c r="A5469" s="86">
        <v>5468</v>
      </c>
      <c r="B5469" s="87">
        <v>42.733466893303557</v>
      </c>
      <c r="C5469" s="14">
        <v>2</v>
      </c>
      <c r="D5469" s="86">
        <v>0.16682247839381359</v>
      </c>
      <c r="E5469" s="86"/>
      <c r="F5469" s="14"/>
    </row>
    <row r="5470" spans="1:6" x14ac:dyDescent="0.25">
      <c r="A5470" s="86">
        <v>5469</v>
      </c>
      <c r="B5470" s="87">
        <v>45.297372247994645</v>
      </c>
      <c r="C5470" s="14">
        <v>2</v>
      </c>
      <c r="D5470" s="86">
        <v>0.6120367622335996</v>
      </c>
      <c r="E5470" s="86"/>
      <c r="F5470" s="14"/>
    </row>
    <row r="5471" spans="1:6" x14ac:dyDescent="0.25">
      <c r="A5471" s="86">
        <v>5470</v>
      </c>
      <c r="B5471" s="87">
        <v>39.036831362289377</v>
      </c>
      <c r="C5471" s="14">
        <v>4</v>
      </c>
      <c r="D5471" s="86">
        <v>0.16884945026412679</v>
      </c>
      <c r="E5471" s="86"/>
      <c r="F5471" s="14"/>
    </row>
    <row r="5472" spans="1:6" x14ac:dyDescent="0.25">
      <c r="A5472" s="86">
        <v>5471</v>
      </c>
      <c r="B5472" s="87">
        <v>38.187772583449259</v>
      </c>
      <c r="C5472" s="14">
        <v>4</v>
      </c>
      <c r="D5472" s="86">
        <v>0.32831797231874316</v>
      </c>
      <c r="E5472" s="86"/>
      <c r="F5472" s="14"/>
    </row>
    <row r="5473" spans="1:6" x14ac:dyDescent="0.25">
      <c r="A5473" s="86">
        <v>5472</v>
      </c>
      <c r="B5473" s="87">
        <v>39.314102190808626</v>
      </c>
      <c r="C5473" s="14">
        <v>3</v>
      </c>
      <c r="D5473" s="86">
        <v>0.35436945540599307</v>
      </c>
      <c r="E5473" s="86"/>
      <c r="F5473" s="14"/>
    </row>
    <row r="5474" spans="1:6" x14ac:dyDescent="0.25">
      <c r="A5474" s="86">
        <v>5473</v>
      </c>
      <c r="B5474" s="87">
        <v>49.819277587055694</v>
      </c>
      <c r="C5474" s="14">
        <v>5</v>
      </c>
      <c r="D5474" s="86">
        <v>0.57503460999572953</v>
      </c>
      <c r="E5474" s="86"/>
      <c r="F5474" s="14"/>
    </row>
    <row r="5475" spans="1:6" x14ac:dyDescent="0.25">
      <c r="A5475" s="86">
        <v>5474</v>
      </c>
      <c r="B5475" s="87">
        <v>47.563503352983389</v>
      </c>
      <c r="C5475" s="14">
        <v>4</v>
      </c>
      <c r="D5475" s="86">
        <v>0.50818489626793484</v>
      </c>
      <c r="E5475" s="86"/>
      <c r="F5475" s="14"/>
    </row>
    <row r="5476" spans="1:6" x14ac:dyDescent="0.25">
      <c r="A5476" s="86">
        <v>5475</v>
      </c>
      <c r="B5476" s="87">
        <v>33.842252373113297</v>
      </c>
      <c r="C5476" s="14">
        <v>4</v>
      </c>
      <c r="D5476" s="86">
        <v>2.8822280476026307E-2</v>
      </c>
      <c r="E5476" s="86"/>
      <c r="F5476" s="14"/>
    </row>
    <row r="5477" spans="1:6" x14ac:dyDescent="0.25">
      <c r="A5477" s="86">
        <v>5476</v>
      </c>
      <c r="B5477" s="87">
        <v>45.744411631283583</v>
      </c>
      <c r="C5477" s="14">
        <v>4</v>
      </c>
      <c r="D5477" s="86">
        <v>0.13874575976629411</v>
      </c>
      <c r="E5477" s="86"/>
      <c r="F5477" s="14"/>
    </row>
    <row r="5478" spans="1:6" x14ac:dyDescent="0.25">
      <c r="A5478" s="86">
        <v>5477</v>
      </c>
      <c r="B5478" s="87">
        <v>49.36168806522619</v>
      </c>
      <c r="C5478" s="14">
        <v>1</v>
      </c>
      <c r="D5478" s="86">
        <v>0.73849580018771266</v>
      </c>
      <c r="E5478" s="86"/>
      <c r="F5478" s="14"/>
    </row>
    <row r="5479" spans="1:6" x14ac:dyDescent="0.25">
      <c r="A5479" s="86">
        <v>5478</v>
      </c>
      <c r="B5479" s="87">
        <v>45.366880380577641</v>
      </c>
      <c r="C5479" s="14">
        <v>2</v>
      </c>
      <c r="D5479" s="86">
        <v>0.29511366391721505</v>
      </c>
      <c r="E5479" s="86"/>
      <c r="F5479" s="14"/>
    </row>
    <row r="5480" spans="1:6" x14ac:dyDescent="0.25">
      <c r="A5480" s="86">
        <v>5479</v>
      </c>
      <c r="B5480" s="87">
        <v>46.831007688859245</v>
      </c>
      <c r="C5480" s="14">
        <v>2</v>
      </c>
      <c r="D5480" s="86">
        <v>0.48610354884938312</v>
      </c>
      <c r="E5480" s="86"/>
      <c r="F5480" s="14"/>
    </row>
    <row r="5481" spans="1:6" x14ac:dyDescent="0.25">
      <c r="A5481" s="86">
        <v>5480</v>
      </c>
      <c r="B5481" s="87">
        <v>37.274946857331088</v>
      </c>
      <c r="C5481" s="14">
        <v>1</v>
      </c>
      <c r="D5481" s="86">
        <v>0.18130528673908242</v>
      </c>
      <c r="E5481" s="86"/>
      <c r="F5481" s="14"/>
    </row>
    <row r="5482" spans="1:6" x14ac:dyDescent="0.25">
      <c r="A5482" s="86">
        <v>5481</v>
      </c>
      <c r="B5482" s="87">
        <v>46.200943865522277</v>
      </c>
      <c r="C5482" s="14">
        <v>2</v>
      </c>
      <c r="D5482" s="86">
        <v>0.87239660088032178</v>
      </c>
      <c r="E5482" s="86"/>
      <c r="F5482" s="14"/>
    </row>
    <row r="5483" spans="1:6" x14ac:dyDescent="0.25">
      <c r="A5483" s="86">
        <v>5482</v>
      </c>
      <c r="B5483" s="87">
        <v>46.108993951173034</v>
      </c>
      <c r="C5483" s="14">
        <v>3</v>
      </c>
      <c r="D5483" s="86">
        <v>0.59589266169375565</v>
      </c>
      <c r="E5483" s="86"/>
      <c r="F5483" s="14"/>
    </row>
    <row r="5484" spans="1:6" x14ac:dyDescent="0.25">
      <c r="A5484" s="86">
        <v>5483</v>
      </c>
      <c r="B5484" s="87">
        <v>41.026572711751214</v>
      </c>
      <c r="C5484" s="14">
        <v>3</v>
      </c>
      <c r="D5484" s="86">
        <v>0.79381414776639114</v>
      </c>
      <c r="E5484" s="86"/>
      <c r="F5484" s="14"/>
    </row>
    <row r="5485" spans="1:6" x14ac:dyDescent="0.25">
      <c r="A5485" s="86">
        <v>5484</v>
      </c>
      <c r="B5485" s="87">
        <v>50.752191777399275</v>
      </c>
      <c r="C5485" s="14">
        <v>5</v>
      </c>
      <c r="D5485" s="86">
        <v>0.30486351103155962</v>
      </c>
      <c r="E5485" s="86"/>
      <c r="F5485" s="14"/>
    </row>
    <row r="5486" spans="1:6" x14ac:dyDescent="0.25">
      <c r="A5486" s="86">
        <v>5485</v>
      </c>
      <c r="B5486" s="87">
        <v>45.606259386084275</v>
      </c>
      <c r="C5486" s="14">
        <v>2</v>
      </c>
      <c r="D5486" s="86">
        <v>0.47966681924622401</v>
      </c>
      <c r="E5486" s="86"/>
      <c r="F5486" s="14"/>
    </row>
    <row r="5487" spans="1:6" x14ac:dyDescent="0.25">
      <c r="A5487" s="86">
        <v>5486</v>
      </c>
      <c r="B5487" s="87">
        <v>46.995717179350322</v>
      </c>
      <c r="C5487" s="14">
        <v>2</v>
      </c>
      <c r="D5487" s="86">
        <v>0.81080553844515169</v>
      </c>
      <c r="E5487" s="86"/>
      <c r="F5487" s="14"/>
    </row>
    <row r="5488" spans="1:6" x14ac:dyDescent="0.25">
      <c r="A5488" s="86">
        <v>5487</v>
      </c>
      <c r="B5488" s="87">
        <v>52.643281373428181</v>
      </c>
      <c r="C5488" s="14">
        <v>2</v>
      </c>
      <c r="D5488" s="86">
        <v>0.60885703953763748</v>
      </c>
      <c r="E5488" s="86"/>
      <c r="F5488" s="14"/>
    </row>
    <row r="5489" spans="1:6" x14ac:dyDescent="0.25">
      <c r="A5489" s="86">
        <v>5488</v>
      </c>
      <c r="B5489" s="87">
        <v>49.360824045259506</v>
      </c>
      <c r="C5489" s="14">
        <v>4</v>
      </c>
      <c r="D5489" s="86">
        <v>0.1241077608914205</v>
      </c>
      <c r="E5489" s="86"/>
      <c r="F5489" s="14"/>
    </row>
    <row r="5490" spans="1:6" x14ac:dyDescent="0.25">
      <c r="A5490" s="86">
        <v>5489</v>
      </c>
      <c r="B5490" s="87">
        <v>45.169736035284586</v>
      </c>
      <c r="C5490" s="14">
        <v>2</v>
      </c>
      <c r="D5490" s="86">
        <v>0.76872673426216864</v>
      </c>
      <c r="E5490" s="86"/>
      <c r="F5490" s="14"/>
    </row>
    <row r="5491" spans="1:6" x14ac:dyDescent="0.25">
      <c r="A5491" s="86">
        <v>5490</v>
      </c>
      <c r="B5491" s="87">
        <v>39.788250200552284</v>
      </c>
      <c r="C5491" s="14">
        <v>5</v>
      </c>
      <c r="D5491" s="86">
        <v>0.98500318814423471</v>
      </c>
      <c r="E5491" s="86"/>
      <c r="F5491" s="14"/>
    </row>
    <row r="5492" spans="1:6" x14ac:dyDescent="0.25">
      <c r="A5492" s="86">
        <v>5491</v>
      </c>
      <c r="B5492" s="87">
        <v>45.199612936237827</v>
      </c>
      <c r="C5492" s="14">
        <v>5</v>
      </c>
      <c r="D5492" s="86">
        <v>0.30760873903565344</v>
      </c>
      <c r="E5492" s="86"/>
      <c r="F5492" s="14"/>
    </row>
    <row r="5493" spans="1:6" x14ac:dyDescent="0.25">
      <c r="A5493" s="86">
        <v>5492</v>
      </c>
      <c r="B5493" s="87">
        <v>45.754200068011414</v>
      </c>
      <c r="C5493" s="14">
        <v>5</v>
      </c>
      <c r="D5493" s="86">
        <v>0.27341148468841969</v>
      </c>
      <c r="E5493" s="86"/>
      <c r="F5493" s="14"/>
    </row>
    <row r="5494" spans="1:6" x14ac:dyDescent="0.25">
      <c r="A5494" s="86">
        <v>5493</v>
      </c>
      <c r="B5494" s="87">
        <v>47.183846158412052</v>
      </c>
      <c r="C5494" s="14">
        <v>5</v>
      </c>
      <c r="D5494" s="86">
        <v>0.66725785926368153</v>
      </c>
      <c r="E5494" s="86"/>
      <c r="F5494" s="14"/>
    </row>
    <row r="5495" spans="1:6" x14ac:dyDescent="0.25">
      <c r="A5495" s="86">
        <v>5494</v>
      </c>
      <c r="B5495" s="87">
        <v>41.417411006812472</v>
      </c>
      <c r="C5495" s="14">
        <v>4</v>
      </c>
      <c r="D5495" s="86">
        <v>4.7215228838268009E-2</v>
      </c>
      <c r="E5495" s="86"/>
      <c r="F5495" s="14"/>
    </row>
    <row r="5496" spans="1:6" x14ac:dyDescent="0.25">
      <c r="A5496" s="86">
        <v>5495</v>
      </c>
      <c r="B5496" s="87">
        <v>38.939731434191344</v>
      </c>
      <c r="C5496" s="14">
        <v>5</v>
      </c>
      <c r="D5496" s="86">
        <v>0.20629681993294979</v>
      </c>
      <c r="E5496" s="86"/>
      <c r="F5496" s="14"/>
    </row>
    <row r="5497" spans="1:6" x14ac:dyDescent="0.25">
      <c r="A5497" s="86">
        <v>5496</v>
      </c>
      <c r="B5497" s="87">
        <v>39.054611983709037</v>
      </c>
      <c r="C5497" s="14">
        <v>1</v>
      </c>
      <c r="D5497" s="86">
        <v>0.71454948619698355</v>
      </c>
      <c r="E5497" s="86"/>
      <c r="F5497" s="14"/>
    </row>
    <row r="5498" spans="1:6" x14ac:dyDescent="0.25">
      <c r="A5498" s="86">
        <v>5497</v>
      </c>
      <c r="B5498" s="87">
        <v>44.155581230705138</v>
      </c>
      <c r="C5498" s="14">
        <v>4</v>
      </c>
      <c r="D5498" s="86">
        <v>0.8206212973544581</v>
      </c>
      <c r="E5498" s="86"/>
      <c r="F5498" s="14"/>
    </row>
    <row r="5499" spans="1:6" x14ac:dyDescent="0.25">
      <c r="A5499" s="86">
        <v>5498</v>
      </c>
      <c r="B5499" s="87">
        <v>34.497929840988945</v>
      </c>
      <c r="C5499" s="14">
        <v>5</v>
      </c>
      <c r="D5499" s="86">
        <v>0.42651947206141827</v>
      </c>
      <c r="E5499" s="86"/>
      <c r="F5499" s="14"/>
    </row>
    <row r="5500" spans="1:6" x14ac:dyDescent="0.25">
      <c r="A5500" s="86">
        <v>5499</v>
      </c>
      <c r="B5500" s="87">
        <v>37.260190305794822</v>
      </c>
      <c r="C5500" s="14">
        <v>2</v>
      </c>
      <c r="D5500" s="86">
        <v>0.3826516986765256</v>
      </c>
      <c r="E5500" s="86"/>
      <c r="F5500" s="14"/>
    </row>
    <row r="5501" spans="1:6" x14ac:dyDescent="0.25">
      <c r="A5501" s="86">
        <v>5500</v>
      </c>
      <c r="B5501" s="87">
        <v>43.003632294465206</v>
      </c>
      <c r="C5501" s="14">
        <v>2</v>
      </c>
      <c r="D5501" s="86">
        <v>0.16746539881778821</v>
      </c>
      <c r="E5501" s="86"/>
      <c r="F5501" s="14"/>
    </row>
    <row r="5502" spans="1:6" x14ac:dyDescent="0.25">
      <c r="A5502" s="86">
        <v>5501</v>
      </c>
      <c r="B5502" s="87">
        <v>38.900247995450627</v>
      </c>
      <c r="C5502" s="14">
        <v>4</v>
      </c>
      <c r="D5502" s="86">
        <v>0.12039691068916769</v>
      </c>
      <c r="E5502" s="86"/>
      <c r="F5502" s="14"/>
    </row>
    <row r="5503" spans="1:6" x14ac:dyDescent="0.25">
      <c r="A5503" s="86">
        <v>5502</v>
      </c>
      <c r="B5503" s="87">
        <v>34.715435498917941</v>
      </c>
      <c r="C5503" s="14">
        <v>2</v>
      </c>
      <c r="D5503" s="86">
        <v>0.40836409980348576</v>
      </c>
      <c r="E5503" s="86"/>
      <c r="F5503" s="14"/>
    </row>
    <row r="5504" spans="1:6" x14ac:dyDescent="0.25">
      <c r="A5504" s="86">
        <v>5503</v>
      </c>
      <c r="B5504" s="87">
        <v>47.000457920483314</v>
      </c>
      <c r="C5504" s="14">
        <v>2</v>
      </c>
      <c r="D5504" s="86">
        <v>5.9334707806580456E-2</v>
      </c>
      <c r="E5504" s="86"/>
      <c r="F5504" s="14"/>
    </row>
    <row r="5505" spans="1:6" x14ac:dyDescent="0.25">
      <c r="A5505" s="86">
        <v>5504</v>
      </c>
      <c r="B5505" s="87">
        <v>47.65770426671952</v>
      </c>
      <c r="C5505" s="14">
        <v>4</v>
      </c>
      <c r="D5505" s="86">
        <v>0.90868903222735942</v>
      </c>
      <c r="E5505" s="86"/>
      <c r="F5505" s="14"/>
    </row>
    <row r="5506" spans="1:6" x14ac:dyDescent="0.25">
      <c r="A5506" s="86">
        <v>5505</v>
      </c>
      <c r="B5506" s="87">
        <v>40.161722831151565</v>
      </c>
      <c r="C5506" s="14">
        <v>5</v>
      </c>
      <c r="D5506" s="86">
        <v>0.29263899620244549</v>
      </c>
      <c r="E5506" s="86"/>
      <c r="F5506" s="14"/>
    </row>
    <row r="5507" spans="1:6" x14ac:dyDescent="0.25">
      <c r="A5507" s="86">
        <v>5506</v>
      </c>
      <c r="B5507" s="87">
        <v>45.628189577080775</v>
      </c>
      <c r="C5507" s="14">
        <v>3</v>
      </c>
      <c r="D5507" s="86">
        <v>0.84373367808248123</v>
      </c>
      <c r="E5507" s="86"/>
      <c r="F5507" s="14"/>
    </row>
    <row r="5508" spans="1:6" x14ac:dyDescent="0.25">
      <c r="A5508" s="86">
        <v>5507</v>
      </c>
      <c r="B5508" s="87">
        <v>34.483286976290401</v>
      </c>
      <c r="C5508" s="14">
        <v>2</v>
      </c>
      <c r="D5508" s="86">
        <v>0.74852283335269765</v>
      </c>
      <c r="E5508" s="86"/>
      <c r="F5508" s="14"/>
    </row>
    <row r="5509" spans="1:6" x14ac:dyDescent="0.25">
      <c r="A5509" s="86">
        <v>5508</v>
      </c>
      <c r="B5509" s="87">
        <v>47.065589109814027</v>
      </c>
      <c r="C5509" s="14">
        <v>5</v>
      </c>
      <c r="D5509" s="86">
        <v>0.61333360052430275</v>
      </c>
      <c r="E5509" s="86"/>
      <c r="F5509" s="14"/>
    </row>
    <row r="5510" spans="1:6" x14ac:dyDescent="0.25">
      <c r="A5510" s="86">
        <v>5509</v>
      </c>
      <c r="B5510" s="87">
        <v>35.482185007247608</v>
      </c>
      <c r="C5510" s="14">
        <v>2</v>
      </c>
      <c r="D5510" s="86">
        <v>0.67414303053550995</v>
      </c>
      <c r="E5510" s="86"/>
      <c r="F5510" s="14"/>
    </row>
    <row r="5511" spans="1:6" x14ac:dyDescent="0.25">
      <c r="A5511" s="86">
        <v>5510</v>
      </c>
      <c r="B5511" s="87">
        <v>44.605121724423952</v>
      </c>
      <c r="C5511" s="14">
        <v>4</v>
      </c>
      <c r="D5511" s="86">
        <v>0.27246487869754255</v>
      </c>
      <c r="E5511" s="86"/>
      <c r="F5511" s="14"/>
    </row>
    <row r="5512" spans="1:6" x14ac:dyDescent="0.25">
      <c r="A5512" s="86">
        <v>5511</v>
      </c>
      <c r="B5512" s="87">
        <v>42.919481297183665</v>
      </c>
      <c r="C5512" s="14">
        <v>1</v>
      </c>
      <c r="D5512" s="86">
        <v>0.25876575991490203</v>
      </c>
      <c r="E5512" s="86"/>
      <c r="F5512" s="14"/>
    </row>
    <row r="5513" spans="1:6" x14ac:dyDescent="0.25">
      <c r="A5513" s="86">
        <v>5512</v>
      </c>
      <c r="B5513" s="87">
        <v>45.162596501875669</v>
      </c>
      <c r="C5513" s="14">
        <v>5</v>
      </c>
      <c r="D5513" s="86">
        <v>0.49034007203650432</v>
      </c>
      <c r="E5513" s="86"/>
      <c r="F5513" s="14"/>
    </row>
    <row r="5514" spans="1:6" x14ac:dyDescent="0.25">
      <c r="A5514" s="86">
        <v>5513</v>
      </c>
      <c r="B5514" s="87">
        <v>35.58827756420942</v>
      </c>
      <c r="C5514" s="14">
        <v>5</v>
      </c>
      <c r="D5514" s="86">
        <v>0.74532164287696478</v>
      </c>
      <c r="E5514" s="86"/>
      <c r="F5514" s="14"/>
    </row>
    <row r="5515" spans="1:6" x14ac:dyDescent="0.25">
      <c r="A5515" s="86">
        <v>5514</v>
      </c>
      <c r="B5515" s="87">
        <v>47.85372311231913</v>
      </c>
      <c r="C5515" s="14">
        <v>2</v>
      </c>
      <c r="D5515" s="86">
        <v>5.4457545796883444E-2</v>
      </c>
      <c r="E5515" s="86"/>
      <c r="F5515" s="14"/>
    </row>
    <row r="5516" spans="1:6" x14ac:dyDescent="0.25">
      <c r="A5516" s="86">
        <v>5515</v>
      </c>
      <c r="B5516" s="87">
        <v>49.658046913798898</v>
      </c>
      <c r="C5516" s="14">
        <v>4</v>
      </c>
      <c r="D5516" s="86">
        <v>4.8787611750678583E-2</v>
      </c>
      <c r="E5516" s="86"/>
      <c r="F5516" s="14"/>
    </row>
    <row r="5517" spans="1:6" x14ac:dyDescent="0.25">
      <c r="A5517" s="86">
        <v>5516</v>
      </c>
      <c r="B5517" s="87">
        <v>39.388476120046107</v>
      </c>
      <c r="C5517" s="14">
        <v>4</v>
      </c>
      <c r="D5517" s="86">
        <v>0.84594089998090471</v>
      </c>
      <c r="E5517" s="86"/>
      <c r="F5517" s="14"/>
    </row>
    <row r="5518" spans="1:6" x14ac:dyDescent="0.25">
      <c r="A5518" s="86">
        <v>5517</v>
      </c>
      <c r="B5518" s="87">
        <v>37.445477113913512</v>
      </c>
      <c r="C5518" s="14">
        <v>5</v>
      </c>
      <c r="D5518" s="86">
        <v>2.5792640661452482E-2</v>
      </c>
      <c r="E5518" s="86"/>
      <c r="F5518" s="14"/>
    </row>
    <row r="5519" spans="1:6" x14ac:dyDescent="0.25">
      <c r="A5519" s="86">
        <v>5518</v>
      </c>
      <c r="B5519" s="87">
        <v>45.975514235004084</v>
      </c>
      <c r="C5519" s="14">
        <v>4</v>
      </c>
      <c r="D5519" s="86">
        <v>0.26587505294379743</v>
      </c>
      <c r="E5519" s="86"/>
      <c r="F5519" s="14"/>
    </row>
    <row r="5520" spans="1:6" x14ac:dyDescent="0.25">
      <c r="A5520" s="86">
        <v>5519</v>
      </c>
      <c r="B5520" s="87">
        <v>47.910407369607128</v>
      </c>
      <c r="C5520" s="14">
        <v>5</v>
      </c>
      <c r="D5520" s="86">
        <v>0.86378504486387941</v>
      </c>
      <c r="E5520" s="86"/>
      <c r="F5520" s="14"/>
    </row>
    <row r="5521" spans="1:6" x14ac:dyDescent="0.25">
      <c r="A5521" s="86">
        <v>5520</v>
      </c>
      <c r="B5521" s="87">
        <v>37.065115060948301</v>
      </c>
      <c r="C5521" s="14">
        <v>4</v>
      </c>
      <c r="D5521" s="86">
        <v>0.14540035724144273</v>
      </c>
      <c r="E5521" s="86"/>
      <c r="F5521" s="14"/>
    </row>
    <row r="5522" spans="1:6" x14ac:dyDescent="0.25">
      <c r="A5522" s="86">
        <v>5521</v>
      </c>
      <c r="B5522" s="87">
        <v>36.39358964789426</v>
      </c>
      <c r="C5522" s="14">
        <v>4</v>
      </c>
      <c r="D5522" s="86">
        <v>0.68469943781187503</v>
      </c>
      <c r="E5522" s="86"/>
      <c r="F5522" s="14"/>
    </row>
    <row r="5523" spans="1:6" x14ac:dyDescent="0.25">
      <c r="A5523" s="86">
        <v>5522</v>
      </c>
      <c r="B5523" s="87">
        <v>38.569476141099585</v>
      </c>
      <c r="C5523" s="14">
        <v>1</v>
      </c>
      <c r="D5523" s="86">
        <v>0.82827956336333675</v>
      </c>
      <c r="E5523" s="86"/>
      <c r="F5523" s="14"/>
    </row>
    <row r="5524" spans="1:6" x14ac:dyDescent="0.25">
      <c r="A5524" s="86">
        <v>5523</v>
      </c>
      <c r="B5524" s="87">
        <v>49.952575404284289</v>
      </c>
      <c r="C5524" s="14">
        <v>5</v>
      </c>
      <c r="D5524" s="86">
        <v>0.70210386563983107</v>
      </c>
      <c r="E5524" s="86"/>
      <c r="F5524" s="14"/>
    </row>
    <row r="5525" spans="1:6" x14ac:dyDescent="0.25">
      <c r="A5525" s="86">
        <v>5524</v>
      </c>
      <c r="B5525" s="87">
        <v>51.401502782362513</v>
      </c>
      <c r="C5525" s="14">
        <v>4</v>
      </c>
      <c r="D5525" s="86">
        <v>0.21743453042249539</v>
      </c>
      <c r="E5525" s="86"/>
      <c r="F5525" s="14"/>
    </row>
    <row r="5526" spans="1:6" x14ac:dyDescent="0.25">
      <c r="A5526" s="86">
        <v>5525</v>
      </c>
      <c r="B5526" s="87">
        <v>48.575839168159291</v>
      </c>
      <c r="C5526" s="14">
        <v>2</v>
      </c>
      <c r="D5526" s="86">
        <v>3.1154921637595367E-2</v>
      </c>
      <c r="E5526" s="86"/>
      <c r="F5526" s="14"/>
    </row>
    <row r="5527" spans="1:6" x14ac:dyDescent="0.25">
      <c r="A5527" s="86">
        <v>5526</v>
      </c>
      <c r="B5527" s="87">
        <v>42.565898178843781</v>
      </c>
      <c r="C5527" s="14">
        <v>5</v>
      </c>
      <c r="D5527" s="86">
        <v>0.6690285378686619</v>
      </c>
      <c r="E5527" s="86"/>
      <c r="F5527" s="14"/>
    </row>
    <row r="5528" spans="1:6" x14ac:dyDescent="0.25">
      <c r="A5528" s="86">
        <v>5527</v>
      </c>
      <c r="B5528" s="87">
        <v>50.799621926096734</v>
      </c>
      <c r="C5528" s="14">
        <v>4</v>
      </c>
      <c r="D5528" s="86">
        <v>0.16642189684665676</v>
      </c>
      <c r="E5528" s="86"/>
      <c r="F5528" s="14"/>
    </row>
    <row r="5529" spans="1:6" x14ac:dyDescent="0.25">
      <c r="A5529" s="86">
        <v>5528</v>
      </c>
      <c r="B5529" s="87">
        <v>40.984332367195748</v>
      </c>
      <c r="C5529" s="14">
        <v>3</v>
      </c>
      <c r="D5529" s="86">
        <v>0.50855321310908541</v>
      </c>
      <c r="E5529" s="86"/>
      <c r="F5529" s="14"/>
    </row>
    <row r="5530" spans="1:6" x14ac:dyDescent="0.25">
      <c r="A5530" s="86">
        <v>5529</v>
      </c>
      <c r="B5530" s="87">
        <v>39.579492744785966</v>
      </c>
      <c r="C5530" s="14">
        <v>1</v>
      </c>
      <c r="D5530" s="86">
        <v>0.6219858561639493</v>
      </c>
      <c r="E5530" s="86"/>
      <c r="F5530" s="14"/>
    </row>
    <row r="5531" spans="1:6" x14ac:dyDescent="0.25">
      <c r="A5531" s="86">
        <v>5530</v>
      </c>
      <c r="B5531" s="87">
        <v>49.666414265055209</v>
      </c>
      <c r="C5531" s="14">
        <v>1</v>
      </c>
      <c r="D5531" s="86">
        <v>0.63562877816355057</v>
      </c>
      <c r="E5531" s="86"/>
      <c r="F5531" s="14"/>
    </row>
    <row r="5532" spans="1:6" x14ac:dyDescent="0.25">
      <c r="A5532" s="86">
        <v>5531</v>
      </c>
      <c r="B5532" s="87">
        <v>38.43533704127185</v>
      </c>
      <c r="C5532" s="14">
        <v>2</v>
      </c>
      <c r="D5532" s="86">
        <v>0.41721296123276685</v>
      </c>
      <c r="E5532" s="86"/>
      <c r="F5532" s="14"/>
    </row>
    <row r="5533" spans="1:6" x14ac:dyDescent="0.25">
      <c r="A5533" s="86">
        <v>5532</v>
      </c>
      <c r="B5533" s="87">
        <v>52.381665222463198</v>
      </c>
      <c r="C5533" s="14">
        <v>4</v>
      </c>
      <c r="D5533" s="86">
        <v>0.57228813477337559</v>
      </c>
      <c r="E5533" s="86"/>
      <c r="F5533" s="14"/>
    </row>
    <row r="5534" spans="1:6" x14ac:dyDescent="0.25">
      <c r="A5534" s="86">
        <v>5533</v>
      </c>
      <c r="B5534" s="87">
        <v>38.010921338689514</v>
      </c>
      <c r="C5534" s="14">
        <v>4</v>
      </c>
      <c r="D5534" s="86">
        <v>0.93435873938695091</v>
      </c>
      <c r="E5534" s="86"/>
      <c r="F5534" s="14"/>
    </row>
    <row r="5535" spans="1:6" x14ac:dyDescent="0.25">
      <c r="A5535" s="86">
        <v>5534</v>
      </c>
      <c r="B5535" s="87">
        <v>40.504835391737288</v>
      </c>
      <c r="C5535" s="14">
        <v>4</v>
      </c>
      <c r="D5535" s="86">
        <v>0.35947271923904967</v>
      </c>
      <c r="E5535" s="86"/>
      <c r="F5535" s="14"/>
    </row>
    <row r="5536" spans="1:6" x14ac:dyDescent="0.25">
      <c r="A5536" s="86">
        <v>5535</v>
      </c>
      <c r="B5536" s="87">
        <v>34.285812939167954</v>
      </c>
      <c r="C5536" s="14">
        <v>2</v>
      </c>
      <c r="D5536" s="86">
        <v>0.38153334537411199</v>
      </c>
      <c r="E5536" s="86"/>
      <c r="F5536" s="14"/>
    </row>
    <row r="5537" spans="1:6" x14ac:dyDescent="0.25">
      <c r="A5537" s="86">
        <v>5536</v>
      </c>
      <c r="B5537" s="87">
        <v>47.143271326029208</v>
      </c>
      <c r="C5537" s="14">
        <v>4</v>
      </c>
      <c r="D5537" s="86">
        <v>0.22935728991428483</v>
      </c>
      <c r="E5537" s="86"/>
      <c r="F5537" s="14"/>
    </row>
    <row r="5538" spans="1:6" x14ac:dyDescent="0.25">
      <c r="A5538" s="86">
        <v>5537</v>
      </c>
      <c r="B5538" s="87">
        <v>45.552081923568039</v>
      </c>
      <c r="C5538" s="14">
        <v>5</v>
      </c>
      <c r="D5538" s="86">
        <v>0.25342381070757503</v>
      </c>
      <c r="E5538" s="86"/>
      <c r="F5538" s="14"/>
    </row>
    <row r="5539" spans="1:6" x14ac:dyDescent="0.25">
      <c r="A5539" s="86">
        <v>5538</v>
      </c>
      <c r="B5539" s="87">
        <v>50.969356374815106</v>
      </c>
      <c r="C5539" s="14">
        <v>5</v>
      </c>
      <c r="D5539" s="86">
        <v>0.24944606125099689</v>
      </c>
      <c r="E5539" s="86"/>
      <c r="F5539" s="14"/>
    </row>
    <row r="5540" spans="1:6" x14ac:dyDescent="0.25">
      <c r="A5540" s="86">
        <v>5539</v>
      </c>
      <c r="B5540" s="87">
        <v>43.384204668080201</v>
      </c>
      <c r="C5540" s="14">
        <v>2</v>
      </c>
      <c r="D5540" s="86">
        <v>2.3192845502753134E-2</v>
      </c>
      <c r="E5540" s="86"/>
      <c r="F5540" s="14"/>
    </row>
    <row r="5541" spans="1:6" x14ac:dyDescent="0.25">
      <c r="A5541" s="86">
        <v>5540</v>
      </c>
      <c r="B5541" s="87">
        <v>46.454897523624822</v>
      </c>
      <c r="C5541" s="14">
        <v>4</v>
      </c>
      <c r="D5541" s="86">
        <v>0.17548580151631399</v>
      </c>
      <c r="E5541" s="86"/>
      <c r="F5541" s="14"/>
    </row>
    <row r="5542" spans="1:6" x14ac:dyDescent="0.25">
      <c r="A5542" s="86">
        <v>5541</v>
      </c>
      <c r="B5542" s="87">
        <v>45.269348442496266</v>
      </c>
      <c r="C5542" s="14">
        <v>5</v>
      </c>
      <c r="D5542" s="86">
        <v>0.95895317074277076</v>
      </c>
      <c r="E5542" s="86"/>
      <c r="F5542" s="14"/>
    </row>
    <row r="5543" spans="1:6" x14ac:dyDescent="0.25">
      <c r="A5543" s="86">
        <v>5542</v>
      </c>
      <c r="B5543" s="87">
        <v>30.847331794910133</v>
      </c>
      <c r="C5543" s="14">
        <v>4</v>
      </c>
      <c r="D5543" s="86">
        <v>0.88057894542000492</v>
      </c>
      <c r="E5543" s="86"/>
      <c r="F5543" s="14"/>
    </row>
    <row r="5544" spans="1:6" x14ac:dyDescent="0.25">
      <c r="A5544" s="86">
        <v>5543</v>
      </c>
      <c r="B5544" s="87">
        <v>44.477565092500299</v>
      </c>
      <c r="C5544" s="14">
        <v>2</v>
      </c>
      <c r="D5544" s="86">
        <v>0.48367603294447881</v>
      </c>
      <c r="E5544" s="86"/>
      <c r="F5544" s="14"/>
    </row>
    <row r="5545" spans="1:6" x14ac:dyDescent="0.25">
      <c r="A5545" s="86">
        <v>5544</v>
      </c>
      <c r="B5545" s="87">
        <v>47.664798325393349</v>
      </c>
      <c r="C5545" s="14">
        <v>5</v>
      </c>
      <c r="D5545" s="86">
        <v>0.6743896367476957</v>
      </c>
      <c r="E5545" s="86"/>
      <c r="F5545" s="14"/>
    </row>
    <row r="5546" spans="1:6" x14ac:dyDescent="0.25">
      <c r="A5546" s="86">
        <v>5545</v>
      </c>
      <c r="B5546" s="87">
        <v>34.096274243318476</v>
      </c>
      <c r="C5546" s="14">
        <v>5</v>
      </c>
      <c r="D5546" s="86">
        <v>0.53143477919544035</v>
      </c>
      <c r="E5546" s="86"/>
      <c r="F5546" s="14"/>
    </row>
    <row r="5547" spans="1:6" x14ac:dyDescent="0.25">
      <c r="A5547" s="86">
        <v>5546</v>
      </c>
      <c r="B5547" s="87">
        <v>43.777481545810588</v>
      </c>
      <c r="C5547" s="14">
        <v>3</v>
      </c>
      <c r="D5547" s="86">
        <v>0.30185962913462439</v>
      </c>
      <c r="E5547" s="86"/>
      <c r="F5547" s="14"/>
    </row>
    <row r="5548" spans="1:6" x14ac:dyDescent="0.25">
      <c r="A5548" s="86">
        <v>5547</v>
      </c>
      <c r="B5548" s="87">
        <v>52.268433132092468</v>
      </c>
      <c r="C5548" s="14">
        <v>1</v>
      </c>
      <c r="D5548" s="86">
        <v>0.91280016231032179</v>
      </c>
      <c r="E5548" s="86"/>
      <c r="F5548" s="14"/>
    </row>
    <row r="5549" spans="1:6" x14ac:dyDescent="0.25">
      <c r="A5549" s="86">
        <v>5548</v>
      </c>
      <c r="B5549" s="87">
        <v>49.610082436964149</v>
      </c>
      <c r="C5549" s="14">
        <v>1</v>
      </c>
      <c r="D5549" s="86">
        <v>0.17398897601616803</v>
      </c>
      <c r="E5549" s="86"/>
      <c r="F5549" s="14"/>
    </row>
    <row r="5550" spans="1:6" x14ac:dyDescent="0.25">
      <c r="A5550" s="86">
        <v>5549</v>
      </c>
      <c r="B5550" s="87">
        <v>47.803723641089164</v>
      </c>
      <c r="C5550" s="14">
        <v>5</v>
      </c>
      <c r="D5550" s="86">
        <v>0.23987101731212135</v>
      </c>
      <c r="E5550" s="86"/>
      <c r="F5550" s="14"/>
    </row>
    <row r="5551" spans="1:6" x14ac:dyDescent="0.25">
      <c r="A5551" s="86">
        <v>5550</v>
      </c>
      <c r="B5551" s="87">
        <v>45.48910509981215</v>
      </c>
      <c r="C5551" s="14">
        <v>4</v>
      </c>
      <c r="D5551" s="86">
        <v>0.6043029343859333</v>
      </c>
      <c r="E5551" s="86"/>
      <c r="F5551" s="14"/>
    </row>
    <row r="5552" spans="1:6" x14ac:dyDescent="0.25">
      <c r="A5552" s="86">
        <v>5551</v>
      </c>
      <c r="B5552" s="87">
        <v>37.66078861587448</v>
      </c>
      <c r="C5552" s="14">
        <v>4</v>
      </c>
      <c r="D5552" s="86">
        <v>0.45241722260556538</v>
      </c>
      <c r="E5552" s="86"/>
      <c r="F5552" s="14"/>
    </row>
    <row r="5553" spans="1:6" x14ac:dyDescent="0.25">
      <c r="A5553" s="86">
        <v>5552</v>
      </c>
      <c r="B5553" s="87">
        <v>41.878570295346435</v>
      </c>
      <c r="C5553" s="14">
        <v>4</v>
      </c>
      <c r="D5553" s="86">
        <v>0.64862825840994576</v>
      </c>
      <c r="E5553" s="86"/>
      <c r="F5553" s="14"/>
    </row>
    <row r="5554" spans="1:6" x14ac:dyDescent="0.25">
      <c r="A5554" s="86">
        <v>5553</v>
      </c>
      <c r="B5554" s="87">
        <v>36.426399669260718</v>
      </c>
      <c r="C5554" s="14">
        <v>4</v>
      </c>
      <c r="D5554" s="86">
        <v>0.38408000557559874</v>
      </c>
      <c r="E5554" s="86"/>
      <c r="F5554" s="14"/>
    </row>
    <row r="5555" spans="1:6" x14ac:dyDescent="0.25">
      <c r="A5555" s="86">
        <v>5554</v>
      </c>
      <c r="B5555" s="87">
        <v>54.930387699976563</v>
      </c>
      <c r="C5555" s="14">
        <v>5</v>
      </c>
      <c r="D5555" s="86">
        <v>0.75103575418023882</v>
      </c>
      <c r="E5555" s="86"/>
      <c r="F5555" s="14"/>
    </row>
    <row r="5556" spans="1:6" x14ac:dyDescent="0.25">
      <c r="A5556" s="86">
        <v>5555</v>
      </c>
      <c r="B5556" s="87">
        <v>46.008449311892036</v>
      </c>
      <c r="C5556" s="14">
        <v>4</v>
      </c>
      <c r="D5556" s="86">
        <v>0.45535954789879463</v>
      </c>
      <c r="E5556" s="86"/>
      <c r="F5556" s="14"/>
    </row>
    <row r="5557" spans="1:6" x14ac:dyDescent="0.25">
      <c r="A5557" s="86">
        <v>5556</v>
      </c>
      <c r="B5557" s="87">
        <v>51.107213034236338</v>
      </c>
      <c r="C5557" s="14">
        <v>5</v>
      </c>
      <c r="D5557" s="86">
        <v>1.3379029693013855E-2</v>
      </c>
      <c r="E5557" s="86"/>
      <c r="F5557" s="14"/>
    </row>
    <row r="5558" spans="1:6" x14ac:dyDescent="0.25">
      <c r="A5558" s="86">
        <v>5557</v>
      </c>
      <c r="B5558" s="87">
        <v>41.641885667893803</v>
      </c>
      <c r="C5558" s="14">
        <v>4</v>
      </c>
      <c r="D5558" s="86">
        <v>0.70174967288550527</v>
      </c>
      <c r="E5558" s="86"/>
      <c r="F5558" s="14"/>
    </row>
    <row r="5559" spans="1:6" x14ac:dyDescent="0.25">
      <c r="A5559" s="86">
        <v>5558</v>
      </c>
      <c r="B5559" s="87">
        <v>35.642915458418429</v>
      </c>
      <c r="C5559" s="14">
        <v>2</v>
      </c>
      <c r="D5559" s="86">
        <v>0.15570133046046553</v>
      </c>
      <c r="E5559" s="86"/>
      <c r="F5559" s="14"/>
    </row>
    <row r="5560" spans="1:6" x14ac:dyDescent="0.25">
      <c r="A5560" s="86">
        <v>5559</v>
      </c>
      <c r="B5560" s="87">
        <v>42.646092874172609</v>
      </c>
      <c r="C5560" s="14">
        <v>2</v>
      </c>
      <c r="D5560" s="86">
        <v>0.65545853389992914</v>
      </c>
      <c r="E5560" s="86"/>
      <c r="F5560" s="14"/>
    </row>
    <row r="5561" spans="1:6" x14ac:dyDescent="0.25">
      <c r="A5561" s="86">
        <v>5560</v>
      </c>
      <c r="B5561" s="87">
        <v>34.107438290782738</v>
      </c>
      <c r="C5561" s="14">
        <v>5</v>
      </c>
      <c r="D5561" s="86">
        <v>0.13802744631779607</v>
      </c>
      <c r="E5561" s="86"/>
      <c r="F5561" s="14"/>
    </row>
    <row r="5562" spans="1:6" x14ac:dyDescent="0.25">
      <c r="A5562" s="86">
        <v>5561</v>
      </c>
      <c r="B5562" s="87">
        <v>40.608699686679756</v>
      </c>
      <c r="C5562" s="14">
        <v>4</v>
      </c>
      <c r="D5562" s="86">
        <v>0.60542051905406014</v>
      </c>
      <c r="E5562" s="86"/>
      <c r="F5562" s="14"/>
    </row>
    <row r="5563" spans="1:6" x14ac:dyDescent="0.25">
      <c r="A5563" s="86">
        <v>5562</v>
      </c>
      <c r="B5563" s="87">
        <v>38.753944403986679</v>
      </c>
      <c r="C5563" s="14">
        <v>5</v>
      </c>
      <c r="D5563" s="86">
        <v>0.38264851457472171</v>
      </c>
      <c r="E5563" s="86"/>
      <c r="F5563" s="14"/>
    </row>
    <row r="5564" spans="1:6" x14ac:dyDescent="0.25">
      <c r="A5564" s="86">
        <v>5563</v>
      </c>
      <c r="B5564" s="87">
        <v>51.935649020713754</v>
      </c>
      <c r="C5564" s="14">
        <v>4</v>
      </c>
      <c r="D5564" s="86">
        <v>0.23700749700086177</v>
      </c>
      <c r="E5564" s="86"/>
      <c r="F5564" s="14"/>
    </row>
    <row r="5565" spans="1:6" x14ac:dyDescent="0.25">
      <c r="A5565" s="86">
        <v>5564</v>
      </c>
      <c r="B5565" s="87">
        <v>39.650205957848812</v>
      </c>
      <c r="C5565" s="14">
        <v>5</v>
      </c>
      <c r="D5565" s="86">
        <v>0.9825948002642898</v>
      </c>
      <c r="E5565" s="86"/>
      <c r="F5565" s="14"/>
    </row>
    <row r="5566" spans="1:6" x14ac:dyDescent="0.25">
      <c r="A5566" s="86">
        <v>5565</v>
      </c>
      <c r="B5566" s="87">
        <v>45.518152086850023</v>
      </c>
      <c r="C5566" s="14">
        <v>2</v>
      </c>
      <c r="D5566" s="86">
        <v>0.89304959526543082</v>
      </c>
      <c r="E5566" s="86"/>
      <c r="F5566" s="14"/>
    </row>
    <row r="5567" spans="1:6" x14ac:dyDescent="0.25">
      <c r="A5567" s="86">
        <v>5566</v>
      </c>
      <c r="B5567" s="87">
        <v>46.773300250031753</v>
      </c>
      <c r="C5567" s="14">
        <v>5</v>
      </c>
      <c r="D5567" s="86">
        <v>0.2479434046876835</v>
      </c>
      <c r="E5567" s="86"/>
      <c r="F5567" s="14"/>
    </row>
    <row r="5568" spans="1:6" x14ac:dyDescent="0.25">
      <c r="A5568" s="86">
        <v>5567</v>
      </c>
      <c r="B5568" s="87">
        <v>47.850664936384419</v>
      </c>
      <c r="C5568" s="14">
        <v>4</v>
      </c>
      <c r="D5568" s="86">
        <v>0.38944828051442959</v>
      </c>
      <c r="E5568" s="86"/>
      <c r="F5568" s="14"/>
    </row>
    <row r="5569" spans="1:6" x14ac:dyDescent="0.25">
      <c r="A5569" s="86">
        <v>5568</v>
      </c>
      <c r="B5569" s="87">
        <v>45.221122485934757</v>
      </c>
      <c r="C5569" s="14">
        <v>4</v>
      </c>
      <c r="D5569" s="86">
        <v>0.41692667510596948</v>
      </c>
      <c r="E5569" s="86"/>
      <c r="F5569" s="14"/>
    </row>
    <row r="5570" spans="1:6" x14ac:dyDescent="0.25">
      <c r="A5570" s="86">
        <v>5569</v>
      </c>
      <c r="B5570" s="87">
        <v>47.569881184579572</v>
      </c>
      <c r="C5570" s="14">
        <v>2</v>
      </c>
      <c r="D5570" s="86">
        <v>0.43587173773152121</v>
      </c>
      <c r="E5570" s="86"/>
      <c r="F5570" s="14"/>
    </row>
    <row r="5571" spans="1:6" x14ac:dyDescent="0.25">
      <c r="A5571" s="86">
        <v>5570</v>
      </c>
      <c r="B5571" s="87">
        <v>46.750960786419455</v>
      </c>
      <c r="C5571" s="14">
        <v>5</v>
      </c>
      <c r="D5571" s="86">
        <v>0.66364852092628823</v>
      </c>
      <c r="E5571" s="86"/>
      <c r="F5571" s="14"/>
    </row>
    <row r="5572" spans="1:6" x14ac:dyDescent="0.25">
      <c r="A5572" s="86">
        <v>5571</v>
      </c>
      <c r="B5572" s="87">
        <v>35.865878084558062</v>
      </c>
      <c r="C5572" s="14">
        <v>4</v>
      </c>
      <c r="D5572" s="86">
        <v>0.42984848556192257</v>
      </c>
      <c r="E5572" s="86"/>
      <c r="F5572" s="14"/>
    </row>
    <row r="5573" spans="1:6" x14ac:dyDescent="0.25">
      <c r="A5573" s="86">
        <v>5572</v>
      </c>
      <c r="B5573" s="87">
        <v>36.464336967008421</v>
      </c>
      <c r="C5573" s="14">
        <v>5</v>
      </c>
      <c r="D5573" s="86">
        <v>0.29601647297024636</v>
      </c>
      <c r="E5573" s="86"/>
      <c r="F5573" s="14"/>
    </row>
    <row r="5574" spans="1:6" x14ac:dyDescent="0.25">
      <c r="A5574" s="86">
        <v>5573</v>
      </c>
      <c r="B5574" s="87">
        <v>42.779424797452521</v>
      </c>
      <c r="C5574" s="14">
        <v>2</v>
      </c>
      <c r="D5574" s="86">
        <v>0.21848669252899222</v>
      </c>
      <c r="E5574" s="86"/>
      <c r="F5574" s="14"/>
    </row>
    <row r="5575" spans="1:6" x14ac:dyDescent="0.25">
      <c r="A5575" s="86">
        <v>5574</v>
      </c>
      <c r="B5575" s="87">
        <v>47.25977759732632</v>
      </c>
      <c r="C5575" s="14">
        <v>5</v>
      </c>
      <c r="D5575" s="86">
        <v>0.28119190406069994</v>
      </c>
      <c r="E5575" s="86"/>
      <c r="F5575" s="14"/>
    </row>
    <row r="5576" spans="1:6" x14ac:dyDescent="0.25">
      <c r="A5576" s="86">
        <v>5575</v>
      </c>
      <c r="B5576" s="87">
        <v>42.606200162816094</v>
      </c>
      <c r="C5576" s="14">
        <v>2</v>
      </c>
      <c r="D5576" s="86">
        <v>0.53909459445856556</v>
      </c>
      <c r="E5576" s="86"/>
      <c r="F5576" s="14"/>
    </row>
    <row r="5577" spans="1:6" x14ac:dyDescent="0.25">
      <c r="A5577" s="86">
        <v>5576</v>
      </c>
      <c r="B5577" s="87">
        <v>48.884135134692769</v>
      </c>
      <c r="C5577" s="14">
        <v>5</v>
      </c>
      <c r="D5577" s="86">
        <v>0.76623853857063828</v>
      </c>
      <c r="E5577" s="86"/>
      <c r="F5577" s="14"/>
    </row>
    <row r="5578" spans="1:6" x14ac:dyDescent="0.25">
      <c r="A5578" s="86">
        <v>5577</v>
      </c>
      <c r="B5578" s="87">
        <v>34.607887750433292</v>
      </c>
      <c r="C5578" s="14">
        <v>4</v>
      </c>
      <c r="D5578" s="86">
        <v>0.11121312427822316</v>
      </c>
      <c r="E5578" s="86"/>
      <c r="F5578" s="14"/>
    </row>
    <row r="5579" spans="1:6" x14ac:dyDescent="0.25">
      <c r="A5579" s="86">
        <v>5578</v>
      </c>
      <c r="B5579" s="87">
        <v>51.645156412967481</v>
      </c>
      <c r="C5579" s="14">
        <v>4</v>
      </c>
      <c r="D5579" s="86">
        <v>0.77874012009350657</v>
      </c>
      <c r="E5579" s="86"/>
      <c r="F5579" s="14"/>
    </row>
    <row r="5580" spans="1:6" x14ac:dyDescent="0.25">
      <c r="A5580" s="86">
        <v>5579</v>
      </c>
      <c r="B5580" s="87">
        <v>44.907852720250958</v>
      </c>
      <c r="C5580" s="14">
        <v>4</v>
      </c>
      <c r="D5580" s="86">
        <v>0.34558010613326184</v>
      </c>
      <c r="E5580" s="86"/>
      <c r="F5580" s="14"/>
    </row>
    <row r="5581" spans="1:6" x14ac:dyDescent="0.25">
      <c r="A5581" s="86">
        <v>5580</v>
      </c>
      <c r="B5581" s="87">
        <v>47.872140380030032</v>
      </c>
      <c r="C5581" s="14">
        <v>2</v>
      </c>
      <c r="D5581" s="86">
        <v>0.30035594974569502</v>
      </c>
      <c r="E5581" s="86"/>
      <c r="F5581" s="14"/>
    </row>
    <row r="5582" spans="1:6" x14ac:dyDescent="0.25">
      <c r="A5582" s="86">
        <v>5581</v>
      </c>
      <c r="B5582" s="87">
        <v>41.779503584955819</v>
      </c>
      <c r="C5582" s="14">
        <v>2</v>
      </c>
      <c r="D5582" s="86">
        <v>0.32952467159978349</v>
      </c>
      <c r="E5582" s="86"/>
      <c r="F5582" s="14"/>
    </row>
    <row r="5583" spans="1:6" x14ac:dyDescent="0.25">
      <c r="A5583" s="86">
        <v>5582</v>
      </c>
      <c r="B5583" s="87">
        <v>36.836104295041878</v>
      </c>
      <c r="C5583" s="14">
        <v>2</v>
      </c>
      <c r="D5583" s="86">
        <v>0.84524936382802807</v>
      </c>
      <c r="E5583" s="86"/>
      <c r="F5583" s="14"/>
    </row>
    <row r="5584" spans="1:6" x14ac:dyDescent="0.25">
      <c r="A5584" s="86">
        <v>5583</v>
      </c>
      <c r="B5584" s="87">
        <v>48.806862191093387</v>
      </c>
      <c r="C5584" s="14">
        <v>5</v>
      </c>
      <c r="D5584" s="86">
        <v>0.46971849801335397</v>
      </c>
      <c r="E5584" s="86"/>
      <c r="F5584" s="14"/>
    </row>
    <row r="5585" spans="1:6" x14ac:dyDescent="0.25">
      <c r="A5585" s="86">
        <v>5584</v>
      </c>
      <c r="B5585" s="87">
        <v>35.604307408328168</v>
      </c>
      <c r="C5585" s="14">
        <v>4</v>
      </c>
      <c r="D5585" s="86">
        <v>8.1424912204223654E-2</v>
      </c>
      <c r="E5585" s="86"/>
      <c r="F5585" s="14"/>
    </row>
    <row r="5586" spans="1:6" x14ac:dyDescent="0.25">
      <c r="A5586" s="86">
        <v>5585</v>
      </c>
      <c r="B5586" s="87">
        <v>34.791446518618613</v>
      </c>
      <c r="C5586" s="14">
        <v>4</v>
      </c>
      <c r="D5586" s="86">
        <v>0.1804927795980007</v>
      </c>
      <c r="E5586" s="86"/>
      <c r="F5586" s="14"/>
    </row>
    <row r="5587" spans="1:6" x14ac:dyDescent="0.25">
      <c r="A5587" s="86">
        <v>5586</v>
      </c>
      <c r="B5587" s="87">
        <v>46.92817582905991</v>
      </c>
      <c r="C5587" s="14">
        <v>4</v>
      </c>
      <c r="D5587" s="86">
        <v>5.1420515391138455E-3</v>
      </c>
      <c r="E5587" s="86"/>
      <c r="F5587" s="14"/>
    </row>
    <row r="5588" spans="1:6" x14ac:dyDescent="0.25">
      <c r="A5588" s="86">
        <v>5587</v>
      </c>
      <c r="B5588" s="87">
        <v>30.91226971661672</v>
      </c>
      <c r="C5588" s="14">
        <v>2</v>
      </c>
      <c r="D5588" s="86">
        <v>0.25493220123861138</v>
      </c>
      <c r="E5588" s="86"/>
      <c r="F5588" s="14"/>
    </row>
    <row r="5589" spans="1:6" x14ac:dyDescent="0.25">
      <c r="A5589" s="86">
        <v>5588</v>
      </c>
      <c r="B5589" s="87">
        <v>38.862657442557975</v>
      </c>
      <c r="C5589" s="14">
        <v>2</v>
      </c>
      <c r="D5589" s="86">
        <v>0.83836987618371417</v>
      </c>
      <c r="E5589" s="86"/>
      <c r="F5589" s="14"/>
    </row>
    <row r="5590" spans="1:6" x14ac:dyDescent="0.25">
      <c r="A5590" s="86">
        <v>5589</v>
      </c>
      <c r="B5590" s="87">
        <v>36.168080436589662</v>
      </c>
      <c r="C5590" s="14">
        <v>1</v>
      </c>
      <c r="D5590" s="86">
        <v>0.31862091971461715</v>
      </c>
      <c r="E5590" s="86"/>
      <c r="F5590" s="14"/>
    </row>
    <row r="5591" spans="1:6" x14ac:dyDescent="0.25">
      <c r="A5591" s="86">
        <v>5590</v>
      </c>
      <c r="B5591" s="87">
        <v>40.489658198901452</v>
      </c>
      <c r="C5591" s="14">
        <v>2</v>
      </c>
      <c r="D5591" s="86">
        <v>0.61266599374604502</v>
      </c>
      <c r="E5591" s="86"/>
      <c r="F5591" s="14"/>
    </row>
    <row r="5592" spans="1:6" x14ac:dyDescent="0.25">
      <c r="A5592" s="86">
        <v>5591</v>
      </c>
      <c r="B5592" s="87">
        <v>45.660306108737132</v>
      </c>
      <c r="C5592" s="14">
        <v>4</v>
      </c>
      <c r="D5592" s="86">
        <v>8.5627550003141706E-2</v>
      </c>
      <c r="E5592" s="86"/>
      <c r="F5592" s="14"/>
    </row>
    <row r="5593" spans="1:6" x14ac:dyDescent="0.25">
      <c r="A5593" s="86">
        <v>5592</v>
      </c>
      <c r="B5593" s="87">
        <v>48.09528490511002</v>
      </c>
      <c r="C5593" s="14">
        <v>3</v>
      </c>
      <c r="D5593" s="86">
        <v>0.72428004474989738</v>
      </c>
      <c r="E5593" s="86"/>
      <c r="F5593" s="14"/>
    </row>
    <row r="5594" spans="1:6" x14ac:dyDescent="0.25">
      <c r="A5594" s="86">
        <v>5593</v>
      </c>
      <c r="B5594" s="87">
        <v>41.797227362956619</v>
      </c>
      <c r="C5594" s="14">
        <v>4</v>
      </c>
      <c r="D5594" s="86">
        <v>0.70141799753897971</v>
      </c>
      <c r="E5594" s="86"/>
      <c r="F5594" s="14"/>
    </row>
    <row r="5595" spans="1:6" x14ac:dyDescent="0.25">
      <c r="A5595" s="86">
        <v>5594</v>
      </c>
      <c r="B5595" s="87">
        <v>41.002567735966295</v>
      </c>
      <c r="C5595" s="14">
        <v>4</v>
      </c>
      <c r="D5595" s="86">
        <v>0.90630283488210195</v>
      </c>
      <c r="E5595" s="86"/>
      <c r="F5595" s="14"/>
    </row>
    <row r="5596" spans="1:6" x14ac:dyDescent="0.25">
      <c r="A5596" s="86">
        <v>5595</v>
      </c>
      <c r="B5596" s="87">
        <v>42.042734089016449</v>
      </c>
      <c r="C5596" s="14">
        <v>4</v>
      </c>
      <c r="D5596" s="86">
        <v>0.92945996283508892</v>
      </c>
      <c r="E5596" s="86"/>
      <c r="F5596" s="14"/>
    </row>
    <row r="5597" spans="1:6" x14ac:dyDescent="0.25">
      <c r="A5597" s="86">
        <v>5596</v>
      </c>
      <c r="B5597" s="87">
        <v>46.237653345422586</v>
      </c>
      <c r="C5597" s="14">
        <v>4</v>
      </c>
      <c r="D5597" s="86">
        <v>0.70682318431150948</v>
      </c>
      <c r="E5597" s="86"/>
      <c r="F5597" s="14"/>
    </row>
    <row r="5598" spans="1:6" x14ac:dyDescent="0.25">
      <c r="A5598" s="86">
        <v>5597</v>
      </c>
      <c r="B5598" s="87">
        <v>48.620938736683456</v>
      </c>
      <c r="C5598" s="14">
        <v>2</v>
      </c>
      <c r="D5598" s="86">
        <v>0.86971858453265483</v>
      </c>
      <c r="E5598" s="86"/>
      <c r="F5598" s="14"/>
    </row>
    <row r="5599" spans="1:6" x14ac:dyDescent="0.25">
      <c r="A5599" s="86">
        <v>5598</v>
      </c>
      <c r="B5599" s="87">
        <v>43.103472075352329</v>
      </c>
      <c r="C5599" s="14">
        <v>2</v>
      </c>
      <c r="D5599" s="86">
        <v>0.9023525608660955</v>
      </c>
      <c r="E5599" s="86"/>
      <c r="F5599" s="14"/>
    </row>
    <row r="5600" spans="1:6" x14ac:dyDescent="0.25">
      <c r="A5600" s="86">
        <v>5599</v>
      </c>
      <c r="B5600" s="87">
        <v>39.351141362538328</v>
      </c>
      <c r="C5600" s="14">
        <v>2</v>
      </c>
      <c r="D5600" s="86">
        <v>0.68310016300563359</v>
      </c>
      <c r="E5600" s="86"/>
      <c r="F5600" s="14"/>
    </row>
    <row r="5601" spans="1:6" x14ac:dyDescent="0.25">
      <c r="A5601" s="86">
        <v>5600</v>
      </c>
      <c r="B5601" s="87">
        <v>43.072486727731302</v>
      </c>
      <c r="C5601" s="14">
        <v>5</v>
      </c>
      <c r="D5601" s="86">
        <v>0.39079560598224983</v>
      </c>
      <c r="E5601" s="86"/>
      <c r="F5601" s="14"/>
    </row>
    <row r="5602" spans="1:6" x14ac:dyDescent="0.25">
      <c r="A5602" s="86">
        <v>5601</v>
      </c>
      <c r="B5602" s="87">
        <v>46.23199174090405</v>
      </c>
      <c r="C5602" s="14">
        <v>2</v>
      </c>
      <c r="D5602" s="86">
        <v>0.13391636246819516</v>
      </c>
      <c r="E5602" s="86"/>
      <c r="F5602" s="14"/>
    </row>
    <row r="5603" spans="1:6" x14ac:dyDescent="0.25">
      <c r="A5603" s="86">
        <v>5602</v>
      </c>
      <c r="B5603" s="87">
        <v>38.617974946071627</v>
      </c>
      <c r="C5603" s="14">
        <v>2</v>
      </c>
      <c r="D5603" s="86">
        <v>0.30962483510669636</v>
      </c>
      <c r="E5603" s="86"/>
      <c r="F5603" s="14"/>
    </row>
    <row r="5604" spans="1:6" x14ac:dyDescent="0.25">
      <c r="A5604" s="86">
        <v>5603</v>
      </c>
      <c r="B5604" s="87">
        <v>50.140488378354348</v>
      </c>
      <c r="C5604" s="14">
        <v>4</v>
      </c>
      <c r="D5604" s="86">
        <v>0.4582702386908295</v>
      </c>
      <c r="E5604" s="86"/>
      <c r="F5604" s="14"/>
    </row>
    <row r="5605" spans="1:6" x14ac:dyDescent="0.25">
      <c r="A5605" s="86">
        <v>5604</v>
      </c>
      <c r="B5605" s="87">
        <v>40.960657083240221</v>
      </c>
      <c r="C5605" s="14">
        <v>2</v>
      </c>
      <c r="D5605" s="86">
        <v>0.7736256764388858</v>
      </c>
      <c r="E5605" s="86"/>
      <c r="F5605" s="14"/>
    </row>
    <row r="5606" spans="1:6" x14ac:dyDescent="0.25">
      <c r="A5606" s="86">
        <v>5605</v>
      </c>
      <c r="B5606" s="87">
        <v>37.87699824385345</v>
      </c>
      <c r="C5606" s="14">
        <v>5</v>
      </c>
      <c r="D5606" s="86">
        <v>0.61088434562415406</v>
      </c>
      <c r="E5606" s="86"/>
      <c r="F5606" s="14"/>
    </row>
    <row r="5607" spans="1:6" x14ac:dyDescent="0.25">
      <c r="A5607" s="86">
        <v>5606</v>
      </c>
      <c r="B5607" s="87">
        <v>39.919262912342674</v>
      </c>
      <c r="C5607" s="14">
        <v>4</v>
      </c>
      <c r="D5607" s="86">
        <v>0.25125249233225944</v>
      </c>
      <c r="E5607" s="86"/>
      <c r="F5607" s="14"/>
    </row>
    <row r="5608" spans="1:6" x14ac:dyDescent="0.25">
      <c r="A5608" s="86">
        <v>5607</v>
      </c>
      <c r="B5608" s="87">
        <v>43.371164787793532</v>
      </c>
      <c r="C5608" s="14">
        <v>1</v>
      </c>
      <c r="D5608" s="86">
        <v>0.96663549796511505</v>
      </c>
      <c r="E5608" s="86"/>
      <c r="F5608" s="14"/>
    </row>
    <row r="5609" spans="1:6" x14ac:dyDescent="0.25">
      <c r="A5609" s="86">
        <v>5608</v>
      </c>
      <c r="B5609" s="87">
        <v>44.904561486298917</v>
      </c>
      <c r="C5609" s="14">
        <v>5</v>
      </c>
      <c r="D5609" s="86">
        <v>0.59988387149860145</v>
      </c>
      <c r="E5609" s="86"/>
      <c r="F5609" s="14"/>
    </row>
    <row r="5610" spans="1:6" x14ac:dyDescent="0.25">
      <c r="A5610" s="86">
        <v>5609</v>
      </c>
      <c r="B5610" s="87">
        <v>49.564528121089097</v>
      </c>
      <c r="C5610" s="14">
        <v>5</v>
      </c>
      <c r="D5610" s="86">
        <v>0.46294192444732329</v>
      </c>
      <c r="E5610" s="86"/>
      <c r="F5610" s="14"/>
    </row>
    <row r="5611" spans="1:6" x14ac:dyDescent="0.25">
      <c r="A5611" s="86">
        <v>5610</v>
      </c>
      <c r="B5611" s="87">
        <v>48.109450285090134</v>
      </c>
      <c r="C5611" s="14">
        <v>1</v>
      </c>
      <c r="D5611" s="86">
        <v>0.38708885401150073</v>
      </c>
      <c r="E5611" s="86"/>
      <c r="F5611" s="14"/>
    </row>
    <row r="5612" spans="1:6" x14ac:dyDescent="0.25">
      <c r="A5612" s="86">
        <v>5611</v>
      </c>
      <c r="B5612" s="87">
        <v>46.058573838643497</v>
      </c>
      <c r="C5612" s="14">
        <v>4</v>
      </c>
      <c r="D5612" s="86">
        <v>0.78043341757046925</v>
      </c>
      <c r="E5612" s="86"/>
      <c r="F5612" s="14"/>
    </row>
    <row r="5613" spans="1:6" x14ac:dyDescent="0.25">
      <c r="A5613" s="86">
        <v>5612</v>
      </c>
      <c r="B5613" s="87">
        <v>50.414018909912556</v>
      </c>
      <c r="C5613" s="14">
        <v>4</v>
      </c>
      <c r="D5613" s="86">
        <v>0.19548284538156002</v>
      </c>
      <c r="E5613" s="86"/>
      <c r="F5613" s="14"/>
    </row>
    <row r="5614" spans="1:6" x14ac:dyDescent="0.25">
      <c r="A5614" s="86">
        <v>5613</v>
      </c>
      <c r="B5614" s="87">
        <v>41.273983692342881</v>
      </c>
      <c r="C5614" s="14">
        <v>4</v>
      </c>
      <c r="D5614" s="86">
        <v>0.16513969561415565</v>
      </c>
      <c r="E5614" s="86"/>
      <c r="F5614" s="14"/>
    </row>
    <row r="5615" spans="1:6" x14ac:dyDescent="0.25">
      <c r="A5615" s="86">
        <v>5614</v>
      </c>
      <c r="B5615" s="87">
        <v>45.351066541450564</v>
      </c>
      <c r="C5615" s="14">
        <v>2</v>
      </c>
      <c r="D5615" s="86">
        <v>0.63523168989777778</v>
      </c>
      <c r="E5615" s="86"/>
      <c r="F5615" s="14"/>
    </row>
    <row r="5616" spans="1:6" x14ac:dyDescent="0.25">
      <c r="A5616" s="86">
        <v>5615</v>
      </c>
      <c r="B5616" s="87">
        <v>38.48156210948946</v>
      </c>
      <c r="C5616" s="14">
        <v>1</v>
      </c>
      <c r="D5616" s="86">
        <v>0.52435427676169177</v>
      </c>
      <c r="E5616" s="86"/>
      <c r="F5616" s="14"/>
    </row>
    <row r="5617" spans="1:6" x14ac:dyDescent="0.25">
      <c r="A5617" s="86">
        <v>5616</v>
      </c>
      <c r="B5617" s="87">
        <v>49.829964149801526</v>
      </c>
      <c r="C5617" s="14">
        <v>4</v>
      </c>
      <c r="D5617" s="86">
        <v>0.77972417101051528</v>
      </c>
      <c r="E5617" s="86"/>
      <c r="F5617" s="14"/>
    </row>
    <row r="5618" spans="1:6" x14ac:dyDescent="0.25">
      <c r="A5618" s="86">
        <v>5617</v>
      </c>
      <c r="B5618" s="87">
        <v>46.320167252240935</v>
      </c>
      <c r="C5618" s="14">
        <v>4</v>
      </c>
      <c r="D5618" s="86">
        <v>0.49754187700121277</v>
      </c>
      <c r="E5618" s="86"/>
      <c r="F5618" s="14"/>
    </row>
    <row r="5619" spans="1:6" x14ac:dyDescent="0.25">
      <c r="A5619" s="86">
        <v>5618</v>
      </c>
      <c r="B5619" s="87">
        <v>42.485982016267371</v>
      </c>
      <c r="C5619" s="14">
        <v>2</v>
      </c>
      <c r="D5619" s="86">
        <v>0.5730042050200016</v>
      </c>
      <c r="E5619" s="86"/>
      <c r="F5619" s="14"/>
    </row>
    <row r="5620" spans="1:6" x14ac:dyDescent="0.25">
      <c r="A5620" s="86">
        <v>5619</v>
      </c>
      <c r="B5620" s="87">
        <v>40.814705920973211</v>
      </c>
      <c r="C5620" s="14">
        <v>2</v>
      </c>
      <c r="D5620" s="86">
        <v>0.29125452892851422</v>
      </c>
      <c r="E5620" s="86"/>
      <c r="F5620" s="14"/>
    </row>
    <row r="5621" spans="1:6" x14ac:dyDescent="0.25">
      <c r="A5621" s="86">
        <v>5620</v>
      </c>
      <c r="B5621" s="87">
        <v>39.89239302824717</v>
      </c>
      <c r="C5621" s="14">
        <v>5</v>
      </c>
      <c r="D5621" s="86">
        <v>3.9378078490462709E-2</v>
      </c>
      <c r="E5621" s="86"/>
      <c r="F5621" s="14"/>
    </row>
    <row r="5622" spans="1:6" x14ac:dyDescent="0.25">
      <c r="A5622" s="86">
        <v>5621</v>
      </c>
      <c r="B5622" s="87">
        <v>43.804203637017054</v>
      </c>
      <c r="C5622" s="14">
        <v>4</v>
      </c>
      <c r="D5622" s="86">
        <v>0.59573631602778865</v>
      </c>
      <c r="E5622" s="86"/>
      <c r="F5622" s="14"/>
    </row>
    <row r="5623" spans="1:6" x14ac:dyDescent="0.25">
      <c r="A5623" s="86">
        <v>5622</v>
      </c>
      <c r="B5623" s="87">
        <v>43.942463884712197</v>
      </c>
      <c r="C5623" s="14">
        <v>5</v>
      </c>
      <c r="D5623" s="86">
        <v>0.65423065168706096</v>
      </c>
      <c r="E5623" s="86"/>
      <c r="F5623" s="14"/>
    </row>
    <row r="5624" spans="1:6" x14ac:dyDescent="0.25">
      <c r="A5624" s="86">
        <v>5623</v>
      </c>
      <c r="B5624" s="87">
        <v>45.479583827152965</v>
      </c>
      <c r="C5624" s="14">
        <v>1</v>
      </c>
      <c r="D5624" s="86">
        <v>0.99272866057212494</v>
      </c>
      <c r="E5624" s="86"/>
      <c r="F5624" s="14"/>
    </row>
    <row r="5625" spans="1:6" x14ac:dyDescent="0.25">
      <c r="A5625" s="86">
        <v>5624</v>
      </c>
      <c r="B5625" s="87">
        <v>48.128185875946656</v>
      </c>
      <c r="C5625" s="14">
        <v>4</v>
      </c>
      <c r="D5625" s="86">
        <v>0.61137255387680356</v>
      </c>
      <c r="E5625" s="86"/>
      <c r="F5625" s="14"/>
    </row>
    <row r="5626" spans="1:6" x14ac:dyDescent="0.25">
      <c r="A5626" s="86">
        <v>5625</v>
      </c>
      <c r="B5626" s="87">
        <v>43.31403715183842</v>
      </c>
      <c r="C5626" s="14">
        <v>4</v>
      </c>
      <c r="D5626" s="86">
        <v>0.78300605506109</v>
      </c>
      <c r="E5626" s="86"/>
      <c r="F5626" s="14"/>
    </row>
    <row r="5627" spans="1:6" x14ac:dyDescent="0.25">
      <c r="A5627" s="86">
        <v>5626</v>
      </c>
      <c r="B5627" s="87">
        <v>43.799553845354239</v>
      </c>
      <c r="C5627" s="14">
        <v>1</v>
      </c>
      <c r="D5627" s="86">
        <v>0.81160936357678037</v>
      </c>
      <c r="E5627" s="86"/>
      <c r="F5627" s="14"/>
    </row>
    <row r="5628" spans="1:6" x14ac:dyDescent="0.25">
      <c r="A5628" s="86">
        <v>5627</v>
      </c>
      <c r="B5628" s="87">
        <v>38.257803675485775</v>
      </c>
      <c r="C5628" s="14">
        <v>2</v>
      </c>
      <c r="D5628" s="86">
        <v>0.66707577102271354</v>
      </c>
      <c r="E5628" s="86"/>
      <c r="F5628" s="14"/>
    </row>
    <row r="5629" spans="1:6" x14ac:dyDescent="0.25">
      <c r="A5629" s="86">
        <v>5628</v>
      </c>
      <c r="B5629" s="87">
        <v>48.546735337702557</v>
      </c>
      <c r="C5629" s="14">
        <v>4</v>
      </c>
      <c r="D5629" s="86">
        <v>0.90671119405759748</v>
      </c>
      <c r="E5629" s="86"/>
      <c r="F5629" s="14"/>
    </row>
    <row r="5630" spans="1:6" x14ac:dyDescent="0.25">
      <c r="A5630" s="86">
        <v>5629</v>
      </c>
      <c r="B5630" s="87">
        <v>45.042247615463566</v>
      </c>
      <c r="C5630" s="14">
        <v>4</v>
      </c>
      <c r="D5630" s="86">
        <v>0.73398318559197928</v>
      </c>
      <c r="E5630" s="86"/>
      <c r="F5630" s="14"/>
    </row>
    <row r="5631" spans="1:6" x14ac:dyDescent="0.25">
      <c r="A5631" s="86">
        <v>5630</v>
      </c>
      <c r="B5631" s="87">
        <v>48.232197963778162</v>
      </c>
      <c r="C5631" s="14">
        <v>2</v>
      </c>
      <c r="D5631" s="86">
        <v>0.67573060501414661</v>
      </c>
      <c r="E5631" s="86"/>
      <c r="F5631" s="14"/>
    </row>
    <row r="5632" spans="1:6" x14ac:dyDescent="0.25">
      <c r="A5632" s="86">
        <v>5631</v>
      </c>
      <c r="B5632" s="87">
        <v>42.471754108526511</v>
      </c>
      <c r="C5632" s="14">
        <v>4</v>
      </c>
      <c r="D5632" s="86">
        <v>0.53886458351955979</v>
      </c>
      <c r="E5632" s="86"/>
      <c r="F5632" s="14"/>
    </row>
    <row r="5633" spans="1:6" x14ac:dyDescent="0.25">
      <c r="A5633" s="86">
        <v>5632</v>
      </c>
      <c r="B5633" s="87">
        <v>49.032723831594922</v>
      </c>
      <c r="C5633" s="14">
        <v>2</v>
      </c>
      <c r="D5633" s="86">
        <v>0.87358381905825211</v>
      </c>
      <c r="E5633" s="86"/>
      <c r="F5633" s="14"/>
    </row>
    <row r="5634" spans="1:6" x14ac:dyDescent="0.25">
      <c r="A5634" s="86">
        <v>5633</v>
      </c>
      <c r="B5634" s="87">
        <v>51.115785021800548</v>
      </c>
      <c r="C5634" s="14">
        <v>2</v>
      </c>
      <c r="D5634" s="86">
        <v>0.69282698198602954</v>
      </c>
      <c r="E5634" s="86"/>
      <c r="F5634" s="14"/>
    </row>
    <row r="5635" spans="1:6" x14ac:dyDescent="0.25">
      <c r="A5635" s="86">
        <v>5634</v>
      </c>
      <c r="B5635" s="87">
        <v>53.257235771859996</v>
      </c>
      <c r="C5635" s="14">
        <v>4</v>
      </c>
      <c r="D5635" s="86">
        <v>0.37763651510170049</v>
      </c>
      <c r="E5635" s="86"/>
      <c r="F5635" s="14"/>
    </row>
    <row r="5636" spans="1:6" x14ac:dyDescent="0.25">
      <c r="A5636" s="86">
        <v>5635</v>
      </c>
      <c r="B5636" s="87">
        <v>52.188624972011894</v>
      </c>
      <c r="C5636" s="14">
        <v>3</v>
      </c>
      <c r="D5636" s="86">
        <v>0.64253918369800633</v>
      </c>
      <c r="E5636" s="86"/>
      <c r="F5636" s="14"/>
    </row>
    <row r="5637" spans="1:6" x14ac:dyDescent="0.25">
      <c r="A5637" s="86">
        <v>5636</v>
      </c>
      <c r="B5637" s="87">
        <v>34.929598763817921</v>
      </c>
      <c r="C5637" s="14">
        <v>2</v>
      </c>
      <c r="D5637" s="86">
        <v>0.93051342742188525</v>
      </c>
      <c r="E5637" s="86"/>
      <c r="F5637" s="14"/>
    </row>
    <row r="5638" spans="1:6" x14ac:dyDescent="0.25">
      <c r="A5638" s="86">
        <v>5637</v>
      </c>
      <c r="B5638" s="87">
        <v>39.732572071778122</v>
      </c>
      <c r="C5638" s="14">
        <v>5</v>
      </c>
      <c r="D5638" s="86">
        <v>0.39224733665683609</v>
      </c>
      <c r="E5638" s="86"/>
      <c r="F5638" s="14"/>
    </row>
    <row r="5639" spans="1:6" x14ac:dyDescent="0.25">
      <c r="A5639" s="86">
        <v>5638</v>
      </c>
      <c r="B5639" s="87">
        <v>50.946277946757618</v>
      </c>
      <c r="C5639" s="14">
        <v>1</v>
      </c>
      <c r="D5639" s="86">
        <v>0.97387008509481254</v>
      </c>
      <c r="E5639" s="86"/>
      <c r="F5639" s="14"/>
    </row>
    <row r="5640" spans="1:6" x14ac:dyDescent="0.25">
      <c r="A5640" s="86">
        <v>5639</v>
      </c>
      <c r="B5640" s="87">
        <v>42.17059767540195</v>
      </c>
      <c r="C5640" s="14">
        <v>2</v>
      </c>
      <c r="D5640" s="86">
        <v>0.6192106813921614</v>
      </c>
      <c r="E5640" s="86"/>
      <c r="F5640" s="14"/>
    </row>
    <row r="5641" spans="1:6" x14ac:dyDescent="0.25">
      <c r="A5641" s="86">
        <v>5640</v>
      </c>
      <c r="B5641" s="87">
        <v>42.668710870537325</v>
      </c>
      <c r="C5641" s="14">
        <v>5</v>
      </c>
      <c r="D5641" s="86">
        <v>0.36163874404721541</v>
      </c>
      <c r="E5641" s="86"/>
      <c r="F5641" s="14"/>
    </row>
    <row r="5642" spans="1:6" x14ac:dyDescent="0.25">
      <c r="A5642" s="86">
        <v>5641</v>
      </c>
      <c r="B5642" s="87">
        <v>47.748198989545926</v>
      </c>
      <c r="C5642" s="14">
        <v>5</v>
      </c>
      <c r="D5642" s="86">
        <v>0.20867769441207329</v>
      </c>
      <c r="E5642" s="86"/>
      <c r="F5642" s="14"/>
    </row>
    <row r="5643" spans="1:6" x14ac:dyDescent="0.25">
      <c r="A5643" s="86">
        <v>5642</v>
      </c>
      <c r="B5643" s="87">
        <v>47.809191977983573</v>
      </c>
      <c r="C5643" s="14">
        <v>2</v>
      </c>
      <c r="D5643" s="86">
        <v>0.20343069369124667</v>
      </c>
      <c r="E5643" s="86"/>
      <c r="F5643" s="14"/>
    </row>
    <row r="5644" spans="1:6" x14ac:dyDescent="0.25">
      <c r="A5644" s="86">
        <v>5643</v>
      </c>
      <c r="B5644" s="87">
        <v>44.884836819954216</v>
      </c>
      <c r="C5644" s="14">
        <v>5</v>
      </c>
      <c r="D5644" s="86">
        <v>0.49208482260341579</v>
      </c>
      <c r="E5644" s="86"/>
      <c r="F5644" s="14"/>
    </row>
    <row r="5645" spans="1:6" x14ac:dyDescent="0.25">
      <c r="A5645" s="86">
        <v>5644</v>
      </c>
      <c r="B5645" s="87">
        <v>37.533243352634599</v>
      </c>
      <c r="C5645" s="14">
        <v>4</v>
      </c>
      <c r="D5645" s="86">
        <v>3.0580529091028152E-2</v>
      </c>
      <c r="E5645" s="86"/>
      <c r="F5645" s="14"/>
    </row>
    <row r="5646" spans="1:6" x14ac:dyDescent="0.25">
      <c r="A5646" s="86">
        <v>5645</v>
      </c>
      <c r="B5646" s="87">
        <v>37.550591964070918</v>
      </c>
      <c r="C5646" s="14">
        <v>4</v>
      </c>
      <c r="D5646" s="86">
        <v>0.70336774136947422</v>
      </c>
      <c r="E5646" s="86"/>
      <c r="F5646" s="14"/>
    </row>
    <row r="5647" spans="1:6" x14ac:dyDescent="0.25">
      <c r="A5647" s="86">
        <v>5646</v>
      </c>
      <c r="B5647" s="87">
        <v>41.610508100682637</v>
      </c>
      <c r="C5647" s="14">
        <v>2</v>
      </c>
      <c r="D5647" s="86">
        <v>0.12728692776638928</v>
      </c>
      <c r="E5647" s="86"/>
      <c r="F5647" s="14"/>
    </row>
    <row r="5648" spans="1:6" x14ac:dyDescent="0.25">
      <c r="A5648" s="86">
        <v>5647</v>
      </c>
      <c r="B5648" s="87">
        <v>41.199496076267678</v>
      </c>
      <c r="C5648" s="14">
        <v>2</v>
      </c>
      <c r="D5648" s="86">
        <v>4.4428627506940321E-2</v>
      </c>
      <c r="E5648" s="86"/>
      <c r="F5648" s="14"/>
    </row>
    <row r="5649" spans="1:6" x14ac:dyDescent="0.25">
      <c r="A5649" s="86">
        <v>5648</v>
      </c>
      <c r="B5649" s="87">
        <v>40.340574964255211</v>
      </c>
      <c r="C5649" s="14">
        <v>2</v>
      </c>
      <c r="D5649" s="86">
        <v>0.81471539268504067</v>
      </c>
      <c r="E5649" s="86"/>
      <c r="F5649" s="14"/>
    </row>
    <row r="5650" spans="1:6" x14ac:dyDescent="0.25">
      <c r="A5650" s="86">
        <v>5649</v>
      </c>
      <c r="B5650" s="87">
        <v>41.405746737262234</v>
      </c>
      <c r="C5650" s="14">
        <v>2</v>
      </c>
      <c r="D5650" s="86">
        <v>0.37549561343024185</v>
      </c>
      <c r="E5650" s="86"/>
      <c r="F5650" s="14"/>
    </row>
    <row r="5651" spans="1:6" x14ac:dyDescent="0.25">
      <c r="A5651" s="86">
        <v>5650</v>
      </c>
      <c r="B5651" s="87">
        <v>45.504702933947556</v>
      </c>
      <c r="C5651" s="14">
        <v>4</v>
      </c>
      <c r="D5651" s="86">
        <v>0.67699173276349178</v>
      </c>
      <c r="E5651" s="86"/>
      <c r="F5651" s="14"/>
    </row>
    <row r="5652" spans="1:6" x14ac:dyDescent="0.25">
      <c r="A5652" s="86">
        <v>5651</v>
      </c>
      <c r="B5652" s="87">
        <v>50.050448402878828</v>
      </c>
      <c r="C5652" s="14">
        <v>5</v>
      </c>
      <c r="D5652" s="86">
        <v>0.10931276502202569</v>
      </c>
      <c r="E5652" s="86"/>
      <c r="F5652" s="14"/>
    </row>
    <row r="5653" spans="1:6" x14ac:dyDescent="0.25">
      <c r="A5653" s="86">
        <v>5652</v>
      </c>
      <c r="B5653" s="87">
        <v>45.802403287205379</v>
      </c>
      <c r="C5653" s="14">
        <v>4</v>
      </c>
      <c r="D5653" s="86">
        <v>0.2040372684736631</v>
      </c>
      <c r="E5653" s="86"/>
      <c r="F5653" s="14"/>
    </row>
    <row r="5654" spans="1:6" x14ac:dyDescent="0.25">
      <c r="A5654" s="86">
        <v>5653</v>
      </c>
      <c r="B5654" s="87">
        <v>41.080625118745957</v>
      </c>
      <c r="C5654" s="14">
        <v>4</v>
      </c>
      <c r="D5654" s="86">
        <v>0.3764846614677777</v>
      </c>
      <c r="E5654" s="86"/>
      <c r="F5654" s="14"/>
    </row>
    <row r="5655" spans="1:6" x14ac:dyDescent="0.25">
      <c r="A5655" s="86">
        <v>5654</v>
      </c>
      <c r="B5655" s="87">
        <v>43.632604724160046</v>
      </c>
      <c r="C5655" s="14">
        <v>5</v>
      </c>
      <c r="D5655" s="86">
        <v>0.33541389951846601</v>
      </c>
      <c r="E5655" s="86"/>
      <c r="F5655" s="14"/>
    </row>
    <row r="5656" spans="1:6" x14ac:dyDescent="0.25">
      <c r="A5656" s="86">
        <v>5655</v>
      </c>
      <c r="B5656" s="87">
        <v>44.886473910417408</v>
      </c>
      <c r="C5656" s="14">
        <v>5</v>
      </c>
      <c r="D5656" s="86">
        <v>0.74406776071844838</v>
      </c>
      <c r="E5656" s="86"/>
      <c r="F5656" s="14"/>
    </row>
    <row r="5657" spans="1:6" x14ac:dyDescent="0.25">
      <c r="A5657" s="86">
        <v>5656</v>
      </c>
      <c r="B5657" s="87">
        <v>44.965986484719906</v>
      </c>
      <c r="C5657" s="14">
        <v>4</v>
      </c>
      <c r="D5657" s="86">
        <v>0.77490539628804855</v>
      </c>
      <c r="E5657" s="86"/>
      <c r="F5657" s="14"/>
    </row>
    <row r="5658" spans="1:6" x14ac:dyDescent="0.25">
      <c r="A5658" s="86">
        <v>5657</v>
      </c>
      <c r="B5658" s="87">
        <v>36.438177625648677</v>
      </c>
      <c r="C5658" s="14">
        <v>5</v>
      </c>
      <c r="D5658" s="86">
        <v>0.17896901097899687</v>
      </c>
      <c r="E5658" s="86"/>
      <c r="F5658" s="14"/>
    </row>
    <row r="5659" spans="1:6" x14ac:dyDescent="0.25">
      <c r="A5659" s="86">
        <v>5658</v>
      </c>
      <c r="B5659" s="87">
        <v>48.171739303477807</v>
      </c>
      <c r="C5659" s="14">
        <v>3</v>
      </c>
      <c r="D5659" s="86">
        <v>0.3670421225586904</v>
      </c>
      <c r="E5659" s="86"/>
      <c r="F5659" s="14"/>
    </row>
    <row r="5660" spans="1:6" x14ac:dyDescent="0.25">
      <c r="A5660" s="86">
        <v>5659</v>
      </c>
      <c r="B5660" s="87">
        <v>42.612725787301315</v>
      </c>
      <c r="C5660" s="14">
        <v>2</v>
      </c>
      <c r="D5660" s="86">
        <v>0.25267251827942161</v>
      </c>
      <c r="E5660" s="86"/>
      <c r="F5660" s="14"/>
    </row>
    <row r="5661" spans="1:6" x14ac:dyDescent="0.25">
      <c r="A5661" s="86">
        <v>5660</v>
      </c>
      <c r="B5661" s="87">
        <v>36.129949871217832</v>
      </c>
      <c r="C5661" s="14">
        <v>5</v>
      </c>
      <c r="D5661" s="86">
        <v>0.82802023324643848</v>
      </c>
      <c r="E5661" s="86"/>
      <c r="F5661" s="14"/>
    </row>
    <row r="5662" spans="1:6" x14ac:dyDescent="0.25">
      <c r="A5662" s="86">
        <v>5661</v>
      </c>
      <c r="B5662" s="87">
        <v>50.570338311779778</v>
      </c>
      <c r="C5662" s="14">
        <v>4</v>
      </c>
      <c r="D5662" s="86">
        <v>0.26889916909966893</v>
      </c>
      <c r="E5662" s="86"/>
      <c r="F5662" s="14"/>
    </row>
    <row r="5663" spans="1:6" x14ac:dyDescent="0.25">
      <c r="A5663" s="86">
        <v>5662</v>
      </c>
      <c r="B5663" s="87">
        <v>42.134126937860856</v>
      </c>
      <c r="C5663" s="14">
        <v>2</v>
      </c>
      <c r="D5663" s="86">
        <v>0.37404869352363079</v>
      </c>
      <c r="E5663" s="86"/>
      <c r="F5663" s="14"/>
    </row>
    <row r="5664" spans="1:6" x14ac:dyDescent="0.25">
      <c r="A5664" s="86">
        <v>5663</v>
      </c>
      <c r="B5664" s="87">
        <v>49.047014267096529</v>
      </c>
      <c r="C5664" s="14">
        <v>3</v>
      </c>
      <c r="D5664" s="86">
        <v>0.15142953067480303</v>
      </c>
      <c r="E5664" s="86"/>
      <c r="F5664" s="14"/>
    </row>
    <row r="5665" spans="1:6" x14ac:dyDescent="0.25">
      <c r="A5665" s="86">
        <v>5664</v>
      </c>
      <c r="B5665" s="87">
        <v>50.422067938023247</v>
      </c>
      <c r="C5665" s="14">
        <v>2</v>
      </c>
      <c r="D5665" s="86">
        <v>0.47337322768451207</v>
      </c>
      <c r="E5665" s="86"/>
      <c r="F5665" s="14"/>
    </row>
    <row r="5666" spans="1:6" x14ac:dyDescent="0.25">
      <c r="A5666" s="86">
        <v>5665</v>
      </c>
      <c r="B5666" s="87">
        <v>40.862579448337783</v>
      </c>
      <c r="C5666" s="14">
        <v>2</v>
      </c>
      <c r="D5666" s="86">
        <v>2.9454131787314486E-2</v>
      </c>
      <c r="E5666" s="86"/>
      <c r="F5666" s="14"/>
    </row>
    <row r="5667" spans="1:6" x14ac:dyDescent="0.25">
      <c r="A5667" s="86">
        <v>5666</v>
      </c>
      <c r="B5667" s="87">
        <v>45.730189407884609</v>
      </c>
      <c r="C5667" s="14">
        <v>5</v>
      </c>
      <c r="D5667" s="86">
        <v>0.13055161705016838</v>
      </c>
      <c r="E5667" s="86"/>
      <c r="F5667" s="14"/>
    </row>
    <row r="5668" spans="1:6" x14ac:dyDescent="0.25">
      <c r="A5668" s="86">
        <v>5667</v>
      </c>
      <c r="B5668" s="87">
        <v>46.540390025591478</v>
      </c>
      <c r="C5668" s="14">
        <v>5</v>
      </c>
      <c r="D5668" s="86">
        <v>0.85910031672745024</v>
      </c>
      <c r="E5668" s="86"/>
      <c r="F5668" s="14"/>
    </row>
    <row r="5669" spans="1:6" x14ac:dyDescent="0.25">
      <c r="A5669" s="86">
        <v>5668</v>
      </c>
      <c r="B5669" s="87">
        <v>47.604260084306588</v>
      </c>
      <c r="C5669" s="14">
        <v>4</v>
      </c>
      <c r="D5669" s="86">
        <v>3.331691924589042E-3</v>
      </c>
      <c r="E5669" s="86"/>
      <c r="F5669" s="14"/>
    </row>
    <row r="5670" spans="1:6" x14ac:dyDescent="0.25">
      <c r="A5670" s="86">
        <v>5669</v>
      </c>
      <c r="B5670" s="87">
        <v>39.95203314331593</v>
      </c>
      <c r="C5670" s="14">
        <v>3</v>
      </c>
      <c r="D5670" s="86">
        <v>0.18222633525974397</v>
      </c>
      <c r="E5670" s="86"/>
      <c r="F5670" s="14"/>
    </row>
    <row r="5671" spans="1:6" x14ac:dyDescent="0.25">
      <c r="A5671" s="86">
        <v>5670</v>
      </c>
      <c r="B5671" s="87">
        <v>44.895512014016276</v>
      </c>
      <c r="C5671" s="14">
        <v>2</v>
      </c>
      <c r="D5671" s="86">
        <v>0.5813649929024054</v>
      </c>
      <c r="E5671" s="86"/>
      <c r="F5671" s="14"/>
    </row>
    <row r="5672" spans="1:6" x14ac:dyDescent="0.25">
      <c r="A5672" s="86">
        <v>5671</v>
      </c>
      <c r="B5672" s="87">
        <v>52.675386536400765</v>
      </c>
      <c r="C5672" s="14">
        <v>4</v>
      </c>
      <c r="D5672" s="86">
        <v>0.2494946426504856</v>
      </c>
      <c r="E5672" s="86"/>
      <c r="F5672" s="14"/>
    </row>
    <row r="5673" spans="1:6" x14ac:dyDescent="0.25">
      <c r="A5673" s="86">
        <v>5672</v>
      </c>
      <c r="B5673" s="87">
        <v>39.342648955760524</v>
      </c>
      <c r="C5673" s="14">
        <v>4</v>
      </c>
      <c r="D5673" s="86">
        <v>0.22753029077363696</v>
      </c>
      <c r="E5673" s="86"/>
      <c r="F5673" s="14"/>
    </row>
    <row r="5674" spans="1:6" x14ac:dyDescent="0.25">
      <c r="A5674" s="86">
        <v>5673</v>
      </c>
      <c r="B5674" s="87">
        <v>42.224456814772566</v>
      </c>
      <c r="C5674" s="14">
        <v>2</v>
      </c>
      <c r="D5674" s="86">
        <v>0.25094971171140723</v>
      </c>
      <c r="E5674" s="86"/>
      <c r="F5674" s="14"/>
    </row>
    <row r="5675" spans="1:6" x14ac:dyDescent="0.25">
      <c r="A5675" s="86">
        <v>5674</v>
      </c>
      <c r="B5675" s="87">
        <v>40.380587046791334</v>
      </c>
      <c r="C5675" s="14">
        <v>3</v>
      </c>
      <c r="D5675" s="86">
        <v>0.98302966622147614</v>
      </c>
      <c r="E5675" s="86"/>
      <c r="F5675" s="14"/>
    </row>
    <row r="5676" spans="1:6" x14ac:dyDescent="0.25">
      <c r="A5676" s="86">
        <v>5675</v>
      </c>
      <c r="B5676" s="87">
        <v>42.905708136793692</v>
      </c>
      <c r="C5676" s="14">
        <v>1</v>
      </c>
      <c r="D5676" s="86">
        <v>0.29389107913064327</v>
      </c>
      <c r="E5676" s="86"/>
      <c r="F5676" s="14"/>
    </row>
    <row r="5677" spans="1:6" x14ac:dyDescent="0.25">
      <c r="A5677" s="86">
        <v>5676</v>
      </c>
      <c r="B5677" s="87">
        <v>42.086719526530942</v>
      </c>
      <c r="C5677" s="14">
        <v>5</v>
      </c>
      <c r="D5677" s="86">
        <v>0.5808951683241278</v>
      </c>
      <c r="E5677" s="86"/>
      <c r="F5677" s="14"/>
    </row>
    <row r="5678" spans="1:6" x14ac:dyDescent="0.25">
      <c r="A5678" s="86">
        <v>5677</v>
      </c>
      <c r="B5678" s="87">
        <v>34.811978361511137</v>
      </c>
      <c r="C5678" s="14">
        <v>4</v>
      </c>
      <c r="D5678" s="86">
        <v>0.68935795331182281</v>
      </c>
      <c r="E5678" s="86"/>
      <c r="F5678" s="14"/>
    </row>
    <row r="5679" spans="1:6" x14ac:dyDescent="0.25">
      <c r="A5679" s="86">
        <v>5678</v>
      </c>
      <c r="B5679" s="87">
        <v>43.033469405025244</v>
      </c>
      <c r="C5679" s="14">
        <v>5</v>
      </c>
      <c r="D5679" s="86">
        <v>0.23988363209995012</v>
      </c>
      <c r="E5679" s="86"/>
      <c r="F5679" s="14"/>
    </row>
    <row r="5680" spans="1:6" x14ac:dyDescent="0.25">
      <c r="A5680" s="86">
        <v>5679</v>
      </c>
      <c r="B5680" s="87">
        <v>48.436265837488463</v>
      </c>
      <c r="C5680" s="14">
        <v>1</v>
      </c>
      <c r="D5680" s="86">
        <v>0.25367814704141167</v>
      </c>
      <c r="E5680" s="86"/>
      <c r="F5680" s="14"/>
    </row>
    <row r="5681" spans="1:6" x14ac:dyDescent="0.25">
      <c r="A5681" s="86">
        <v>5680</v>
      </c>
      <c r="B5681" s="87">
        <v>36.699702827143483</v>
      </c>
      <c r="C5681" s="14">
        <v>5</v>
      </c>
      <c r="D5681" s="86">
        <v>9.9883320574241541E-2</v>
      </c>
      <c r="E5681" s="86"/>
      <c r="F5681" s="14"/>
    </row>
    <row r="5682" spans="1:6" x14ac:dyDescent="0.25">
      <c r="A5682" s="86">
        <v>5681</v>
      </c>
      <c r="B5682" s="87">
        <v>43.414905798606924</v>
      </c>
      <c r="C5682" s="14">
        <v>5</v>
      </c>
      <c r="D5682" s="86">
        <v>6.6982502666516397E-2</v>
      </c>
      <c r="E5682" s="86"/>
      <c r="F5682" s="14"/>
    </row>
    <row r="5683" spans="1:6" x14ac:dyDescent="0.25">
      <c r="A5683" s="86">
        <v>5682</v>
      </c>
      <c r="B5683" s="87">
        <v>50.71171926317038</v>
      </c>
      <c r="C5683" s="14">
        <v>1</v>
      </c>
      <c r="D5683" s="86">
        <v>1.6688117510416323E-2</v>
      </c>
      <c r="E5683" s="86"/>
      <c r="F5683" s="14"/>
    </row>
    <row r="5684" spans="1:6" x14ac:dyDescent="0.25">
      <c r="A5684" s="86">
        <v>5683</v>
      </c>
      <c r="B5684" s="87">
        <v>45.035596935456851</v>
      </c>
      <c r="C5684" s="14">
        <v>4</v>
      </c>
      <c r="D5684" s="86">
        <v>0.11973919772174235</v>
      </c>
      <c r="E5684" s="86"/>
      <c r="F5684" s="14"/>
    </row>
    <row r="5685" spans="1:6" x14ac:dyDescent="0.25">
      <c r="A5685" s="86">
        <v>5684</v>
      </c>
      <c r="B5685" s="87">
        <v>37.742609032982728</v>
      </c>
      <c r="C5685" s="14">
        <v>5</v>
      </c>
      <c r="D5685" s="86">
        <v>0.81580352741643836</v>
      </c>
      <c r="E5685" s="86"/>
      <c r="F5685" s="14"/>
    </row>
    <row r="5686" spans="1:6" x14ac:dyDescent="0.25">
      <c r="A5686" s="86">
        <v>5685</v>
      </c>
      <c r="B5686" s="87">
        <v>48.771721589553636</v>
      </c>
      <c r="C5686" s="14">
        <v>2</v>
      </c>
      <c r="D5686" s="86">
        <v>0.70669794537740371</v>
      </c>
      <c r="E5686" s="86"/>
      <c r="F5686" s="14"/>
    </row>
    <row r="5687" spans="1:6" x14ac:dyDescent="0.25">
      <c r="A5687" s="86">
        <v>5686</v>
      </c>
      <c r="B5687" s="87">
        <v>38.69882902505924</v>
      </c>
      <c r="C5687" s="14">
        <v>2</v>
      </c>
      <c r="D5687" s="86">
        <v>0.47766731652301642</v>
      </c>
      <c r="E5687" s="86"/>
      <c r="F5687" s="14"/>
    </row>
    <row r="5688" spans="1:6" x14ac:dyDescent="0.25">
      <c r="A5688" s="86">
        <v>5687</v>
      </c>
      <c r="B5688" s="87">
        <v>50.907306098786648</v>
      </c>
      <c r="C5688" s="14">
        <v>4</v>
      </c>
      <c r="D5688" s="86">
        <v>0.72323957282882312</v>
      </c>
      <c r="E5688" s="86"/>
      <c r="F5688" s="14"/>
    </row>
    <row r="5689" spans="1:6" x14ac:dyDescent="0.25">
      <c r="A5689" s="86">
        <v>5688</v>
      </c>
      <c r="B5689" s="87">
        <v>41.786591959287762</v>
      </c>
      <c r="C5689" s="14">
        <v>4</v>
      </c>
      <c r="D5689" s="86">
        <v>0.64638156465530872</v>
      </c>
      <c r="E5689" s="86"/>
      <c r="F5689" s="14"/>
    </row>
    <row r="5690" spans="1:6" x14ac:dyDescent="0.25">
      <c r="A5690" s="86">
        <v>5689</v>
      </c>
      <c r="B5690" s="87">
        <v>50.709218152740505</v>
      </c>
      <c r="C5690" s="14">
        <v>1</v>
      </c>
      <c r="D5690" s="86">
        <v>0.21218064255622926</v>
      </c>
      <c r="E5690" s="86"/>
      <c r="F5690" s="14"/>
    </row>
    <row r="5691" spans="1:6" x14ac:dyDescent="0.25">
      <c r="A5691" s="86">
        <v>5690</v>
      </c>
      <c r="B5691" s="87">
        <v>53.201438271906227</v>
      </c>
      <c r="C5691" s="14">
        <v>4</v>
      </c>
      <c r="D5691" s="86">
        <v>0.50102322777914732</v>
      </c>
      <c r="E5691" s="86"/>
      <c r="F5691" s="14"/>
    </row>
    <row r="5692" spans="1:6" x14ac:dyDescent="0.25">
      <c r="A5692" s="86">
        <v>5691</v>
      </c>
      <c r="B5692" s="87">
        <v>39.423144921209314</v>
      </c>
      <c r="C5692" s="14">
        <v>4</v>
      </c>
      <c r="D5692" s="86">
        <v>0.54127370062685809</v>
      </c>
      <c r="E5692" s="86"/>
      <c r="F5692" s="14"/>
    </row>
    <row r="5693" spans="1:6" x14ac:dyDescent="0.25">
      <c r="A5693" s="86">
        <v>5692</v>
      </c>
      <c r="B5693" s="87">
        <v>49.027198651281651</v>
      </c>
      <c r="C5693" s="14">
        <v>4</v>
      </c>
      <c r="D5693" s="86">
        <v>0.92292599518608665</v>
      </c>
      <c r="E5693" s="86"/>
      <c r="F5693" s="14"/>
    </row>
    <row r="5694" spans="1:6" x14ac:dyDescent="0.25">
      <c r="A5694" s="86">
        <v>5693</v>
      </c>
      <c r="B5694" s="87">
        <v>42.754533064333373</v>
      </c>
      <c r="C5694" s="14">
        <v>5</v>
      </c>
      <c r="D5694" s="86">
        <v>0.19825060488046309</v>
      </c>
      <c r="E5694" s="86"/>
      <c r="F5694" s="14"/>
    </row>
    <row r="5695" spans="1:6" x14ac:dyDescent="0.25">
      <c r="A5695" s="86">
        <v>5694</v>
      </c>
      <c r="B5695" s="87">
        <v>37.830216110131005</v>
      </c>
      <c r="C5695" s="14">
        <v>4</v>
      </c>
      <c r="D5695" s="86">
        <v>0.7258197287828152</v>
      </c>
      <c r="E5695" s="86"/>
      <c r="F5695" s="14"/>
    </row>
    <row r="5696" spans="1:6" x14ac:dyDescent="0.25">
      <c r="A5696" s="86">
        <v>5695</v>
      </c>
      <c r="B5696" s="87">
        <v>34.897061590861995</v>
      </c>
      <c r="C5696" s="14">
        <v>5</v>
      </c>
      <c r="D5696" s="86">
        <v>0.86976985794672179</v>
      </c>
      <c r="E5696" s="86"/>
      <c r="F5696" s="14"/>
    </row>
    <row r="5697" spans="1:6" x14ac:dyDescent="0.25">
      <c r="A5697" s="86">
        <v>5696</v>
      </c>
      <c r="B5697" s="87">
        <v>40.237341631262098</v>
      </c>
      <c r="C5697" s="14">
        <v>5</v>
      </c>
      <c r="D5697" s="86">
        <v>0.59461856346993591</v>
      </c>
      <c r="E5697" s="86"/>
      <c r="F5697" s="14"/>
    </row>
    <row r="5698" spans="1:6" x14ac:dyDescent="0.25">
      <c r="A5698" s="86">
        <v>5697</v>
      </c>
      <c r="B5698" s="87">
        <v>38.836208199762041</v>
      </c>
      <c r="C5698" s="14">
        <v>5</v>
      </c>
      <c r="D5698" s="86">
        <v>0.77569417572209653</v>
      </c>
      <c r="E5698" s="86"/>
      <c r="F5698" s="14"/>
    </row>
    <row r="5699" spans="1:6" x14ac:dyDescent="0.25">
      <c r="A5699" s="86">
        <v>5698</v>
      </c>
      <c r="B5699" s="87">
        <v>45.916362973337527</v>
      </c>
      <c r="C5699" s="14">
        <v>2</v>
      </c>
      <c r="D5699" s="86">
        <v>0.85576368271908188</v>
      </c>
      <c r="E5699" s="86"/>
      <c r="F5699" s="14"/>
    </row>
    <row r="5700" spans="1:6" x14ac:dyDescent="0.25">
      <c r="A5700" s="86">
        <v>5699</v>
      </c>
      <c r="B5700" s="87">
        <v>43.167756297742017</v>
      </c>
      <c r="C5700" s="14">
        <v>2</v>
      </c>
      <c r="D5700" s="86">
        <v>0.53498706418399589</v>
      </c>
      <c r="E5700" s="86"/>
      <c r="F5700" s="14"/>
    </row>
    <row r="5701" spans="1:6" x14ac:dyDescent="0.25">
      <c r="A5701" s="86">
        <v>5700</v>
      </c>
      <c r="B5701" s="87">
        <v>39.912322330899769</v>
      </c>
      <c r="C5701" s="14">
        <v>5</v>
      </c>
      <c r="D5701" s="86">
        <v>0.30469269125619292</v>
      </c>
      <c r="E5701" s="86"/>
      <c r="F5701" s="14"/>
    </row>
    <row r="5702" spans="1:6" x14ac:dyDescent="0.25">
      <c r="A5702" s="86">
        <v>5701</v>
      </c>
      <c r="B5702" s="87">
        <v>43.994691617961507</v>
      </c>
      <c r="C5702" s="14">
        <v>2</v>
      </c>
      <c r="D5702" s="86">
        <v>0.73626107821477926</v>
      </c>
      <c r="E5702" s="86"/>
      <c r="F5702" s="14"/>
    </row>
    <row r="5703" spans="1:6" x14ac:dyDescent="0.25">
      <c r="A5703" s="86">
        <v>5702</v>
      </c>
      <c r="B5703" s="87">
        <v>42.759893398731947</v>
      </c>
      <c r="C5703" s="14">
        <v>5</v>
      </c>
      <c r="D5703" s="86">
        <v>0.36416594023194282</v>
      </c>
      <c r="E5703" s="86"/>
      <c r="F5703" s="14"/>
    </row>
    <row r="5704" spans="1:6" x14ac:dyDescent="0.25">
      <c r="A5704" s="86">
        <v>5703</v>
      </c>
      <c r="B5704" s="87">
        <v>36.451729096705094</v>
      </c>
      <c r="C5704" s="14">
        <v>4</v>
      </c>
      <c r="D5704" s="86">
        <v>0.98760885904083318</v>
      </c>
      <c r="E5704" s="86"/>
      <c r="F5704" s="14"/>
    </row>
    <row r="5705" spans="1:6" x14ac:dyDescent="0.25">
      <c r="A5705" s="86">
        <v>5704</v>
      </c>
      <c r="B5705" s="87">
        <v>40.825216269120574</v>
      </c>
      <c r="C5705" s="14">
        <v>2</v>
      </c>
      <c r="D5705" s="86">
        <v>0.96014634989530534</v>
      </c>
      <c r="E5705" s="86"/>
      <c r="F5705" s="14"/>
    </row>
    <row r="5706" spans="1:6" x14ac:dyDescent="0.25">
      <c r="A5706" s="86">
        <v>5705</v>
      </c>
      <c r="B5706" s="87">
        <v>46.555646799213719</v>
      </c>
      <c r="C5706" s="14">
        <v>1</v>
      </c>
      <c r="D5706" s="86">
        <v>0.82041979127252307</v>
      </c>
      <c r="E5706" s="86"/>
      <c r="F5706" s="14"/>
    </row>
    <row r="5707" spans="1:6" x14ac:dyDescent="0.25">
      <c r="A5707" s="86">
        <v>5706</v>
      </c>
      <c r="B5707" s="87">
        <v>41.971730974517413</v>
      </c>
      <c r="C5707" s="14">
        <v>2</v>
      </c>
      <c r="D5707" s="86">
        <v>8.4052699841780876E-2</v>
      </c>
      <c r="E5707" s="86"/>
      <c r="F5707" s="14"/>
    </row>
    <row r="5708" spans="1:6" x14ac:dyDescent="0.25">
      <c r="A5708" s="86">
        <v>5707</v>
      </c>
      <c r="B5708" s="87">
        <v>32.102707331767306</v>
      </c>
      <c r="C5708" s="14">
        <v>2</v>
      </c>
      <c r="D5708" s="86">
        <v>0.95218549065316749</v>
      </c>
      <c r="E5708" s="86"/>
      <c r="F5708" s="14"/>
    </row>
    <row r="5709" spans="1:6" x14ac:dyDescent="0.25">
      <c r="A5709" s="86">
        <v>5708</v>
      </c>
      <c r="B5709" s="87">
        <v>47.340620307630161</v>
      </c>
      <c r="C5709" s="14">
        <v>1</v>
      </c>
      <c r="D5709" s="86">
        <v>0.79677123005282358</v>
      </c>
      <c r="E5709" s="86"/>
      <c r="F5709" s="14"/>
    </row>
    <row r="5710" spans="1:6" x14ac:dyDescent="0.25">
      <c r="A5710" s="86">
        <v>5709</v>
      </c>
      <c r="B5710" s="87">
        <v>40.913181459807674</v>
      </c>
      <c r="C5710" s="14">
        <v>2</v>
      </c>
      <c r="D5710" s="86">
        <v>0.93894463678806417</v>
      </c>
      <c r="E5710" s="86"/>
      <c r="F5710" s="14"/>
    </row>
    <row r="5711" spans="1:6" x14ac:dyDescent="0.25">
      <c r="A5711" s="86">
        <v>5710</v>
      </c>
      <c r="B5711" s="87">
        <v>43.797615484771086</v>
      </c>
      <c r="C5711" s="14">
        <v>4</v>
      </c>
      <c r="D5711" s="86">
        <v>0.10779286739760174</v>
      </c>
      <c r="E5711" s="86"/>
      <c r="F5711" s="14"/>
    </row>
    <row r="5712" spans="1:6" x14ac:dyDescent="0.25">
      <c r="A5712" s="86">
        <v>5711</v>
      </c>
      <c r="B5712" s="87">
        <v>40.392421846598154</v>
      </c>
      <c r="C5712" s="14">
        <v>2</v>
      </c>
      <c r="D5712" s="86">
        <v>0.4913647584832509</v>
      </c>
      <c r="E5712" s="86"/>
      <c r="F5712" s="14"/>
    </row>
    <row r="5713" spans="1:6" x14ac:dyDescent="0.25">
      <c r="A5713" s="86">
        <v>5712</v>
      </c>
      <c r="B5713" s="87">
        <v>46.349316557432758</v>
      </c>
      <c r="C5713" s="14">
        <v>2</v>
      </c>
      <c r="D5713" s="86">
        <v>0.49354215749377772</v>
      </c>
      <c r="E5713" s="86"/>
      <c r="F5713" s="14"/>
    </row>
    <row r="5714" spans="1:6" x14ac:dyDescent="0.25">
      <c r="A5714" s="86">
        <v>5713</v>
      </c>
      <c r="B5714" s="87">
        <v>39.226193843540386</v>
      </c>
      <c r="C5714" s="14">
        <v>4</v>
      </c>
      <c r="D5714" s="86">
        <v>0.53150995464857809</v>
      </c>
      <c r="E5714" s="86"/>
      <c r="F5714" s="14"/>
    </row>
    <row r="5715" spans="1:6" x14ac:dyDescent="0.25">
      <c r="A5715" s="86">
        <v>5714</v>
      </c>
      <c r="B5715" s="87">
        <v>42.202771050477168</v>
      </c>
      <c r="C5715" s="14">
        <v>5</v>
      </c>
      <c r="D5715" s="86">
        <v>0.40448947528158141</v>
      </c>
      <c r="E5715" s="86"/>
      <c r="F5715" s="14"/>
    </row>
    <row r="5716" spans="1:6" x14ac:dyDescent="0.25">
      <c r="A5716" s="86">
        <v>5715</v>
      </c>
      <c r="B5716" s="87">
        <v>35.983498486864846</v>
      </c>
      <c r="C5716" s="14">
        <v>4</v>
      </c>
      <c r="D5716" s="86">
        <v>0.80793352827346776</v>
      </c>
      <c r="E5716" s="86"/>
      <c r="F5716" s="14"/>
    </row>
    <row r="5717" spans="1:6" x14ac:dyDescent="0.25">
      <c r="A5717" s="86">
        <v>5716</v>
      </c>
      <c r="B5717" s="87">
        <v>38.922155449079582</v>
      </c>
      <c r="C5717" s="14">
        <v>2</v>
      </c>
      <c r="D5717" s="86">
        <v>0.48169513741258929</v>
      </c>
      <c r="E5717" s="86"/>
      <c r="F5717" s="14"/>
    </row>
    <row r="5718" spans="1:6" x14ac:dyDescent="0.25">
      <c r="A5718" s="86">
        <v>5717</v>
      </c>
      <c r="B5718" s="87">
        <v>42.697837438361603</v>
      </c>
      <c r="C5718" s="14">
        <v>5</v>
      </c>
      <c r="D5718" s="86">
        <v>0.18923660775612738</v>
      </c>
      <c r="E5718" s="86"/>
      <c r="F5718" s="14"/>
    </row>
    <row r="5719" spans="1:6" x14ac:dyDescent="0.25">
      <c r="A5719" s="86">
        <v>5718</v>
      </c>
      <c r="B5719" s="87">
        <v>46.367529188835761</v>
      </c>
      <c r="C5719" s="14">
        <v>4</v>
      </c>
      <c r="D5719" s="86">
        <v>0.37463276009267166</v>
      </c>
      <c r="E5719" s="86"/>
      <c r="F5719" s="14"/>
    </row>
    <row r="5720" spans="1:6" x14ac:dyDescent="0.25">
      <c r="A5720" s="86">
        <v>5719</v>
      </c>
      <c r="B5720" s="87">
        <v>36.699702827143483</v>
      </c>
      <c r="C5720" s="14">
        <v>4</v>
      </c>
      <c r="D5720" s="86">
        <v>0.61560974875736296</v>
      </c>
      <c r="E5720" s="86"/>
      <c r="F5720" s="14"/>
    </row>
    <row r="5721" spans="1:6" x14ac:dyDescent="0.25">
      <c r="A5721" s="86">
        <v>5720</v>
      </c>
      <c r="B5721" s="87">
        <v>46.763642553167301</v>
      </c>
      <c r="C5721" s="14">
        <v>5</v>
      </c>
      <c r="D5721" s="86">
        <v>0.26250830458246188</v>
      </c>
      <c r="E5721" s="86"/>
      <c r="F5721" s="14"/>
    </row>
    <row r="5722" spans="1:6" x14ac:dyDescent="0.25">
      <c r="A5722" s="86">
        <v>5721</v>
      </c>
      <c r="B5722" s="87">
        <v>40.188194811315043</v>
      </c>
      <c r="C5722" s="14">
        <v>2</v>
      </c>
      <c r="D5722" s="86">
        <v>0.43548425658283041</v>
      </c>
      <c r="E5722" s="86"/>
      <c r="F5722" s="14"/>
    </row>
    <row r="5723" spans="1:6" x14ac:dyDescent="0.25">
      <c r="A5723" s="86">
        <v>5722</v>
      </c>
      <c r="B5723" s="87">
        <v>43.135992195282597</v>
      </c>
      <c r="C5723" s="14">
        <v>1</v>
      </c>
      <c r="D5723" s="86">
        <v>0.87423239411063203</v>
      </c>
      <c r="E5723" s="86"/>
      <c r="F5723" s="14"/>
    </row>
    <row r="5724" spans="1:6" x14ac:dyDescent="0.25">
      <c r="A5724" s="86">
        <v>5723</v>
      </c>
      <c r="B5724" s="87">
        <v>34.877075444790535</v>
      </c>
      <c r="C5724" s="14">
        <v>4</v>
      </c>
      <c r="D5724" s="86">
        <v>4.6474028117202693E-3</v>
      </c>
      <c r="E5724" s="86"/>
      <c r="F5724" s="14"/>
    </row>
    <row r="5725" spans="1:6" x14ac:dyDescent="0.25">
      <c r="A5725" s="86">
        <v>5724</v>
      </c>
      <c r="B5725" s="87">
        <v>47.046989943162771</v>
      </c>
      <c r="C5725" s="14">
        <v>3</v>
      </c>
      <c r="D5725" s="86">
        <v>0.32376791341760114</v>
      </c>
      <c r="E5725" s="86"/>
      <c r="F5725" s="14"/>
    </row>
    <row r="5726" spans="1:6" x14ac:dyDescent="0.25">
      <c r="A5726" s="86">
        <v>5725</v>
      </c>
      <c r="B5726" s="87">
        <v>53.550320439506322</v>
      </c>
      <c r="C5726" s="14">
        <v>5</v>
      </c>
      <c r="D5726" s="86">
        <v>0.84152026594938401</v>
      </c>
      <c r="E5726" s="86"/>
      <c r="F5726" s="14"/>
    </row>
    <row r="5727" spans="1:6" x14ac:dyDescent="0.25">
      <c r="A5727" s="86">
        <v>5726</v>
      </c>
      <c r="B5727" s="87">
        <v>38.738562574842945</v>
      </c>
      <c r="C5727" s="14">
        <v>2</v>
      </c>
      <c r="D5727" s="86">
        <v>6.8374804888641116E-2</v>
      </c>
      <c r="E5727" s="86"/>
      <c r="F5727" s="14"/>
    </row>
    <row r="5728" spans="1:6" x14ac:dyDescent="0.25">
      <c r="A5728" s="86">
        <v>5727</v>
      </c>
      <c r="B5728" s="87">
        <v>44.86145143743488</v>
      </c>
      <c r="C5728" s="14">
        <v>2</v>
      </c>
      <c r="D5728" s="86">
        <v>0.65512067522469475</v>
      </c>
      <c r="E5728" s="86"/>
      <c r="F5728" s="14"/>
    </row>
    <row r="5729" spans="1:6" x14ac:dyDescent="0.25">
      <c r="A5729" s="86">
        <v>5728</v>
      </c>
      <c r="B5729" s="87">
        <v>37.700533534341957</v>
      </c>
      <c r="C5729" s="14">
        <v>5</v>
      </c>
      <c r="D5729" s="86">
        <v>0.67907486849493937</v>
      </c>
      <c r="E5729" s="86"/>
      <c r="F5729" s="14"/>
    </row>
    <row r="5730" spans="1:6" x14ac:dyDescent="0.25">
      <c r="A5730" s="86">
        <v>5729</v>
      </c>
      <c r="B5730" s="87">
        <v>39.766121057589771</v>
      </c>
      <c r="C5730" s="14">
        <v>2</v>
      </c>
      <c r="D5730" s="86">
        <v>0.65161571184504041</v>
      </c>
      <c r="E5730" s="86"/>
      <c r="F5730" s="14"/>
    </row>
    <row r="5731" spans="1:6" x14ac:dyDescent="0.25">
      <c r="A5731" s="86">
        <v>5730</v>
      </c>
      <c r="B5731" s="87">
        <v>37.731956576288212</v>
      </c>
      <c r="C5731" s="14">
        <v>2</v>
      </c>
      <c r="D5731" s="86">
        <v>0.81252649654938258</v>
      </c>
      <c r="E5731" s="86"/>
      <c r="F5731" s="14"/>
    </row>
    <row r="5732" spans="1:6" x14ac:dyDescent="0.25">
      <c r="A5732" s="86">
        <v>5731</v>
      </c>
      <c r="B5732" s="87">
        <v>36.32521838368848</v>
      </c>
      <c r="C5732" s="14">
        <v>4</v>
      </c>
      <c r="D5732" s="86">
        <v>0.40836378334030776</v>
      </c>
      <c r="E5732" s="86"/>
      <c r="F5732" s="14"/>
    </row>
    <row r="5733" spans="1:6" x14ac:dyDescent="0.25">
      <c r="A5733" s="86">
        <v>5732</v>
      </c>
      <c r="B5733" s="87">
        <v>34.672893884242512</v>
      </c>
      <c r="C5733" s="14">
        <v>2</v>
      </c>
      <c r="D5733" s="86">
        <v>0.76007858622212088</v>
      </c>
      <c r="E5733" s="86"/>
      <c r="F5733" s="14"/>
    </row>
    <row r="5734" spans="1:6" x14ac:dyDescent="0.25">
      <c r="A5734" s="86">
        <v>5733</v>
      </c>
      <c r="B5734" s="87">
        <v>42.615795331919799</v>
      </c>
      <c r="C5734" s="14">
        <v>4</v>
      </c>
      <c r="D5734" s="86">
        <v>0.46009798318856809</v>
      </c>
      <c r="E5734" s="86"/>
      <c r="F5734" s="14"/>
    </row>
    <row r="5735" spans="1:6" x14ac:dyDescent="0.25">
      <c r="A5735" s="86">
        <v>5734</v>
      </c>
      <c r="B5735" s="87">
        <v>47.683749921241542</v>
      </c>
      <c r="C5735" s="14">
        <v>4</v>
      </c>
      <c r="D5735" s="86">
        <v>0.92587528717432332</v>
      </c>
      <c r="E5735" s="86"/>
      <c r="F5735" s="14"/>
    </row>
    <row r="5736" spans="1:6" x14ac:dyDescent="0.25">
      <c r="A5736" s="86">
        <v>5735</v>
      </c>
      <c r="B5736" s="87">
        <v>49.493655746453442</v>
      </c>
      <c r="C5736" s="14">
        <v>5</v>
      </c>
      <c r="D5736" s="86">
        <v>0.37152898258973199</v>
      </c>
      <c r="E5736" s="86"/>
      <c r="F5736" s="14"/>
    </row>
    <row r="5737" spans="1:6" x14ac:dyDescent="0.25">
      <c r="A5737" s="86">
        <v>5736</v>
      </c>
      <c r="B5737" s="87">
        <v>45.780944896585424</v>
      </c>
      <c r="C5737" s="14">
        <v>4</v>
      </c>
      <c r="D5737" s="86">
        <v>0.44029293788171164</v>
      </c>
      <c r="E5737" s="86"/>
      <c r="F5737" s="14"/>
    </row>
    <row r="5738" spans="1:6" x14ac:dyDescent="0.25">
      <c r="A5738" s="86">
        <v>5737</v>
      </c>
      <c r="B5738" s="87">
        <v>39.340147845330648</v>
      </c>
      <c r="C5738" s="14">
        <v>1</v>
      </c>
      <c r="D5738" s="86">
        <v>0.63579141523389215</v>
      </c>
      <c r="E5738" s="86"/>
      <c r="F5738" s="14"/>
    </row>
    <row r="5739" spans="1:6" x14ac:dyDescent="0.25">
      <c r="A5739" s="86">
        <v>5738</v>
      </c>
      <c r="B5739" s="87">
        <v>37.496238286956213</v>
      </c>
      <c r="C5739" s="14">
        <v>4</v>
      </c>
      <c r="D5739" s="86">
        <v>0.23749913255039146</v>
      </c>
      <c r="E5739" s="86"/>
      <c r="F5739" s="14"/>
    </row>
    <row r="5740" spans="1:6" x14ac:dyDescent="0.25">
      <c r="A5740" s="86">
        <v>5739</v>
      </c>
      <c r="B5740" s="87">
        <v>44.500757207395509</v>
      </c>
      <c r="C5740" s="14">
        <v>1</v>
      </c>
      <c r="D5740" s="86">
        <v>0.79358250104705441</v>
      </c>
      <c r="E5740" s="86"/>
      <c r="F5740" s="14"/>
    </row>
    <row r="5741" spans="1:6" x14ac:dyDescent="0.25">
      <c r="A5741" s="86">
        <v>5740</v>
      </c>
      <c r="B5741" s="87">
        <v>40.560132669605082</v>
      </c>
      <c r="C5741" s="14">
        <v>5</v>
      </c>
      <c r="D5741" s="86">
        <v>0.94111841063187041</v>
      </c>
      <c r="E5741" s="86"/>
      <c r="F5741" s="14"/>
    </row>
    <row r="5742" spans="1:6" x14ac:dyDescent="0.25">
      <c r="A5742" s="86">
        <v>5741</v>
      </c>
      <c r="B5742" s="87">
        <v>37.621396126603941</v>
      </c>
      <c r="C5742" s="14">
        <v>2</v>
      </c>
      <c r="D5742" s="86">
        <v>0.23512268437262085</v>
      </c>
      <c r="E5742" s="86"/>
      <c r="F5742" s="14"/>
    </row>
    <row r="5743" spans="1:6" x14ac:dyDescent="0.25">
      <c r="A5743" s="86">
        <v>5742</v>
      </c>
      <c r="B5743" s="87">
        <v>41.734529071953148</v>
      </c>
      <c r="C5743" s="14">
        <v>4</v>
      </c>
      <c r="D5743" s="86">
        <v>0.23201026408113512</v>
      </c>
      <c r="E5743" s="86"/>
      <c r="F5743" s="14"/>
    </row>
    <row r="5744" spans="1:6" x14ac:dyDescent="0.25">
      <c r="A5744" s="86">
        <v>5743</v>
      </c>
      <c r="B5744" s="87">
        <v>42.317242327379063</v>
      </c>
      <c r="C5744" s="14">
        <v>4</v>
      </c>
      <c r="D5744" s="86">
        <v>0.70196997338735112</v>
      </c>
      <c r="E5744" s="86"/>
      <c r="F5744" s="14"/>
    </row>
    <row r="5745" spans="1:6" x14ac:dyDescent="0.25">
      <c r="A5745" s="86">
        <v>5744</v>
      </c>
      <c r="B5745" s="87">
        <v>38.384621342964238</v>
      </c>
      <c r="C5745" s="14">
        <v>2</v>
      </c>
      <c r="D5745" s="86">
        <v>0.16832883869411808</v>
      </c>
      <c r="E5745" s="86"/>
      <c r="F5745" s="14"/>
    </row>
    <row r="5746" spans="1:6" x14ac:dyDescent="0.25">
      <c r="A5746" s="86">
        <v>5745</v>
      </c>
      <c r="B5746" s="87">
        <v>48.441097528091632</v>
      </c>
      <c r="C5746" s="14">
        <v>2</v>
      </c>
      <c r="D5746" s="86">
        <v>0.12610723990772466</v>
      </c>
      <c r="E5746" s="86"/>
      <c r="F5746" s="14"/>
    </row>
    <row r="5747" spans="1:6" x14ac:dyDescent="0.25">
      <c r="A5747" s="86">
        <v>5746</v>
      </c>
      <c r="B5747" s="87">
        <v>38.883092651638435</v>
      </c>
      <c r="C5747" s="14">
        <v>2</v>
      </c>
      <c r="D5747" s="86">
        <v>0.27032571175015974</v>
      </c>
      <c r="E5747" s="86"/>
      <c r="F5747" s="14"/>
    </row>
    <row r="5748" spans="1:6" x14ac:dyDescent="0.25">
      <c r="A5748" s="86">
        <v>5747</v>
      </c>
      <c r="B5748" s="87">
        <v>41.487231778199202</v>
      </c>
      <c r="C5748" s="14">
        <v>4</v>
      </c>
      <c r="D5748" s="86">
        <v>0.98324397480758763</v>
      </c>
      <c r="E5748" s="86"/>
      <c r="F5748" s="14"/>
    </row>
    <row r="5749" spans="1:6" x14ac:dyDescent="0.25">
      <c r="A5749" s="86">
        <v>5748</v>
      </c>
      <c r="B5749" s="87">
        <v>43.808074673841475</v>
      </c>
      <c r="C5749" s="14">
        <v>4</v>
      </c>
      <c r="D5749" s="86">
        <v>5.7746701151169644E-2</v>
      </c>
      <c r="E5749" s="86"/>
      <c r="F5749" s="14"/>
    </row>
    <row r="5750" spans="1:6" x14ac:dyDescent="0.25">
      <c r="A5750" s="86">
        <v>5749</v>
      </c>
      <c r="B5750" s="87">
        <v>41.645461118940148</v>
      </c>
      <c r="C5750" s="14">
        <v>4</v>
      </c>
      <c r="D5750" s="86">
        <v>0.78467137024190048</v>
      </c>
      <c r="E5750" s="86"/>
      <c r="F5750" s="14"/>
    </row>
    <row r="5751" spans="1:6" x14ac:dyDescent="0.25">
      <c r="A5751" s="86">
        <v>5750</v>
      </c>
      <c r="B5751" s="87">
        <v>46.179843588441145</v>
      </c>
      <c r="C5751" s="14">
        <v>4</v>
      </c>
      <c r="D5751" s="86">
        <v>0.59890269586908795</v>
      </c>
      <c r="E5751" s="86"/>
      <c r="F5751" s="14"/>
    </row>
    <row r="5752" spans="1:6" x14ac:dyDescent="0.25">
      <c r="A5752" s="86">
        <v>5751</v>
      </c>
      <c r="B5752" s="87">
        <v>47.41129941464169</v>
      </c>
      <c r="C5752" s="14">
        <v>4</v>
      </c>
      <c r="D5752" s="86">
        <v>0.93081151171253274</v>
      </c>
      <c r="E5752" s="86"/>
      <c r="F5752" s="14"/>
    </row>
    <row r="5753" spans="1:6" x14ac:dyDescent="0.25">
      <c r="A5753" s="86">
        <v>5752</v>
      </c>
      <c r="B5753" s="87">
        <v>52.22404979064595</v>
      </c>
      <c r="C5753" s="14">
        <v>5</v>
      </c>
      <c r="D5753" s="86">
        <v>0.75272710464266612</v>
      </c>
      <c r="E5753" s="86"/>
      <c r="F5753" s="14"/>
    </row>
    <row r="5754" spans="1:6" x14ac:dyDescent="0.25">
      <c r="A5754" s="86">
        <v>5753</v>
      </c>
      <c r="B5754" s="87">
        <v>46.813590865320293</v>
      </c>
      <c r="C5754" s="14">
        <v>4</v>
      </c>
      <c r="D5754" s="86">
        <v>0.45301358623427956</v>
      </c>
      <c r="E5754" s="86"/>
      <c r="F5754" s="14"/>
    </row>
    <row r="5755" spans="1:6" x14ac:dyDescent="0.25">
      <c r="A5755" s="86">
        <v>5754</v>
      </c>
      <c r="B5755" s="87">
        <v>46.915170054824557</v>
      </c>
      <c r="C5755" s="14">
        <v>4</v>
      </c>
      <c r="D5755" s="86">
        <v>0.56946475947768327</v>
      </c>
      <c r="E5755" s="86"/>
      <c r="F5755" s="14"/>
    </row>
    <row r="5756" spans="1:6" x14ac:dyDescent="0.25">
      <c r="A5756" s="86">
        <v>5755</v>
      </c>
      <c r="B5756" s="87">
        <v>37.743268416641513</v>
      </c>
      <c r="C5756" s="14">
        <v>4</v>
      </c>
      <c r="D5756" s="86">
        <v>0.57491988095173785</v>
      </c>
      <c r="E5756" s="86"/>
      <c r="F5756" s="14"/>
    </row>
    <row r="5757" spans="1:6" x14ac:dyDescent="0.25">
      <c r="A5757" s="86">
        <v>5756</v>
      </c>
      <c r="B5757" s="87">
        <v>41.091323050175561</v>
      </c>
      <c r="C5757" s="14">
        <v>4</v>
      </c>
      <c r="D5757" s="86">
        <v>0.28026305821217334</v>
      </c>
      <c r="E5757" s="86"/>
      <c r="F5757" s="14"/>
    </row>
    <row r="5758" spans="1:6" x14ac:dyDescent="0.25">
      <c r="A5758" s="86">
        <v>5757</v>
      </c>
      <c r="B5758" s="87">
        <v>33.964352036826313</v>
      </c>
      <c r="C5758" s="14">
        <v>1</v>
      </c>
      <c r="D5758" s="86">
        <v>0.21525467925486275</v>
      </c>
      <c r="E5758" s="86"/>
      <c r="F5758" s="14"/>
    </row>
    <row r="5759" spans="1:6" x14ac:dyDescent="0.25">
      <c r="A5759" s="86">
        <v>5758</v>
      </c>
      <c r="B5759" s="87">
        <v>34.168169799493626</v>
      </c>
      <c r="C5759" s="14">
        <v>4</v>
      </c>
      <c r="D5759" s="86">
        <v>0.73876022717793177</v>
      </c>
      <c r="E5759" s="86"/>
      <c r="F5759" s="14"/>
    </row>
    <row r="5760" spans="1:6" x14ac:dyDescent="0.25">
      <c r="A5760" s="86">
        <v>5759</v>
      </c>
      <c r="B5760" s="87">
        <v>43.131018396132276</v>
      </c>
      <c r="C5760" s="14">
        <v>1</v>
      </c>
      <c r="D5760" s="86">
        <v>0.5135716363645586</v>
      </c>
      <c r="E5760" s="86"/>
      <c r="F5760" s="14"/>
    </row>
    <row r="5761" spans="1:6" x14ac:dyDescent="0.25">
      <c r="A5761" s="86">
        <v>5760</v>
      </c>
      <c r="B5761" s="87">
        <v>38.901850979862502</v>
      </c>
      <c r="C5761" s="14">
        <v>1</v>
      </c>
      <c r="D5761" s="86">
        <v>0.89561123837189804</v>
      </c>
      <c r="E5761" s="86"/>
      <c r="F5761" s="14"/>
    </row>
    <row r="5762" spans="1:6" x14ac:dyDescent="0.25">
      <c r="A5762" s="86">
        <v>5761</v>
      </c>
      <c r="B5762" s="87">
        <v>44.491162038291804</v>
      </c>
      <c r="C5762" s="14">
        <v>2</v>
      </c>
      <c r="D5762" s="86">
        <v>0.28606203060979174</v>
      </c>
      <c r="E5762" s="86"/>
      <c r="F5762" s="14"/>
    </row>
    <row r="5763" spans="1:6" x14ac:dyDescent="0.25">
      <c r="A5763" s="86">
        <v>5762</v>
      </c>
      <c r="B5763" s="87">
        <v>49.258221674215747</v>
      </c>
      <c r="C5763" s="14">
        <v>2</v>
      </c>
      <c r="D5763" s="86">
        <v>0.26594068952971384</v>
      </c>
      <c r="E5763" s="86"/>
      <c r="F5763" s="14"/>
    </row>
    <row r="5764" spans="1:6" x14ac:dyDescent="0.25">
      <c r="A5764" s="86">
        <v>5763</v>
      </c>
      <c r="B5764" s="87">
        <v>32.147545420564711</v>
      </c>
      <c r="C5764" s="14">
        <v>2</v>
      </c>
      <c r="D5764" s="86">
        <v>3.0282392283728421E-2</v>
      </c>
      <c r="E5764" s="86"/>
      <c r="F5764" s="14"/>
    </row>
    <row r="5765" spans="1:6" x14ac:dyDescent="0.25">
      <c r="A5765" s="86">
        <v>5764</v>
      </c>
      <c r="B5765" s="87">
        <v>48.069637154520024</v>
      </c>
      <c r="C5765" s="14">
        <v>4</v>
      </c>
      <c r="D5765" s="86">
        <v>0.34614026389333019</v>
      </c>
      <c r="E5765" s="86"/>
      <c r="F5765" s="14"/>
    </row>
    <row r="5766" spans="1:6" x14ac:dyDescent="0.25">
      <c r="A5766" s="86">
        <v>5765</v>
      </c>
      <c r="B5766" s="87">
        <v>37.557515492488164</v>
      </c>
      <c r="C5766" s="14">
        <v>2</v>
      </c>
      <c r="D5766" s="86">
        <v>0.62059256970298471</v>
      </c>
      <c r="E5766" s="86"/>
      <c r="F5766" s="14"/>
    </row>
    <row r="5767" spans="1:6" x14ac:dyDescent="0.25">
      <c r="A5767" s="86">
        <v>5766</v>
      </c>
      <c r="B5767" s="87">
        <v>41.007126578158932</v>
      </c>
      <c r="C5767" s="14">
        <v>5</v>
      </c>
      <c r="D5767" s="86">
        <v>0.98794564332395429</v>
      </c>
      <c r="E5767" s="86"/>
      <c r="F5767" s="14"/>
    </row>
    <row r="5768" spans="1:6" x14ac:dyDescent="0.25">
      <c r="A5768" s="86">
        <v>5767</v>
      </c>
      <c r="B5768" s="87">
        <v>45.019407929765293</v>
      </c>
      <c r="C5768" s="14">
        <v>4</v>
      </c>
      <c r="D5768" s="86">
        <v>9.338473097131883E-2</v>
      </c>
      <c r="E5768" s="86"/>
      <c r="F5768" s="14"/>
    </row>
    <row r="5769" spans="1:6" x14ac:dyDescent="0.25">
      <c r="A5769" s="86">
        <v>5768</v>
      </c>
      <c r="B5769" s="87">
        <v>47.966477717971429</v>
      </c>
      <c r="C5769" s="14">
        <v>4</v>
      </c>
      <c r="D5769" s="86">
        <v>0.49024061892559612</v>
      </c>
      <c r="E5769" s="86"/>
      <c r="F5769" s="14"/>
    </row>
    <row r="5770" spans="1:6" x14ac:dyDescent="0.25">
      <c r="A5770" s="86">
        <v>5769</v>
      </c>
      <c r="B5770" s="87">
        <v>45.483045591361588</v>
      </c>
      <c r="C5770" s="14">
        <v>5</v>
      </c>
      <c r="D5770" s="86">
        <v>0.27506692251416909</v>
      </c>
      <c r="E5770" s="86"/>
      <c r="F5770" s="14"/>
    </row>
    <row r="5771" spans="1:6" x14ac:dyDescent="0.25">
      <c r="A5771" s="86">
        <v>5770</v>
      </c>
      <c r="B5771" s="87">
        <v>38.438815858506132</v>
      </c>
      <c r="C5771" s="14">
        <v>4</v>
      </c>
      <c r="D5771" s="86">
        <v>0.94245993788455973</v>
      </c>
      <c r="E5771" s="86"/>
      <c r="F5771" s="14"/>
    </row>
    <row r="5772" spans="1:6" x14ac:dyDescent="0.25">
      <c r="A5772" s="86">
        <v>5771</v>
      </c>
      <c r="B5772" s="87">
        <v>41.250825683498988</v>
      </c>
      <c r="C5772" s="14">
        <v>2</v>
      </c>
      <c r="D5772" s="86">
        <v>0.69776814614121407</v>
      </c>
      <c r="E5772" s="86"/>
      <c r="F5772" s="14"/>
    </row>
    <row r="5773" spans="1:6" x14ac:dyDescent="0.25">
      <c r="A5773" s="86">
        <v>5772</v>
      </c>
      <c r="B5773" s="87">
        <v>31.648869475582615</v>
      </c>
      <c r="C5773" s="14">
        <v>4</v>
      </c>
      <c r="D5773" s="86">
        <v>0.34181085203819483</v>
      </c>
      <c r="E5773" s="86"/>
      <c r="F5773" s="14"/>
    </row>
    <row r="5774" spans="1:6" x14ac:dyDescent="0.25">
      <c r="A5774" s="86">
        <v>5773</v>
      </c>
      <c r="B5774" s="87">
        <v>43.080518702816335</v>
      </c>
      <c r="C5774" s="14">
        <v>2</v>
      </c>
      <c r="D5774" s="86">
        <v>0.17657353260375908</v>
      </c>
      <c r="E5774" s="86"/>
      <c r="F5774" s="14"/>
    </row>
    <row r="5775" spans="1:6" x14ac:dyDescent="0.25">
      <c r="A5775" s="86">
        <v>5774</v>
      </c>
      <c r="B5775" s="87">
        <v>37.161498761968687</v>
      </c>
      <c r="C5775" s="14">
        <v>2</v>
      </c>
      <c r="D5775" s="86">
        <v>0.89575667264311554</v>
      </c>
      <c r="E5775" s="86"/>
      <c r="F5775" s="14"/>
    </row>
    <row r="5776" spans="1:6" x14ac:dyDescent="0.25">
      <c r="A5776" s="86">
        <v>5775</v>
      </c>
      <c r="B5776" s="87">
        <v>39.132982005292433</v>
      </c>
      <c r="C5776" s="14">
        <v>2</v>
      </c>
      <c r="D5776" s="86">
        <v>0.11615902926842003</v>
      </c>
      <c r="E5776" s="86"/>
      <c r="F5776" s="14"/>
    </row>
    <row r="5777" spans="1:6" x14ac:dyDescent="0.25">
      <c r="A5777" s="86">
        <v>5776</v>
      </c>
      <c r="B5777" s="87">
        <v>48.633910404867493</v>
      </c>
      <c r="C5777" s="14">
        <v>2</v>
      </c>
      <c r="D5777" s="86">
        <v>1.4746525255746157E-2</v>
      </c>
      <c r="E5777" s="86"/>
      <c r="F5777" s="14"/>
    </row>
    <row r="5778" spans="1:6" x14ac:dyDescent="0.25">
      <c r="A5778" s="86">
        <v>5777</v>
      </c>
      <c r="B5778" s="87">
        <v>39.773192378896056</v>
      </c>
      <c r="C5778" s="14">
        <v>4</v>
      </c>
      <c r="D5778" s="86">
        <v>0.6029874345623909</v>
      </c>
      <c r="E5778" s="86"/>
      <c r="F5778" s="14"/>
    </row>
    <row r="5779" spans="1:6" x14ac:dyDescent="0.25">
      <c r="A5779" s="86">
        <v>5778</v>
      </c>
      <c r="B5779" s="87">
        <v>34.46855316212168</v>
      </c>
      <c r="C5779" s="14">
        <v>4</v>
      </c>
      <c r="D5779" s="86">
        <v>2.0877966636497769E-3</v>
      </c>
      <c r="E5779" s="86"/>
      <c r="F5779" s="14"/>
    </row>
    <row r="5780" spans="1:6" x14ac:dyDescent="0.25">
      <c r="A5780" s="86">
        <v>5779</v>
      </c>
      <c r="B5780" s="87">
        <v>41.866803707642248</v>
      </c>
      <c r="C5780" s="14">
        <v>1</v>
      </c>
      <c r="D5780" s="86">
        <v>0.15996806924436646</v>
      </c>
      <c r="E5780" s="86"/>
      <c r="F5780" s="14"/>
    </row>
    <row r="5781" spans="1:6" x14ac:dyDescent="0.25">
      <c r="A5781" s="86">
        <v>5780</v>
      </c>
      <c r="B5781" s="87">
        <v>49.938512342458125</v>
      </c>
      <c r="C5781" s="14">
        <v>4</v>
      </c>
      <c r="D5781" s="86">
        <v>0.20617767394340603</v>
      </c>
      <c r="E5781" s="86"/>
      <c r="F5781" s="14"/>
    </row>
    <row r="5782" spans="1:6" x14ac:dyDescent="0.25">
      <c r="A5782" s="86">
        <v>5781</v>
      </c>
      <c r="B5782" s="87">
        <v>46.802347237069625</v>
      </c>
      <c r="C5782" s="14">
        <v>2</v>
      </c>
      <c r="D5782" s="86">
        <v>0.93352133943346749</v>
      </c>
      <c r="E5782" s="86"/>
      <c r="F5782" s="14"/>
    </row>
    <row r="5783" spans="1:6" x14ac:dyDescent="0.25">
      <c r="A5783" s="86">
        <v>5782</v>
      </c>
      <c r="B5783" s="87">
        <v>51.90186129254289</v>
      </c>
      <c r="C5783" s="14">
        <v>2</v>
      </c>
      <c r="D5783" s="86">
        <v>0.28658075265016325</v>
      </c>
      <c r="E5783" s="86"/>
      <c r="F5783" s="14"/>
    </row>
    <row r="5784" spans="1:6" x14ac:dyDescent="0.25">
      <c r="A5784" s="86">
        <v>5783</v>
      </c>
      <c r="B5784" s="87">
        <v>49.499885785160586</v>
      </c>
      <c r="C5784" s="14">
        <v>2</v>
      </c>
      <c r="D5784" s="86">
        <v>0.47896136796299205</v>
      </c>
      <c r="E5784" s="86"/>
      <c r="F5784" s="14"/>
    </row>
    <row r="5785" spans="1:6" x14ac:dyDescent="0.25">
      <c r="A5785" s="86">
        <v>5784</v>
      </c>
      <c r="B5785" s="87">
        <v>45.906847385020228</v>
      </c>
      <c r="C5785" s="14">
        <v>2</v>
      </c>
      <c r="D5785" s="86">
        <v>0.32202130542725182</v>
      </c>
      <c r="E5785" s="86"/>
      <c r="F5785" s="14"/>
    </row>
    <row r="5786" spans="1:6" x14ac:dyDescent="0.25">
      <c r="A5786" s="86">
        <v>5785</v>
      </c>
      <c r="B5786" s="87">
        <v>42.401694594780565</v>
      </c>
      <c r="C5786" s="14">
        <v>2</v>
      </c>
      <c r="D5786" s="86">
        <v>0.58981462496257253</v>
      </c>
      <c r="E5786" s="86"/>
      <c r="F5786" s="14"/>
    </row>
    <row r="5787" spans="1:6" x14ac:dyDescent="0.25">
      <c r="A5787" s="86">
        <v>5786</v>
      </c>
      <c r="B5787" s="87">
        <v>49.916548045410309</v>
      </c>
      <c r="C5787" s="14">
        <v>5</v>
      </c>
      <c r="D5787" s="86">
        <v>0.8027688326036061</v>
      </c>
      <c r="E5787" s="86"/>
      <c r="F5787" s="14"/>
    </row>
    <row r="5788" spans="1:6" x14ac:dyDescent="0.25">
      <c r="A5788" s="86">
        <v>5787</v>
      </c>
      <c r="B5788" s="87">
        <v>41.854241312074009</v>
      </c>
      <c r="C5788" s="14">
        <v>2</v>
      </c>
      <c r="D5788" s="86">
        <v>0.42739023286655398</v>
      </c>
      <c r="E5788" s="86"/>
      <c r="F5788" s="14"/>
    </row>
    <row r="5789" spans="1:6" x14ac:dyDescent="0.25">
      <c r="A5789" s="86">
        <v>5788</v>
      </c>
      <c r="B5789" s="87">
        <v>37.832830907398602</v>
      </c>
      <c r="C5789" s="14">
        <v>4</v>
      </c>
      <c r="D5789" s="86">
        <v>0.86620125638179801</v>
      </c>
      <c r="E5789" s="86"/>
      <c r="F5789" s="14"/>
    </row>
    <row r="5790" spans="1:6" x14ac:dyDescent="0.25">
      <c r="A5790" s="86">
        <v>5789</v>
      </c>
      <c r="B5790" s="87">
        <v>37.578911355347373</v>
      </c>
      <c r="C5790" s="14">
        <v>5</v>
      </c>
      <c r="D5790" s="86">
        <v>0.46997285770257013</v>
      </c>
      <c r="E5790" s="86"/>
      <c r="F5790" s="14"/>
    </row>
    <row r="5791" spans="1:6" x14ac:dyDescent="0.25">
      <c r="A5791" s="86">
        <v>5790</v>
      </c>
      <c r="B5791" s="87">
        <v>42.051300392238772</v>
      </c>
      <c r="C5791" s="14">
        <v>1</v>
      </c>
      <c r="D5791" s="86">
        <v>0.90698479877077409</v>
      </c>
      <c r="E5791" s="86"/>
      <c r="F5791" s="14"/>
    </row>
    <row r="5792" spans="1:6" x14ac:dyDescent="0.25">
      <c r="A5792" s="86">
        <v>5791</v>
      </c>
      <c r="B5792" s="87">
        <v>44.935438831424108</v>
      </c>
      <c r="C5792" s="14">
        <v>5</v>
      </c>
      <c r="D5792" s="86">
        <v>0.96060348087270808</v>
      </c>
      <c r="E5792" s="86"/>
      <c r="F5792" s="14"/>
    </row>
    <row r="5793" spans="1:6" x14ac:dyDescent="0.25">
      <c r="A5793" s="86">
        <v>5792</v>
      </c>
      <c r="B5793" s="87">
        <v>45.892363681894494</v>
      </c>
      <c r="C5793" s="14">
        <v>5</v>
      </c>
      <c r="D5793" s="86">
        <v>0.67172144622801877</v>
      </c>
      <c r="E5793" s="86"/>
      <c r="F5793" s="14"/>
    </row>
    <row r="5794" spans="1:6" x14ac:dyDescent="0.25">
      <c r="A5794" s="86">
        <v>5793</v>
      </c>
      <c r="B5794" s="87">
        <v>47.160551725362893</v>
      </c>
      <c r="C5794" s="14">
        <v>5</v>
      </c>
      <c r="D5794" s="86">
        <v>4.8858940502875314E-2</v>
      </c>
      <c r="E5794" s="86"/>
      <c r="F5794" s="14"/>
    </row>
    <row r="5795" spans="1:6" x14ac:dyDescent="0.25">
      <c r="A5795" s="86">
        <v>5794</v>
      </c>
      <c r="B5795" s="87">
        <v>45.015258360188454</v>
      </c>
      <c r="C5795" s="14">
        <v>1</v>
      </c>
      <c r="D5795" s="86">
        <v>0.99214302385577713</v>
      </c>
      <c r="E5795" s="86"/>
      <c r="F5795" s="14"/>
    </row>
    <row r="5796" spans="1:6" x14ac:dyDescent="0.25">
      <c r="A5796" s="86">
        <v>5795</v>
      </c>
      <c r="B5796" s="87">
        <v>42.541705619776621</v>
      </c>
      <c r="C5796" s="14">
        <v>4</v>
      </c>
      <c r="D5796" s="86">
        <v>0.76437843195376198</v>
      </c>
      <c r="E5796" s="86"/>
      <c r="F5796" s="14"/>
    </row>
    <row r="5797" spans="1:6" x14ac:dyDescent="0.25">
      <c r="A5797" s="86">
        <v>5796</v>
      </c>
      <c r="B5797" s="87">
        <v>41.40333089196065</v>
      </c>
      <c r="C5797" s="14">
        <v>4</v>
      </c>
      <c r="D5797" s="86">
        <v>0.69822010028438497</v>
      </c>
      <c r="E5797" s="86"/>
      <c r="F5797" s="14"/>
    </row>
    <row r="5798" spans="1:6" x14ac:dyDescent="0.25">
      <c r="A5798" s="86">
        <v>5797</v>
      </c>
      <c r="B5798" s="87">
        <v>45.438576984786778</v>
      </c>
      <c r="C5798" s="14">
        <v>4</v>
      </c>
      <c r="D5798" s="86">
        <v>0.40509667294994223</v>
      </c>
      <c r="E5798" s="86"/>
      <c r="F5798" s="14"/>
    </row>
    <row r="5799" spans="1:6" x14ac:dyDescent="0.25">
      <c r="A5799" s="86">
        <v>5798</v>
      </c>
      <c r="B5799" s="87">
        <v>53.738403943832964</v>
      </c>
      <c r="C5799" s="14">
        <v>3</v>
      </c>
      <c r="D5799" s="86">
        <v>0.71046935203634842</v>
      </c>
      <c r="E5799" s="86"/>
      <c r="F5799" s="14"/>
    </row>
    <row r="5800" spans="1:6" x14ac:dyDescent="0.25">
      <c r="A5800" s="86">
        <v>5799</v>
      </c>
      <c r="B5800" s="87">
        <v>46.745390131371096</v>
      </c>
      <c r="C5800" s="14">
        <v>4</v>
      </c>
      <c r="D5800" s="86">
        <v>0.49049276350764248</v>
      </c>
      <c r="E5800" s="86"/>
      <c r="F5800" s="14"/>
    </row>
    <row r="5801" spans="1:6" x14ac:dyDescent="0.25">
      <c r="A5801" s="86">
        <v>5800</v>
      </c>
      <c r="B5801" s="87">
        <v>45.903675522247795</v>
      </c>
      <c r="C5801" s="14">
        <v>2</v>
      </c>
      <c r="D5801" s="86">
        <v>0.28348454519359545</v>
      </c>
      <c r="E5801" s="86"/>
      <c r="F5801" s="14"/>
    </row>
    <row r="5802" spans="1:6" x14ac:dyDescent="0.25">
      <c r="A5802" s="86">
        <v>5801</v>
      </c>
      <c r="B5802" s="87">
        <v>41.503244569292292</v>
      </c>
      <c r="C5802" s="14">
        <v>5</v>
      </c>
      <c r="D5802" s="86">
        <v>0.23686883533143266</v>
      </c>
      <c r="E5802" s="86"/>
      <c r="F5802" s="14"/>
    </row>
    <row r="5803" spans="1:6" x14ac:dyDescent="0.25">
      <c r="A5803" s="86">
        <v>5802</v>
      </c>
      <c r="B5803" s="87">
        <v>35.446464602835476</v>
      </c>
      <c r="C5803" s="14">
        <v>4</v>
      </c>
      <c r="D5803" s="86">
        <v>0.55291829969624673</v>
      </c>
      <c r="E5803" s="86"/>
      <c r="F5803" s="14"/>
    </row>
    <row r="5804" spans="1:6" x14ac:dyDescent="0.25">
      <c r="A5804" s="86">
        <v>5803</v>
      </c>
      <c r="B5804" s="87">
        <v>52.22404979064595</v>
      </c>
      <c r="C5804" s="14">
        <v>4</v>
      </c>
      <c r="D5804" s="86">
        <v>0.38501883749187649</v>
      </c>
      <c r="E5804" s="86"/>
      <c r="F5804" s="14"/>
    </row>
    <row r="5805" spans="1:6" x14ac:dyDescent="0.25">
      <c r="A5805" s="86">
        <v>5804</v>
      </c>
      <c r="B5805" s="87">
        <v>29.062175594270229</v>
      </c>
      <c r="C5805" s="14">
        <v>4</v>
      </c>
      <c r="D5805" s="86">
        <v>0.95359693056572836</v>
      </c>
      <c r="E5805" s="86"/>
      <c r="F5805" s="14"/>
    </row>
    <row r="5806" spans="1:6" x14ac:dyDescent="0.25">
      <c r="A5806" s="86">
        <v>5805</v>
      </c>
      <c r="B5806" s="87">
        <v>41.573497350662365</v>
      </c>
      <c r="C5806" s="14">
        <v>5</v>
      </c>
      <c r="D5806" s="86">
        <v>0.37666862236339405</v>
      </c>
      <c r="E5806" s="86"/>
      <c r="F5806" s="14"/>
    </row>
    <row r="5807" spans="1:6" x14ac:dyDescent="0.25">
      <c r="A5807" s="86">
        <v>5806</v>
      </c>
      <c r="B5807" s="87">
        <v>37.058919128292473</v>
      </c>
      <c r="C5807" s="14">
        <v>4</v>
      </c>
      <c r="D5807" s="86">
        <v>0.97479828351561715</v>
      </c>
      <c r="E5807" s="86"/>
      <c r="F5807" s="14"/>
    </row>
    <row r="5808" spans="1:6" x14ac:dyDescent="0.25">
      <c r="A5808" s="86">
        <v>5807</v>
      </c>
      <c r="B5808" s="87">
        <v>45.667798071342986</v>
      </c>
      <c r="C5808" s="14">
        <v>4</v>
      </c>
      <c r="D5808" s="86">
        <v>0.99451356895212539</v>
      </c>
      <c r="E5808" s="86"/>
      <c r="F5808" s="14"/>
    </row>
    <row r="5809" spans="1:6" x14ac:dyDescent="0.25">
      <c r="A5809" s="86">
        <v>5808</v>
      </c>
      <c r="B5809" s="87">
        <v>47.845765033678617</v>
      </c>
      <c r="C5809" s="14">
        <v>5</v>
      </c>
      <c r="D5809" s="86">
        <v>0.89772308721832206</v>
      </c>
      <c r="E5809" s="86"/>
      <c r="F5809" s="14"/>
    </row>
    <row r="5810" spans="1:6" x14ac:dyDescent="0.25">
      <c r="A5810" s="86">
        <v>5809</v>
      </c>
      <c r="B5810" s="87">
        <v>44.80417600859073</v>
      </c>
      <c r="C5810" s="14">
        <v>4</v>
      </c>
      <c r="D5810" s="86">
        <v>0.26999213608201655</v>
      </c>
      <c r="E5810" s="86"/>
      <c r="F5810" s="14"/>
    </row>
    <row r="5811" spans="1:6" x14ac:dyDescent="0.25">
      <c r="A5811" s="86">
        <v>5810</v>
      </c>
      <c r="B5811" s="87">
        <v>43.432180513598723</v>
      </c>
      <c r="C5811" s="14">
        <v>3</v>
      </c>
      <c r="D5811" s="86">
        <v>0.12478318875995598</v>
      </c>
      <c r="E5811" s="86"/>
      <c r="F5811" s="14"/>
    </row>
    <row r="5812" spans="1:6" x14ac:dyDescent="0.25">
      <c r="A5812" s="86">
        <v>5811</v>
      </c>
      <c r="B5812" s="87">
        <v>45.25705889533856</v>
      </c>
      <c r="C5812" s="14">
        <v>4</v>
      </c>
      <c r="D5812" s="86">
        <v>0.33079721673989138</v>
      </c>
      <c r="E5812" s="86"/>
      <c r="F5812" s="14"/>
    </row>
    <row r="5813" spans="1:6" x14ac:dyDescent="0.25">
      <c r="A5813" s="86">
        <v>5812</v>
      </c>
      <c r="B5813" s="87">
        <v>58.008117770776153</v>
      </c>
      <c r="C5813" s="14">
        <v>3</v>
      </c>
      <c r="D5813" s="86">
        <v>0.30432074080022053</v>
      </c>
      <c r="E5813" s="86"/>
      <c r="F5813" s="14"/>
    </row>
    <row r="5814" spans="1:6" x14ac:dyDescent="0.25">
      <c r="A5814" s="86">
        <v>5813</v>
      </c>
      <c r="B5814" s="87">
        <v>45.347218241993687</v>
      </c>
      <c r="C5814" s="14">
        <v>4</v>
      </c>
      <c r="D5814" s="86">
        <v>0.74640392861960958</v>
      </c>
      <c r="E5814" s="86"/>
      <c r="F5814" s="14"/>
    </row>
    <row r="5815" spans="1:6" x14ac:dyDescent="0.25">
      <c r="A5815" s="86">
        <v>5814</v>
      </c>
      <c r="B5815" s="87">
        <v>43.119922560770647</v>
      </c>
      <c r="C5815" s="14">
        <v>4</v>
      </c>
      <c r="D5815" s="86">
        <v>0.48001459176603689</v>
      </c>
      <c r="E5815" s="86"/>
      <c r="F5815" s="14"/>
    </row>
    <row r="5816" spans="1:6" x14ac:dyDescent="0.25">
      <c r="A5816" s="86">
        <v>5815</v>
      </c>
      <c r="B5816" s="87">
        <v>41.397294120877632</v>
      </c>
      <c r="C5816" s="14">
        <v>5</v>
      </c>
      <c r="D5816" s="86">
        <v>0.47411815905520116</v>
      </c>
      <c r="E5816" s="86"/>
      <c r="F5816" s="14"/>
    </row>
    <row r="5817" spans="1:6" x14ac:dyDescent="0.25">
      <c r="A5817" s="86">
        <v>5816</v>
      </c>
      <c r="B5817" s="87">
        <v>40.337488366611069</v>
      </c>
      <c r="C5817" s="14">
        <v>1</v>
      </c>
      <c r="D5817" s="86">
        <v>0.58721906284889602</v>
      </c>
      <c r="E5817" s="86"/>
      <c r="F5817" s="14"/>
    </row>
    <row r="5818" spans="1:6" x14ac:dyDescent="0.25">
      <c r="A5818" s="86">
        <v>5817</v>
      </c>
      <c r="B5818" s="87">
        <v>46.563036443665624</v>
      </c>
      <c r="C5818" s="14">
        <v>5</v>
      </c>
      <c r="D5818" s="86">
        <v>0.79934924704508103</v>
      </c>
      <c r="E5818" s="86"/>
      <c r="F5818" s="14"/>
    </row>
    <row r="5819" spans="1:6" x14ac:dyDescent="0.25">
      <c r="A5819" s="86">
        <v>5818</v>
      </c>
      <c r="B5819" s="87">
        <v>47.445269041752908</v>
      </c>
      <c r="C5819" s="14">
        <v>2</v>
      </c>
      <c r="D5819" s="86">
        <v>0.28461005996814082</v>
      </c>
      <c r="E5819" s="86"/>
      <c r="F5819" s="14"/>
    </row>
    <row r="5820" spans="1:6" x14ac:dyDescent="0.25">
      <c r="A5820" s="86">
        <v>5819</v>
      </c>
      <c r="B5820" s="87">
        <v>41.548781832141685</v>
      </c>
      <c r="C5820" s="14">
        <v>2</v>
      </c>
      <c r="D5820" s="86">
        <v>0.73657322409151349</v>
      </c>
      <c r="E5820" s="86"/>
      <c r="F5820" s="14"/>
    </row>
    <row r="5821" spans="1:6" x14ac:dyDescent="0.25">
      <c r="A5821" s="86">
        <v>5820</v>
      </c>
      <c r="B5821" s="87">
        <v>47.270793851901544</v>
      </c>
      <c r="C5821" s="14">
        <v>2</v>
      </c>
      <c r="D5821" s="86">
        <v>4.2450101841857157E-2</v>
      </c>
      <c r="E5821" s="86"/>
      <c r="F5821" s="14"/>
    </row>
    <row r="5822" spans="1:6" x14ac:dyDescent="0.25">
      <c r="A5822" s="86">
        <v>5821</v>
      </c>
      <c r="B5822" s="87">
        <v>45.627314188430319</v>
      </c>
      <c r="C5822" s="14">
        <v>4</v>
      </c>
      <c r="D5822" s="86">
        <v>0.44031509355543885</v>
      </c>
      <c r="E5822" s="86"/>
      <c r="F5822" s="14"/>
    </row>
    <row r="5823" spans="1:6" x14ac:dyDescent="0.25">
      <c r="A5823" s="86">
        <v>5822</v>
      </c>
      <c r="B5823" s="87">
        <v>41.54838392820966</v>
      </c>
      <c r="C5823" s="14">
        <v>1</v>
      </c>
      <c r="D5823" s="86">
        <v>0.69877842707744298</v>
      </c>
      <c r="E5823" s="86"/>
      <c r="F5823" s="14"/>
    </row>
    <row r="5824" spans="1:6" x14ac:dyDescent="0.25">
      <c r="A5824" s="86">
        <v>5823</v>
      </c>
      <c r="B5824" s="87">
        <v>39.209390928925131</v>
      </c>
      <c r="C5824" s="14">
        <v>2</v>
      </c>
      <c r="D5824" s="86">
        <v>0.24314591330752755</v>
      </c>
      <c r="E5824" s="86"/>
      <c r="F5824" s="14"/>
    </row>
    <row r="5825" spans="1:6" x14ac:dyDescent="0.25">
      <c r="A5825" s="86">
        <v>5824</v>
      </c>
      <c r="B5825" s="87">
        <v>42.449823917530011</v>
      </c>
      <c r="C5825" s="14">
        <v>4</v>
      </c>
      <c r="D5825" s="86">
        <v>0.53086124871534401</v>
      </c>
      <c r="E5825" s="86"/>
      <c r="F5825" s="14"/>
    </row>
    <row r="5826" spans="1:6" x14ac:dyDescent="0.25">
      <c r="A5826" s="86">
        <v>5825</v>
      </c>
      <c r="B5826" s="87">
        <v>45.991055225720629</v>
      </c>
      <c r="C5826" s="14">
        <v>5</v>
      </c>
      <c r="D5826" s="86">
        <v>4.9494057926061097E-2</v>
      </c>
      <c r="E5826" s="86"/>
      <c r="F5826" s="14"/>
    </row>
    <row r="5827" spans="1:6" x14ac:dyDescent="0.25">
      <c r="A5827" s="86">
        <v>5826</v>
      </c>
      <c r="B5827" s="87">
        <v>49.51505160931265</v>
      </c>
      <c r="C5827" s="14">
        <v>4</v>
      </c>
      <c r="D5827" s="86">
        <v>0.72720082238130002</v>
      </c>
      <c r="E5827" s="86"/>
      <c r="F5827" s="14"/>
    </row>
    <row r="5828" spans="1:6" x14ac:dyDescent="0.25">
      <c r="A5828" s="86">
        <v>5827</v>
      </c>
      <c r="B5828" s="87">
        <v>39.945575730933342</v>
      </c>
      <c r="C5828" s="14">
        <v>2</v>
      </c>
      <c r="D5828" s="86">
        <v>1.2638508858968667E-2</v>
      </c>
      <c r="E5828" s="86"/>
      <c r="F5828" s="14"/>
    </row>
    <row r="5829" spans="1:6" x14ac:dyDescent="0.25">
      <c r="A5829" s="86">
        <v>5828</v>
      </c>
      <c r="B5829" s="87">
        <v>41.543995616273605</v>
      </c>
      <c r="C5829" s="14">
        <v>4</v>
      </c>
      <c r="D5829" s="86">
        <v>0.94353918132290537</v>
      </c>
      <c r="E5829" s="86"/>
      <c r="F5829" s="14"/>
    </row>
    <row r="5830" spans="1:6" x14ac:dyDescent="0.25">
      <c r="A5830" s="86">
        <v>5829</v>
      </c>
      <c r="B5830" s="87">
        <v>37.228278410446364</v>
      </c>
      <c r="C5830" s="14">
        <v>4</v>
      </c>
      <c r="D5830" s="86">
        <v>0.12410277473488251</v>
      </c>
      <c r="E5830" s="86"/>
      <c r="F5830" s="14"/>
    </row>
    <row r="5831" spans="1:6" x14ac:dyDescent="0.25">
      <c r="A5831" s="86">
        <v>5830</v>
      </c>
      <c r="B5831" s="87">
        <v>52.289851732319221</v>
      </c>
      <c r="C5831" s="14">
        <v>1</v>
      </c>
      <c r="D5831" s="86">
        <v>0.47691643349018775</v>
      </c>
      <c r="E5831" s="86"/>
      <c r="F5831" s="14"/>
    </row>
    <row r="5832" spans="1:6" x14ac:dyDescent="0.25">
      <c r="A5832" s="86">
        <v>5831</v>
      </c>
      <c r="B5832" s="87">
        <v>47.65770426671952</v>
      </c>
      <c r="C5832" s="14">
        <v>5</v>
      </c>
      <c r="D5832" s="86">
        <v>0.71343282518251738</v>
      </c>
      <c r="E5832" s="86"/>
      <c r="F5832" s="14"/>
    </row>
    <row r="5833" spans="1:6" x14ac:dyDescent="0.25">
      <c r="A5833" s="86">
        <v>5832</v>
      </c>
      <c r="B5833" s="87">
        <v>48.928700375079643</v>
      </c>
      <c r="C5833" s="14">
        <v>2</v>
      </c>
      <c r="D5833" s="86">
        <v>0.84051992202914672</v>
      </c>
      <c r="E5833" s="86"/>
      <c r="F5833" s="14"/>
    </row>
    <row r="5834" spans="1:6" x14ac:dyDescent="0.25">
      <c r="A5834" s="86">
        <v>5833</v>
      </c>
      <c r="B5834" s="87">
        <v>51.806478035694454</v>
      </c>
      <c r="C5834" s="14">
        <v>5</v>
      </c>
      <c r="D5834" s="86">
        <v>4.9618338990914168E-2</v>
      </c>
      <c r="E5834" s="86"/>
      <c r="F5834" s="14"/>
    </row>
    <row r="5835" spans="1:6" x14ac:dyDescent="0.25">
      <c r="A5835" s="86">
        <v>5834</v>
      </c>
      <c r="B5835" s="87">
        <v>36.029268807731569</v>
      </c>
      <c r="C5835" s="14">
        <v>2</v>
      </c>
      <c r="D5835" s="86">
        <v>0.63975570491647027</v>
      </c>
      <c r="E5835" s="86"/>
      <c r="F5835" s="14"/>
    </row>
    <row r="5836" spans="1:6" x14ac:dyDescent="0.25">
      <c r="A5836" s="86">
        <v>5835</v>
      </c>
      <c r="B5836" s="87">
        <v>47.279058885003906</v>
      </c>
      <c r="C5836" s="14">
        <v>5</v>
      </c>
      <c r="D5836" s="86">
        <v>0.89315399651700556</v>
      </c>
      <c r="E5836" s="86"/>
      <c r="F5836" s="14"/>
    </row>
    <row r="5837" spans="1:6" x14ac:dyDescent="0.25">
      <c r="A5837" s="86">
        <v>5836</v>
      </c>
      <c r="B5837" s="87">
        <v>41.940069190211943</v>
      </c>
      <c r="C5837" s="14">
        <v>5</v>
      </c>
      <c r="D5837" s="86">
        <v>0.70661901924974835</v>
      </c>
      <c r="E5837" s="86"/>
      <c r="F5837" s="14"/>
    </row>
    <row r="5838" spans="1:6" x14ac:dyDescent="0.25">
      <c r="A5838" s="86">
        <v>5837</v>
      </c>
      <c r="B5838" s="87">
        <v>44.853254616435152</v>
      </c>
      <c r="C5838" s="14">
        <v>1</v>
      </c>
      <c r="D5838" s="86">
        <v>8.4849605924683935E-2</v>
      </c>
      <c r="E5838" s="86"/>
      <c r="F5838" s="14"/>
    </row>
    <row r="5839" spans="1:6" x14ac:dyDescent="0.25">
      <c r="A5839" s="86">
        <v>5838</v>
      </c>
      <c r="B5839" s="87">
        <v>35.182256391970441</v>
      </c>
      <c r="C5839" s="14">
        <v>2</v>
      </c>
      <c r="D5839" s="86">
        <v>0.54672593665047564</v>
      </c>
      <c r="E5839" s="86"/>
      <c r="F5839" s="14"/>
    </row>
    <row r="5840" spans="1:6" x14ac:dyDescent="0.25">
      <c r="A5840" s="86">
        <v>5839</v>
      </c>
      <c r="B5840" s="87">
        <v>37.435540884296643</v>
      </c>
      <c r="C5840" s="14">
        <v>1</v>
      </c>
      <c r="D5840" s="86">
        <v>0.49054583210875458</v>
      </c>
      <c r="E5840" s="86"/>
      <c r="F5840" s="14"/>
    </row>
    <row r="5841" spans="1:6" x14ac:dyDescent="0.25">
      <c r="A5841" s="86">
        <v>5840</v>
      </c>
      <c r="B5841" s="87">
        <v>44.388696091453312</v>
      </c>
      <c r="C5841" s="14">
        <v>4</v>
      </c>
      <c r="D5841" s="86">
        <v>0.29729114206536489</v>
      </c>
      <c r="E5841" s="86"/>
      <c r="F5841" s="14"/>
    </row>
    <row r="5842" spans="1:6" x14ac:dyDescent="0.25">
      <c r="A5842" s="86">
        <v>5841</v>
      </c>
      <c r="B5842" s="87">
        <v>44.733326371322619</v>
      </c>
      <c r="C5842" s="14">
        <v>4</v>
      </c>
      <c r="D5842" s="86">
        <v>0.40090393710563155</v>
      </c>
      <c r="E5842" s="86"/>
      <c r="F5842" s="14"/>
    </row>
    <row r="5843" spans="1:6" x14ac:dyDescent="0.25">
      <c r="A5843" s="86">
        <v>5842</v>
      </c>
      <c r="B5843" s="87">
        <v>34.193521964305546</v>
      </c>
      <c r="C5843" s="14">
        <v>2</v>
      </c>
      <c r="D5843" s="86">
        <v>0.45345028569845813</v>
      </c>
      <c r="E5843" s="86"/>
      <c r="F5843" s="14"/>
    </row>
    <row r="5844" spans="1:6" x14ac:dyDescent="0.25">
      <c r="A5844" s="86">
        <v>5843</v>
      </c>
      <c r="B5844" s="87">
        <v>40.866348167008255</v>
      </c>
      <c r="C5844" s="14">
        <v>5</v>
      </c>
      <c r="D5844" s="86">
        <v>0.75294735279348857</v>
      </c>
      <c r="E5844" s="86"/>
      <c r="F5844" s="14"/>
    </row>
    <row r="5845" spans="1:6" x14ac:dyDescent="0.25">
      <c r="A5845" s="86">
        <v>5844</v>
      </c>
      <c r="B5845" s="87">
        <v>43.893840024218662</v>
      </c>
      <c r="C5845" s="14">
        <v>4</v>
      </c>
      <c r="D5845" s="86">
        <v>0.61365010827171751</v>
      </c>
      <c r="E5845" s="86"/>
      <c r="F5845" s="14"/>
    </row>
    <row r="5846" spans="1:6" x14ac:dyDescent="0.25">
      <c r="A5846" s="86">
        <v>5845</v>
      </c>
      <c r="B5846" s="87">
        <v>35.497555467707571</v>
      </c>
      <c r="C5846" s="14">
        <v>4</v>
      </c>
      <c r="D5846" s="86">
        <v>0.44031360632721728</v>
      </c>
      <c r="E5846" s="86"/>
      <c r="F5846" s="14"/>
    </row>
    <row r="5847" spans="1:6" x14ac:dyDescent="0.25">
      <c r="A5847" s="86">
        <v>5846</v>
      </c>
      <c r="B5847" s="87">
        <v>46.299214768048842</v>
      </c>
      <c r="C5847" s="14">
        <v>5</v>
      </c>
      <c r="D5847" s="86">
        <v>0.81977008860611211</v>
      </c>
      <c r="E5847" s="86"/>
      <c r="F5847" s="14"/>
    </row>
    <row r="5848" spans="1:6" x14ac:dyDescent="0.25">
      <c r="A5848" s="86">
        <v>5847</v>
      </c>
      <c r="B5848" s="87">
        <v>41.407758994289907</v>
      </c>
      <c r="C5848" s="14">
        <v>1</v>
      </c>
      <c r="D5848" s="86">
        <v>0.5474053400248784</v>
      </c>
      <c r="E5848" s="86"/>
      <c r="F5848" s="14"/>
    </row>
    <row r="5849" spans="1:6" x14ac:dyDescent="0.25">
      <c r="A5849" s="86">
        <v>5848</v>
      </c>
      <c r="B5849" s="87">
        <v>42.982594545144821</v>
      </c>
      <c r="C5849" s="14">
        <v>1</v>
      </c>
      <c r="D5849" s="86">
        <v>0.89471420561282278</v>
      </c>
      <c r="E5849" s="86"/>
      <c r="F5849" s="14"/>
    </row>
    <row r="5850" spans="1:6" x14ac:dyDescent="0.25">
      <c r="A5850" s="86">
        <v>5849</v>
      </c>
      <c r="B5850" s="87">
        <v>43.776316255723941</v>
      </c>
      <c r="C5850" s="14">
        <v>1</v>
      </c>
      <c r="D5850" s="86">
        <v>0.37059137024462674</v>
      </c>
      <c r="E5850" s="86"/>
      <c r="F5850" s="14"/>
    </row>
    <row r="5851" spans="1:6" x14ac:dyDescent="0.25">
      <c r="A5851" s="86">
        <v>5850</v>
      </c>
      <c r="B5851" s="87">
        <v>37.923325630225008</v>
      </c>
      <c r="C5851" s="14">
        <v>2</v>
      </c>
      <c r="D5851" s="86">
        <v>0.46353249696485421</v>
      </c>
      <c r="E5851" s="86"/>
      <c r="F5851" s="14"/>
    </row>
    <row r="5852" spans="1:6" x14ac:dyDescent="0.25">
      <c r="A5852" s="86">
        <v>5851</v>
      </c>
      <c r="B5852" s="87">
        <v>40.045006239204668</v>
      </c>
      <c r="C5852" s="14">
        <v>4</v>
      </c>
      <c r="D5852" s="86">
        <v>0.61131738556888982</v>
      </c>
      <c r="E5852" s="86"/>
      <c r="F5852" s="14"/>
    </row>
    <row r="5853" spans="1:6" x14ac:dyDescent="0.25">
      <c r="A5853" s="86">
        <v>5852</v>
      </c>
      <c r="B5853" s="87">
        <v>51.49720436235657</v>
      </c>
      <c r="C5853" s="14">
        <v>4</v>
      </c>
      <c r="D5853" s="86">
        <v>0.8492694860168537</v>
      </c>
      <c r="E5853" s="86"/>
      <c r="F5853" s="14"/>
    </row>
    <row r="5854" spans="1:6" x14ac:dyDescent="0.25">
      <c r="A5854" s="86">
        <v>5853</v>
      </c>
      <c r="B5854" s="87">
        <v>33.7208803051617</v>
      </c>
      <c r="C5854" s="14">
        <v>2</v>
      </c>
      <c r="D5854" s="86">
        <v>0.87717954951855148</v>
      </c>
      <c r="E5854" s="86"/>
      <c r="F5854" s="14"/>
    </row>
    <row r="5855" spans="1:6" x14ac:dyDescent="0.25">
      <c r="A5855" s="86">
        <v>5854</v>
      </c>
      <c r="B5855" s="87">
        <v>39.36361280863639</v>
      </c>
      <c r="C5855" s="14">
        <v>5</v>
      </c>
      <c r="D5855" s="86">
        <v>0.82963112935671623</v>
      </c>
      <c r="E5855" s="86"/>
      <c r="F5855" s="14"/>
    </row>
    <row r="5856" spans="1:6" x14ac:dyDescent="0.25">
      <c r="A5856" s="86">
        <v>5855</v>
      </c>
      <c r="B5856" s="87">
        <v>43.574812020204263</v>
      </c>
      <c r="C5856" s="14">
        <v>4</v>
      </c>
      <c r="D5856" s="86">
        <v>0.41737218530137443</v>
      </c>
      <c r="E5856" s="86"/>
      <c r="F5856" s="14"/>
    </row>
    <row r="5857" spans="1:6" x14ac:dyDescent="0.25">
      <c r="A5857" s="86">
        <v>5856</v>
      </c>
      <c r="B5857" s="87">
        <v>45.990594794027857</v>
      </c>
      <c r="C5857" s="14">
        <v>5</v>
      </c>
      <c r="D5857" s="86">
        <v>0.57436774062279083</v>
      </c>
      <c r="E5857" s="86"/>
      <c r="F5857" s="14"/>
    </row>
    <row r="5858" spans="1:6" x14ac:dyDescent="0.25">
      <c r="A5858" s="86">
        <v>5857</v>
      </c>
      <c r="B5858" s="87">
        <v>46.109926183242351</v>
      </c>
      <c r="C5858" s="14">
        <v>2</v>
      </c>
      <c r="D5858" s="86">
        <v>0.18047039644539187</v>
      </c>
      <c r="E5858" s="86"/>
      <c r="F5858" s="14"/>
    </row>
    <row r="5859" spans="1:6" x14ac:dyDescent="0.25">
      <c r="A5859" s="86">
        <v>5858</v>
      </c>
      <c r="B5859" s="87">
        <v>49.114316875027725</v>
      </c>
      <c r="C5859" s="14">
        <v>2</v>
      </c>
      <c r="D5859" s="86">
        <v>0.14970781351503215</v>
      </c>
      <c r="E5859" s="86"/>
      <c r="F5859" s="14"/>
    </row>
    <row r="5860" spans="1:6" x14ac:dyDescent="0.25">
      <c r="A5860" s="86">
        <v>5859</v>
      </c>
      <c r="B5860" s="87">
        <v>50.266817192430608</v>
      </c>
      <c r="C5860" s="14">
        <v>4</v>
      </c>
      <c r="D5860" s="86">
        <v>9.1218600533578331E-2</v>
      </c>
      <c r="E5860" s="86"/>
      <c r="F5860" s="14"/>
    </row>
    <row r="5861" spans="1:6" x14ac:dyDescent="0.25">
      <c r="A5861" s="86">
        <v>5860</v>
      </c>
      <c r="B5861" s="87">
        <v>44.999086407522555</v>
      </c>
      <c r="C5861" s="14">
        <v>1</v>
      </c>
      <c r="D5861" s="86">
        <v>0.65379373480304204</v>
      </c>
      <c r="E5861" s="86"/>
      <c r="F5861" s="14"/>
    </row>
    <row r="5862" spans="1:6" x14ac:dyDescent="0.25">
      <c r="A5862" s="86">
        <v>5861</v>
      </c>
      <c r="B5862" s="87">
        <v>41.257737843232462</v>
      </c>
      <c r="C5862" s="14">
        <v>4</v>
      </c>
      <c r="D5862" s="86">
        <v>2.5959229650574844E-2</v>
      </c>
      <c r="E5862" s="86"/>
      <c r="F5862" s="14"/>
    </row>
    <row r="5863" spans="1:6" x14ac:dyDescent="0.25">
      <c r="A5863" s="86">
        <v>5862</v>
      </c>
      <c r="B5863" s="87">
        <v>47.299511147110024</v>
      </c>
      <c r="C5863" s="14">
        <v>4</v>
      </c>
      <c r="D5863" s="86">
        <v>0.2698788916452054</v>
      </c>
      <c r="E5863" s="86"/>
      <c r="F5863" s="14"/>
    </row>
    <row r="5864" spans="1:6" x14ac:dyDescent="0.25">
      <c r="A5864" s="86">
        <v>5863</v>
      </c>
      <c r="B5864" s="87">
        <v>43.48864876589505</v>
      </c>
      <c r="C5864" s="14">
        <v>2</v>
      </c>
      <c r="D5864" s="86">
        <v>0.29135762825505895</v>
      </c>
      <c r="E5864" s="86"/>
      <c r="F5864" s="14"/>
    </row>
    <row r="5865" spans="1:6" x14ac:dyDescent="0.25">
      <c r="A5865" s="86">
        <v>5864</v>
      </c>
      <c r="B5865" s="87">
        <v>41.629186848120298</v>
      </c>
      <c r="C5865" s="14">
        <v>2</v>
      </c>
      <c r="D5865" s="86">
        <v>0.26809385542850062</v>
      </c>
      <c r="E5865" s="86"/>
      <c r="F5865" s="14"/>
    </row>
    <row r="5866" spans="1:6" x14ac:dyDescent="0.25">
      <c r="A5866" s="86">
        <v>5865</v>
      </c>
      <c r="B5866" s="87">
        <v>42.80889811013185</v>
      </c>
      <c r="C5866" s="14">
        <v>2</v>
      </c>
      <c r="D5866" s="86">
        <v>0.66957244820722972</v>
      </c>
      <c r="E5866" s="86"/>
      <c r="F5866" s="14"/>
    </row>
    <row r="5867" spans="1:6" x14ac:dyDescent="0.25">
      <c r="A5867" s="86">
        <v>5866</v>
      </c>
      <c r="B5867" s="87">
        <v>40.419558894762304</v>
      </c>
      <c r="C5867" s="14">
        <v>3</v>
      </c>
      <c r="D5867" s="86">
        <v>0.52911013335667423</v>
      </c>
      <c r="E5867" s="86"/>
      <c r="F5867" s="14"/>
    </row>
    <row r="5868" spans="1:6" x14ac:dyDescent="0.25">
      <c r="A5868" s="86">
        <v>5867</v>
      </c>
      <c r="B5868" s="87">
        <v>49.472373570431955</v>
      </c>
      <c r="C5868" s="14">
        <v>2</v>
      </c>
      <c r="D5868" s="86">
        <v>0.21951961772740658</v>
      </c>
      <c r="E5868" s="86"/>
      <c r="F5868" s="14"/>
    </row>
    <row r="5869" spans="1:6" x14ac:dyDescent="0.25">
      <c r="A5869" s="86">
        <v>5868</v>
      </c>
      <c r="B5869" s="87">
        <v>41.903268760841456</v>
      </c>
      <c r="C5869" s="14">
        <v>2</v>
      </c>
      <c r="D5869" s="86">
        <v>0.66374117257722676</v>
      </c>
      <c r="E5869" s="86"/>
      <c r="F5869" s="14"/>
    </row>
    <row r="5870" spans="1:6" x14ac:dyDescent="0.25">
      <c r="A5870" s="86">
        <v>5869</v>
      </c>
      <c r="B5870" s="87">
        <v>34.400545695796609</v>
      </c>
      <c r="C5870" s="14">
        <v>2</v>
      </c>
      <c r="D5870" s="86">
        <v>0.7150479884922738</v>
      </c>
      <c r="E5870" s="86"/>
      <c r="F5870" s="14"/>
    </row>
    <row r="5871" spans="1:6" x14ac:dyDescent="0.25">
      <c r="A5871" s="86">
        <v>5870</v>
      </c>
      <c r="B5871" s="87">
        <v>49.369430138875032</v>
      </c>
      <c r="C5871" s="14">
        <v>2</v>
      </c>
      <c r="D5871" s="86">
        <v>0.90087902556391886</v>
      </c>
      <c r="E5871" s="86"/>
      <c r="F5871" s="14"/>
    </row>
    <row r="5872" spans="1:6" x14ac:dyDescent="0.25">
      <c r="A5872" s="86">
        <v>5871</v>
      </c>
      <c r="B5872" s="87">
        <v>49.452978595916647</v>
      </c>
      <c r="C5872" s="14">
        <v>5</v>
      </c>
      <c r="D5872" s="86">
        <v>0.57086171690877374</v>
      </c>
      <c r="E5872" s="86"/>
      <c r="F5872" s="14"/>
    </row>
    <row r="5873" spans="1:6" x14ac:dyDescent="0.25">
      <c r="A5873" s="86">
        <v>5872</v>
      </c>
      <c r="B5873" s="87">
        <v>39.911861899206997</v>
      </c>
      <c r="C5873" s="14">
        <v>2</v>
      </c>
      <c r="D5873" s="86">
        <v>2.0782115201866125E-3</v>
      </c>
      <c r="E5873" s="86"/>
      <c r="F5873" s="14"/>
    </row>
    <row r="5874" spans="1:6" x14ac:dyDescent="0.25">
      <c r="A5874" s="86">
        <v>5873</v>
      </c>
      <c r="B5874" s="87">
        <v>40.06684548073099</v>
      </c>
      <c r="C5874" s="14">
        <v>2</v>
      </c>
      <c r="D5874" s="86">
        <v>0.44518080452397835</v>
      </c>
      <c r="E5874" s="86"/>
      <c r="F5874" s="14"/>
    </row>
    <row r="5875" spans="1:6" x14ac:dyDescent="0.25">
      <c r="A5875" s="86">
        <v>5874</v>
      </c>
      <c r="B5875" s="87">
        <v>45.647539076860994</v>
      </c>
      <c r="C5875" s="14">
        <v>4</v>
      </c>
      <c r="D5875" s="86">
        <v>0.61522319023885008</v>
      </c>
      <c r="E5875" s="86"/>
      <c r="F5875" s="14"/>
    </row>
    <row r="5876" spans="1:6" x14ac:dyDescent="0.25">
      <c r="A5876" s="86">
        <v>5875</v>
      </c>
      <c r="B5876" s="87">
        <v>38.983193912252318</v>
      </c>
      <c r="C5876" s="14">
        <v>2</v>
      </c>
      <c r="D5876" s="86">
        <v>0.49541421301726818</v>
      </c>
      <c r="E5876" s="86"/>
      <c r="F5876" s="14"/>
    </row>
    <row r="5877" spans="1:6" x14ac:dyDescent="0.25">
      <c r="A5877" s="86">
        <v>5876</v>
      </c>
      <c r="B5877" s="87">
        <v>42.097997260832926</v>
      </c>
      <c r="C5877" s="14">
        <v>4</v>
      </c>
      <c r="D5877" s="86">
        <v>0.34288993876096563</v>
      </c>
      <c r="E5877" s="86"/>
      <c r="F5877" s="14"/>
    </row>
    <row r="5878" spans="1:6" x14ac:dyDescent="0.25">
      <c r="A5878" s="86">
        <v>5877</v>
      </c>
      <c r="B5878" s="87">
        <v>47.250443907949375</v>
      </c>
      <c r="C5878" s="14">
        <v>1</v>
      </c>
      <c r="D5878" s="86">
        <v>0.98168691680913245</v>
      </c>
      <c r="E5878" s="86"/>
      <c r="F5878" s="14"/>
    </row>
    <row r="5879" spans="1:6" x14ac:dyDescent="0.25">
      <c r="A5879" s="86">
        <v>5878</v>
      </c>
      <c r="B5879" s="87">
        <v>40.625843661808176</v>
      </c>
      <c r="C5879" s="14">
        <v>4</v>
      </c>
      <c r="D5879" s="86">
        <v>0.89898730565296003</v>
      </c>
      <c r="E5879" s="86"/>
      <c r="F5879" s="14"/>
    </row>
    <row r="5880" spans="1:6" x14ac:dyDescent="0.25">
      <c r="A5880" s="86">
        <v>5879</v>
      </c>
      <c r="B5880" s="87">
        <v>39.011126768280519</v>
      </c>
      <c r="C5880" s="14">
        <v>2</v>
      </c>
      <c r="D5880" s="86">
        <v>0.55891264705739996</v>
      </c>
      <c r="E5880" s="86"/>
      <c r="F5880" s="14"/>
    </row>
    <row r="5881" spans="1:6" x14ac:dyDescent="0.25">
      <c r="A5881" s="86">
        <v>5880</v>
      </c>
      <c r="B5881" s="87">
        <v>44.969294771697605</v>
      </c>
      <c r="C5881" s="14">
        <v>2</v>
      </c>
      <c r="D5881" s="86">
        <v>6.2627199216538032E-2</v>
      </c>
      <c r="E5881" s="86"/>
      <c r="F5881" s="14"/>
    </row>
    <row r="5882" spans="1:6" x14ac:dyDescent="0.25">
      <c r="A5882" s="86">
        <v>5881</v>
      </c>
      <c r="B5882" s="87">
        <v>36.958545019268058</v>
      </c>
      <c r="C5882" s="14">
        <v>4</v>
      </c>
      <c r="D5882" s="86">
        <v>0.5580947973677205</v>
      </c>
      <c r="E5882" s="86"/>
      <c r="F5882" s="14"/>
    </row>
    <row r="5883" spans="1:6" x14ac:dyDescent="0.25">
      <c r="A5883" s="86">
        <v>5882</v>
      </c>
      <c r="B5883" s="87">
        <v>41.819657776039094</v>
      </c>
      <c r="C5883" s="14">
        <v>5</v>
      </c>
      <c r="D5883" s="86">
        <v>0.80329746099645882</v>
      </c>
      <c r="E5883" s="86"/>
      <c r="F5883" s="14"/>
    </row>
    <row r="5884" spans="1:6" x14ac:dyDescent="0.25">
      <c r="A5884" s="86">
        <v>5883</v>
      </c>
      <c r="B5884" s="87">
        <v>50.832068149582483</v>
      </c>
      <c r="C5884" s="14">
        <v>5</v>
      </c>
      <c r="D5884" s="86">
        <v>0.58353233868234211</v>
      </c>
      <c r="E5884" s="86"/>
      <c r="F5884" s="14"/>
    </row>
    <row r="5885" spans="1:6" x14ac:dyDescent="0.25">
      <c r="A5885" s="86">
        <v>5884</v>
      </c>
      <c r="B5885" s="87">
        <v>40.136069396219682</v>
      </c>
      <c r="C5885" s="14">
        <v>5</v>
      </c>
      <c r="D5885" s="86">
        <v>0.34580413600365667</v>
      </c>
      <c r="E5885" s="86"/>
      <c r="F5885" s="14"/>
    </row>
    <row r="5886" spans="1:6" x14ac:dyDescent="0.25">
      <c r="A5886" s="86">
        <v>5885</v>
      </c>
      <c r="B5886" s="87">
        <v>41.104897258599522</v>
      </c>
      <c r="C5886" s="14">
        <v>4</v>
      </c>
      <c r="D5886" s="86">
        <v>0.37050932419171423</v>
      </c>
      <c r="E5886" s="86"/>
      <c r="F5886" s="14"/>
    </row>
    <row r="5887" spans="1:6" x14ac:dyDescent="0.25">
      <c r="A5887" s="86">
        <v>5886</v>
      </c>
      <c r="B5887" s="87">
        <v>43.767801111578592</v>
      </c>
      <c r="C5887" s="14">
        <v>4</v>
      </c>
      <c r="D5887" s="86">
        <v>0.37869187106085234</v>
      </c>
      <c r="E5887" s="86"/>
      <c r="F5887" s="14"/>
    </row>
    <row r="5888" spans="1:6" x14ac:dyDescent="0.25">
      <c r="A5888" s="86">
        <v>5887</v>
      </c>
      <c r="B5888" s="87">
        <v>36.180722412944306</v>
      </c>
      <c r="C5888" s="14">
        <v>2</v>
      </c>
      <c r="D5888" s="86">
        <v>0.64451033807173019</v>
      </c>
      <c r="E5888" s="86"/>
      <c r="F5888" s="14"/>
    </row>
    <row r="5889" spans="1:6" x14ac:dyDescent="0.25">
      <c r="A5889" s="86">
        <v>5888</v>
      </c>
      <c r="B5889" s="87">
        <v>41.240656395864789</v>
      </c>
      <c r="C5889" s="14">
        <v>2</v>
      </c>
      <c r="D5889" s="86">
        <v>0.78624789663993511</v>
      </c>
      <c r="E5889" s="86"/>
      <c r="F5889" s="14"/>
    </row>
    <row r="5890" spans="1:6" x14ac:dyDescent="0.25">
      <c r="A5890" s="86">
        <v>5889</v>
      </c>
      <c r="B5890" s="87">
        <v>43.747297690395499</v>
      </c>
      <c r="C5890" s="14">
        <v>4</v>
      </c>
      <c r="D5890" s="86">
        <v>0.78694017925005411</v>
      </c>
      <c r="E5890" s="86"/>
      <c r="F5890" s="14"/>
    </row>
    <row r="5891" spans="1:6" x14ac:dyDescent="0.25">
      <c r="A5891" s="86">
        <v>5890</v>
      </c>
      <c r="B5891" s="87">
        <v>44.896751200547442</v>
      </c>
      <c r="C5891" s="14">
        <v>2</v>
      </c>
      <c r="D5891" s="86">
        <v>0.37724673304274281</v>
      </c>
      <c r="E5891" s="86"/>
      <c r="F5891" s="14"/>
    </row>
    <row r="5892" spans="1:6" x14ac:dyDescent="0.25">
      <c r="A5892" s="86">
        <v>5891</v>
      </c>
      <c r="B5892" s="87">
        <v>43.997812321656966</v>
      </c>
      <c r="C5892" s="14">
        <v>2</v>
      </c>
      <c r="D5892" s="86">
        <v>0.42342916820954046</v>
      </c>
      <c r="E5892" s="86"/>
      <c r="F5892" s="14"/>
    </row>
    <row r="5893" spans="1:6" x14ac:dyDescent="0.25">
      <c r="A5893" s="86">
        <v>5892</v>
      </c>
      <c r="B5893" s="87">
        <v>55.648888514377177</v>
      </c>
      <c r="C5893" s="14">
        <v>5</v>
      </c>
      <c r="D5893" s="86">
        <v>0.4861744740339734</v>
      </c>
      <c r="E5893" s="86"/>
      <c r="F5893" s="14"/>
    </row>
    <row r="5894" spans="1:6" x14ac:dyDescent="0.25">
      <c r="A5894" s="86">
        <v>5893</v>
      </c>
      <c r="B5894" s="87">
        <v>39.244980593473883</v>
      </c>
      <c r="C5894" s="14">
        <v>3</v>
      </c>
      <c r="D5894" s="86">
        <v>0.83229530145797248</v>
      </c>
      <c r="E5894" s="86"/>
      <c r="F5894" s="14"/>
    </row>
    <row r="5895" spans="1:6" x14ac:dyDescent="0.25">
      <c r="A5895" s="86">
        <v>5894</v>
      </c>
      <c r="B5895" s="87">
        <v>40.121187789161922</v>
      </c>
      <c r="C5895" s="14">
        <v>4</v>
      </c>
      <c r="D5895" s="86">
        <v>0.17512623354816326</v>
      </c>
      <c r="E5895" s="86"/>
      <c r="F5895" s="14"/>
    </row>
    <row r="5896" spans="1:6" x14ac:dyDescent="0.25">
      <c r="A5896" s="86">
        <v>5895</v>
      </c>
      <c r="B5896" s="87">
        <v>47.249898211128311</v>
      </c>
      <c r="C5896" s="14">
        <v>2</v>
      </c>
      <c r="D5896" s="86">
        <v>0.62438887391488163</v>
      </c>
      <c r="E5896" s="86"/>
      <c r="F5896" s="14"/>
    </row>
    <row r="5897" spans="1:6" x14ac:dyDescent="0.25">
      <c r="A5897" s="86">
        <v>5896</v>
      </c>
      <c r="B5897" s="87">
        <v>48.051128937338945</v>
      </c>
      <c r="C5897" s="14">
        <v>3</v>
      </c>
      <c r="D5897" s="86">
        <v>0.9579573774221779</v>
      </c>
      <c r="E5897" s="86"/>
      <c r="F5897" s="14"/>
    </row>
    <row r="5898" spans="1:6" x14ac:dyDescent="0.25">
      <c r="A5898" s="86">
        <v>5897</v>
      </c>
      <c r="B5898" s="87">
        <v>41.978375970182242</v>
      </c>
      <c r="C5898" s="14">
        <v>2</v>
      </c>
      <c r="D5898" s="86">
        <v>0.41351838036843058</v>
      </c>
      <c r="E5898" s="86"/>
      <c r="F5898" s="14"/>
    </row>
    <row r="5899" spans="1:6" x14ac:dyDescent="0.25">
      <c r="A5899" s="86">
        <v>5898</v>
      </c>
      <c r="B5899" s="87">
        <v>44.059930809788057</v>
      </c>
      <c r="C5899" s="14">
        <v>1</v>
      </c>
      <c r="D5899" s="86">
        <v>0.59221417309770508</v>
      </c>
      <c r="E5899" s="86"/>
      <c r="F5899" s="14"/>
    </row>
    <row r="5900" spans="1:6" x14ac:dyDescent="0.25">
      <c r="A5900" s="86">
        <v>5899</v>
      </c>
      <c r="B5900" s="87">
        <v>51.135839379974641</v>
      </c>
      <c r="C5900" s="14">
        <v>4</v>
      </c>
      <c r="D5900" s="86">
        <v>0.46188632382679684</v>
      </c>
      <c r="E5900" s="86"/>
      <c r="F5900" s="14"/>
    </row>
    <row r="5901" spans="1:6" x14ac:dyDescent="0.25">
      <c r="A5901" s="86">
        <v>5900</v>
      </c>
      <c r="B5901" s="87">
        <v>38.549046616361011</v>
      </c>
      <c r="C5901" s="14">
        <v>1</v>
      </c>
      <c r="D5901" s="86">
        <v>0.2084897915293511</v>
      </c>
      <c r="E5901" s="86"/>
      <c r="F5901" s="14"/>
    </row>
    <row r="5902" spans="1:6" x14ac:dyDescent="0.25">
      <c r="A5902" s="86">
        <v>5901</v>
      </c>
      <c r="B5902" s="87">
        <v>39.697931692324346</v>
      </c>
      <c r="C5902" s="14">
        <v>2</v>
      </c>
      <c r="D5902" s="86">
        <v>0.68621987992343914</v>
      </c>
      <c r="E5902" s="86"/>
      <c r="F5902" s="14"/>
    </row>
    <row r="5903" spans="1:6" x14ac:dyDescent="0.25">
      <c r="A5903" s="86">
        <v>5902</v>
      </c>
      <c r="B5903" s="87">
        <v>48.632466582028428</v>
      </c>
      <c r="C5903" s="14">
        <v>2</v>
      </c>
      <c r="D5903" s="86">
        <v>0.66966360331941743</v>
      </c>
      <c r="E5903" s="86"/>
      <c r="F5903" s="14"/>
    </row>
    <row r="5904" spans="1:6" x14ac:dyDescent="0.25">
      <c r="A5904" s="86">
        <v>5903</v>
      </c>
      <c r="B5904" s="87">
        <v>43.733371052774601</v>
      </c>
      <c r="C5904" s="14">
        <v>4</v>
      </c>
      <c r="D5904" s="86">
        <v>0.88435996001302086</v>
      </c>
      <c r="E5904" s="86"/>
      <c r="F5904" s="14"/>
    </row>
    <row r="5905" spans="1:6" x14ac:dyDescent="0.25">
      <c r="A5905" s="86">
        <v>5904</v>
      </c>
      <c r="B5905" s="87">
        <v>41.909538589941803</v>
      </c>
      <c r="C5905" s="14">
        <v>2</v>
      </c>
      <c r="D5905" s="86">
        <v>0.81281761100309768</v>
      </c>
      <c r="E5905" s="86"/>
      <c r="F5905" s="14"/>
    </row>
    <row r="5906" spans="1:6" x14ac:dyDescent="0.25">
      <c r="A5906" s="86">
        <v>5905</v>
      </c>
      <c r="B5906" s="87">
        <v>31.723084243247285</v>
      </c>
      <c r="C5906" s="14">
        <v>5</v>
      </c>
      <c r="D5906" s="86">
        <v>0.74369333937718107</v>
      </c>
      <c r="E5906" s="86"/>
      <c r="F5906" s="14"/>
    </row>
    <row r="5907" spans="1:6" x14ac:dyDescent="0.25">
      <c r="A5907" s="86">
        <v>5906</v>
      </c>
      <c r="B5907" s="87">
        <v>42.339627265726449</v>
      </c>
      <c r="C5907" s="14">
        <v>4</v>
      </c>
      <c r="D5907" s="86">
        <v>0.34499573142899365</v>
      </c>
      <c r="E5907" s="86"/>
      <c r="F5907" s="14"/>
    </row>
    <row r="5908" spans="1:6" x14ac:dyDescent="0.25">
      <c r="A5908" s="86">
        <v>5907</v>
      </c>
      <c r="B5908" s="87">
        <v>46.816660409938777</v>
      </c>
      <c r="C5908" s="14">
        <v>2</v>
      </c>
      <c r="D5908" s="86">
        <v>0.54377783510187194</v>
      </c>
      <c r="E5908" s="86"/>
      <c r="F5908" s="14"/>
    </row>
    <row r="5909" spans="1:6" x14ac:dyDescent="0.25">
      <c r="A5909" s="86">
        <v>5908</v>
      </c>
      <c r="B5909" s="87">
        <v>41.688264213342336</v>
      </c>
      <c r="C5909" s="14">
        <v>5</v>
      </c>
      <c r="D5909" s="86">
        <v>0.85520794379693021</v>
      </c>
      <c r="E5909" s="86"/>
      <c r="F5909" s="14"/>
    </row>
    <row r="5910" spans="1:6" x14ac:dyDescent="0.25">
      <c r="A5910" s="86">
        <v>5909</v>
      </c>
      <c r="B5910" s="87">
        <v>45.077644012388191</v>
      </c>
      <c r="C5910" s="14">
        <v>5</v>
      </c>
      <c r="D5910" s="86">
        <v>0.98955597734866751</v>
      </c>
      <c r="E5910" s="86"/>
      <c r="F5910" s="14"/>
    </row>
    <row r="5911" spans="1:6" x14ac:dyDescent="0.25">
      <c r="A5911" s="86">
        <v>5910</v>
      </c>
      <c r="B5911" s="87">
        <v>37.921404322667513</v>
      </c>
      <c r="C5911" s="14">
        <v>2</v>
      </c>
      <c r="D5911" s="86">
        <v>0.92831738746092829</v>
      </c>
      <c r="E5911" s="86"/>
      <c r="F5911" s="14"/>
    </row>
    <row r="5912" spans="1:6" x14ac:dyDescent="0.25">
      <c r="A5912" s="86">
        <v>5911</v>
      </c>
      <c r="B5912" s="87">
        <v>41.068676632101415</v>
      </c>
      <c r="C5912" s="14">
        <v>2</v>
      </c>
      <c r="D5912" s="86">
        <v>0.60047166851787626</v>
      </c>
      <c r="E5912" s="86"/>
      <c r="F5912" s="14"/>
    </row>
    <row r="5913" spans="1:6" x14ac:dyDescent="0.25">
      <c r="A5913" s="86">
        <v>5912</v>
      </c>
      <c r="B5913" s="87">
        <v>44.544833594380179</v>
      </c>
      <c r="C5913" s="14">
        <v>1</v>
      </c>
      <c r="D5913" s="86">
        <v>0.89493283372260868</v>
      </c>
      <c r="E5913" s="86"/>
      <c r="F5913" s="14"/>
    </row>
    <row r="5914" spans="1:6" x14ac:dyDescent="0.25">
      <c r="A5914" s="86">
        <v>5913</v>
      </c>
      <c r="B5914" s="87">
        <v>36.157371136476286</v>
      </c>
      <c r="C5914" s="14">
        <v>5</v>
      </c>
      <c r="D5914" s="86">
        <v>0.87221939979852525</v>
      </c>
      <c r="E5914" s="86"/>
      <c r="F5914" s="14"/>
    </row>
    <row r="5915" spans="1:6" x14ac:dyDescent="0.25">
      <c r="A5915" s="86">
        <v>5914</v>
      </c>
      <c r="B5915" s="87">
        <v>47.455500857147854</v>
      </c>
      <c r="C5915" s="14">
        <v>4</v>
      </c>
      <c r="D5915" s="86">
        <v>0.42687281069485228</v>
      </c>
      <c r="E5915" s="86"/>
      <c r="F5915" s="14"/>
    </row>
    <row r="5916" spans="1:6" x14ac:dyDescent="0.25">
      <c r="A5916" s="86">
        <v>5915</v>
      </c>
      <c r="B5916" s="87">
        <v>49.187678991409484</v>
      </c>
      <c r="C5916" s="14">
        <v>3</v>
      </c>
      <c r="D5916" s="86">
        <v>0.44519145639208657</v>
      </c>
      <c r="E5916" s="86"/>
      <c r="F5916" s="14"/>
    </row>
    <row r="5917" spans="1:6" x14ac:dyDescent="0.25">
      <c r="A5917" s="86">
        <v>5916</v>
      </c>
      <c r="B5917" s="87">
        <v>42.94740846886998</v>
      </c>
      <c r="C5917" s="14">
        <v>2</v>
      </c>
      <c r="D5917" s="86">
        <v>0.86689617220849913</v>
      </c>
      <c r="E5917" s="86"/>
      <c r="F5917" s="14"/>
    </row>
    <row r="5918" spans="1:6" x14ac:dyDescent="0.25">
      <c r="A5918" s="86">
        <v>5917</v>
      </c>
      <c r="B5918" s="87">
        <v>46.986247065768111</v>
      </c>
      <c r="C5918" s="14">
        <v>4</v>
      </c>
      <c r="D5918" s="86">
        <v>0.76008458565198345</v>
      </c>
      <c r="E5918" s="86"/>
      <c r="F5918" s="14"/>
    </row>
    <row r="5919" spans="1:6" x14ac:dyDescent="0.25">
      <c r="A5919" s="86">
        <v>5918</v>
      </c>
      <c r="B5919" s="87">
        <v>39.508586264098994</v>
      </c>
      <c r="C5919" s="14">
        <v>4</v>
      </c>
      <c r="D5919" s="86">
        <v>0.81573264500844356</v>
      </c>
      <c r="E5919" s="86"/>
      <c r="F5919" s="14"/>
    </row>
    <row r="5920" spans="1:6" x14ac:dyDescent="0.25">
      <c r="A5920" s="86">
        <v>5919</v>
      </c>
      <c r="B5920" s="87">
        <v>42.66219093039399</v>
      </c>
      <c r="C5920" s="14">
        <v>4</v>
      </c>
      <c r="D5920" s="86">
        <v>0.26382137221232993</v>
      </c>
      <c r="E5920" s="86"/>
      <c r="F5920" s="14"/>
    </row>
    <row r="5921" spans="1:6" x14ac:dyDescent="0.25">
      <c r="A5921" s="86">
        <v>5920</v>
      </c>
      <c r="B5921" s="87">
        <v>46.165814632666297</v>
      </c>
      <c r="C5921" s="14">
        <v>2</v>
      </c>
      <c r="D5921" s="86">
        <v>0.67063119017697193</v>
      </c>
      <c r="E5921" s="86"/>
      <c r="F5921" s="14"/>
    </row>
    <row r="5922" spans="1:6" x14ac:dyDescent="0.25">
      <c r="A5922" s="86">
        <v>5921</v>
      </c>
      <c r="B5922" s="87">
        <v>41.061673522897763</v>
      </c>
      <c r="C5922" s="14">
        <v>2</v>
      </c>
      <c r="D5922" s="86">
        <v>4.8336366034030132E-2</v>
      </c>
      <c r="E5922" s="86"/>
      <c r="F5922" s="14"/>
    </row>
    <row r="5923" spans="1:6" x14ac:dyDescent="0.25">
      <c r="A5923" s="86">
        <v>5922</v>
      </c>
      <c r="B5923" s="87">
        <v>55.804957805201411</v>
      </c>
      <c r="C5923" s="14">
        <v>2</v>
      </c>
      <c r="D5923" s="86">
        <v>0.99981102544931533</v>
      </c>
      <c r="E5923" s="86"/>
      <c r="F5923" s="14"/>
    </row>
    <row r="5924" spans="1:6" x14ac:dyDescent="0.25">
      <c r="A5924" s="86">
        <v>5923</v>
      </c>
      <c r="B5924" s="87">
        <v>33.602736943401396</v>
      </c>
      <c r="C5924" s="14">
        <v>1</v>
      </c>
      <c r="D5924" s="86">
        <v>0.50696897491442583</v>
      </c>
      <c r="E5924" s="86"/>
      <c r="F5924" s="14"/>
    </row>
    <row r="5925" spans="1:6" x14ac:dyDescent="0.25">
      <c r="A5925" s="86">
        <v>5924</v>
      </c>
      <c r="B5925" s="87">
        <v>39.520773493102752</v>
      </c>
      <c r="C5925" s="14">
        <v>5</v>
      </c>
      <c r="D5925" s="86">
        <v>0.38874464908782547</v>
      </c>
      <c r="E5925" s="86"/>
      <c r="F5925" s="14"/>
    </row>
    <row r="5926" spans="1:6" x14ac:dyDescent="0.25">
      <c r="A5926" s="86">
        <v>5925</v>
      </c>
      <c r="B5926" s="87">
        <v>42.229100922093494</v>
      </c>
      <c r="C5926" s="14">
        <v>5</v>
      </c>
      <c r="D5926" s="86">
        <v>0.3469384105681329</v>
      </c>
      <c r="E5926" s="86"/>
      <c r="F5926" s="14"/>
    </row>
    <row r="5927" spans="1:6" x14ac:dyDescent="0.25">
      <c r="A5927" s="86">
        <v>5926</v>
      </c>
      <c r="B5927" s="87">
        <v>42.623463509124122</v>
      </c>
      <c r="C5927" s="14">
        <v>5</v>
      </c>
      <c r="D5927" s="86">
        <v>3.7139585987929102E-2</v>
      </c>
      <c r="E5927" s="86"/>
      <c r="F5927" s="14"/>
    </row>
    <row r="5928" spans="1:6" x14ac:dyDescent="0.25">
      <c r="A5928" s="86">
        <v>5927</v>
      </c>
      <c r="B5928" s="87">
        <v>45.00240037884214</v>
      </c>
      <c r="C5928" s="14">
        <v>5</v>
      </c>
      <c r="D5928" s="86">
        <v>0.72899865770213357</v>
      </c>
      <c r="E5928" s="86"/>
      <c r="F5928" s="14"/>
    </row>
    <row r="5929" spans="1:6" x14ac:dyDescent="0.25">
      <c r="A5929" s="86">
        <v>5928</v>
      </c>
      <c r="B5929" s="87">
        <v>41.258545019780286</v>
      </c>
      <c r="C5929" s="14">
        <v>5</v>
      </c>
      <c r="D5929" s="86">
        <v>0.7985562934473166</v>
      </c>
      <c r="E5929" s="86"/>
      <c r="F5929" s="14"/>
    </row>
    <row r="5930" spans="1:6" x14ac:dyDescent="0.25">
      <c r="A5930" s="86">
        <v>5929</v>
      </c>
      <c r="B5930" s="87">
        <v>44.726829168546828</v>
      </c>
      <c r="C5930" s="14">
        <v>4</v>
      </c>
      <c r="D5930" s="86">
        <v>0.62195754183833107</v>
      </c>
      <c r="E5930" s="86"/>
      <c r="F5930" s="14"/>
    </row>
    <row r="5931" spans="1:6" x14ac:dyDescent="0.25">
      <c r="A5931" s="86">
        <v>5930</v>
      </c>
      <c r="B5931" s="87">
        <v>43.764316610002425</v>
      </c>
      <c r="C5931" s="14">
        <v>2</v>
      </c>
      <c r="D5931" s="86">
        <v>0.95512220426061589</v>
      </c>
      <c r="E5931" s="86"/>
      <c r="F5931" s="14"/>
    </row>
    <row r="5932" spans="1:6" x14ac:dyDescent="0.25">
      <c r="A5932" s="86">
        <v>5931</v>
      </c>
      <c r="B5932" s="87">
        <v>40.139673268975457</v>
      </c>
      <c r="C5932" s="14">
        <v>2</v>
      </c>
      <c r="D5932" s="86">
        <v>0.98707951615295075</v>
      </c>
      <c r="E5932" s="86"/>
      <c r="F5932" s="14"/>
    </row>
    <row r="5933" spans="1:6" x14ac:dyDescent="0.25">
      <c r="A5933" s="86">
        <v>5932</v>
      </c>
      <c r="B5933" s="87">
        <v>51.777760740485974</v>
      </c>
      <c r="C5933" s="14">
        <v>2</v>
      </c>
      <c r="D5933" s="86">
        <v>0.73266027339570283</v>
      </c>
      <c r="E5933" s="86"/>
      <c r="F5933" s="14"/>
    </row>
    <row r="5934" spans="1:6" x14ac:dyDescent="0.25">
      <c r="A5934" s="86">
        <v>5933</v>
      </c>
      <c r="B5934" s="87">
        <v>48.359538590710144</v>
      </c>
      <c r="C5934" s="14">
        <v>4</v>
      </c>
      <c r="D5934" s="86">
        <v>0.2629905105360576</v>
      </c>
      <c r="E5934" s="86"/>
      <c r="F5934" s="14"/>
    </row>
    <row r="5935" spans="1:6" x14ac:dyDescent="0.25">
      <c r="A5935" s="86">
        <v>5934</v>
      </c>
      <c r="B5935" s="87">
        <v>42.849848109079176</v>
      </c>
      <c r="C5935" s="14">
        <v>4</v>
      </c>
      <c r="D5935" s="86">
        <v>0.50834616507197083</v>
      </c>
      <c r="E5935" s="86"/>
      <c r="F5935" s="14"/>
    </row>
    <row r="5936" spans="1:6" x14ac:dyDescent="0.25">
      <c r="A5936" s="86">
        <v>5935</v>
      </c>
      <c r="B5936" s="87">
        <v>47.360720140539343</v>
      </c>
      <c r="C5936" s="14">
        <v>1</v>
      </c>
      <c r="D5936" s="86">
        <v>0.63109039874105488</v>
      </c>
      <c r="E5936" s="86"/>
      <c r="F5936" s="14"/>
    </row>
    <row r="5937" spans="1:6" x14ac:dyDescent="0.25">
      <c r="A5937" s="86">
        <v>5936</v>
      </c>
      <c r="B5937" s="87">
        <v>38.407995356799802</v>
      </c>
      <c r="C5937" s="14">
        <v>2</v>
      </c>
      <c r="D5937" s="86">
        <v>5.409351554090025E-2</v>
      </c>
      <c r="E5937" s="86"/>
      <c r="F5937" s="14"/>
    </row>
    <row r="5938" spans="1:6" x14ac:dyDescent="0.25">
      <c r="A5938" s="86">
        <v>5937</v>
      </c>
      <c r="B5938" s="87">
        <v>45.387008635196253</v>
      </c>
      <c r="C5938" s="14">
        <v>2</v>
      </c>
      <c r="D5938" s="86">
        <v>0.99843962486061122</v>
      </c>
      <c r="E5938" s="86"/>
      <c r="F5938" s="14"/>
    </row>
    <row r="5939" spans="1:6" x14ac:dyDescent="0.25">
      <c r="A5939" s="86">
        <v>5938</v>
      </c>
      <c r="B5939" s="87">
        <v>53.543271855567582</v>
      </c>
      <c r="C5939" s="14">
        <v>1</v>
      </c>
      <c r="D5939" s="86">
        <v>0.50261636595234249</v>
      </c>
      <c r="E5939" s="86"/>
      <c r="F5939" s="14"/>
    </row>
    <row r="5940" spans="1:6" x14ac:dyDescent="0.25">
      <c r="A5940" s="86">
        <v>5939</v>
      </c>
      <c r="B5940" s="87">
        <v>38.134623986814404</v>
      </c>
      <c r="C5940" s="14">
        <v>5</v>
      </c>
      <c r="D5940" s="86">
        <v>0.30226349845327749</v>
      </c>
      <c r="E5940" s="86"/>
      <c r="F5940" s="14"/>
    </row>
    <row r="5941" spans="1:6" x14ac:dyDescent="0.25">
      <c r="A5941" s="86">
        <v>5940</v>
      </c>
      <c r="B5941" s="87">
        <v>40.827740116917994</v>
      </c>
      <c r="C5941" s="14">
        <v>4</v>
      </c>
      <c r="D5941" s="86">
        <v>0.36832952070008362</v>
      </c>
      <c r="E5941" s="86"/>
      <c r="F5941" s="14"/>
    </row>
    <row r="5942" spans="1:6" x14ac:dyDescent="0.25">
      <c r="A5942" s="86">
        <v>5941</v>
      </c>
      <c r="B5942" s="87">
        <v>40.702627752005355</v>
      </c>
      <c r="C5942" s="14">
        <v>3</v>
      </c>
      <c r="D5942" s="86">
        <v>0.54252430868239232</v>
      </c>
      <c r="E5942" s="86"/>
      <c r="F5942" s="14"/>
    </row>
    <row r="5943" spans="1:6" x14ac:dyDescent="0.25">
      <c r="A5943" s="86">
        <v>5942</v>
      </c>
      <c r="B5943" s="87">
        <v>42.59660499371239</v>
      </c>
      <c r="C5943" s="14">
        <v>3</v>
      </c>
      <c r="D5943" s="86">
        <v>0.46284540587166367</v>
      </c>
      <c r="E5943" s="86"/>
      <c r="F5943" s="14"/>
    </row>
    <row r="5944" spans="1:6" x14ac:dyDescent="0.25">
      <c r="A5944" s="86">
        <v>5943</v>
      </c>
      <c r="B5944" s="87">
        <v>41.809823864576174</v>
      </c>
      <c r="C5944" s="14">
        <v>5</v>
      </c>
      <c r="D5944" s="86">
        <v>0.74966583417209631</v>
      </c>
      <c r="E5944" s="86"/>
      <c r="F5944" s="14"/>
    </row>
    <row r="5945" spans="1:6" x14ac:dyDescent="0.25">
      <c r="A5945" s="86">
        <v>5944</v>
      </c>
      <c r="B5945" s="87">
        <v>47.120130370210973</v>
      </c>
      <c r="C5945" s="14">
        <v>4</v>
      </c>
      <c r="D5945" s="86">
        <v>0.61501338530645999</v>
      </c>
      <c r="E5945" s="86"/>
      <c r="F5945" s="14"/>
    </row>
    <row r="5946" spans="1:6" x14ac:dyDescent="0.25">
      <c r="A5946" s="86">
        <v>5945</v>
      </c>
      <c r="B5946" s="87">
        <v>43.659218812870677</v>
      </c>
      <c r="C5946" s="14">
        <v>5</v>
      </c>
      <c r="D5946" s="86">
        <v>0.12884022649780724</v>
      </c>
      <c r="E5946" s="86"/>
      <c r="F5946" s="14"/>
    </row>
    <row r="5947" spans="1:6" x14ac:dyDescent="0.25">
      <c r="A5947" s="86">
        <v>5946</v>
      </c>
      <c r="B5947" s="87">
        <v>41.76057472647517</v>
      </c>
      <c r="C5947" s="14">
        <v>4</v>
      </c>
      <c r="D5947" s="86">
        <v>0.48269896116879918</v>
      </c>
      <c r="E5947" s="86"/>
      <c r="F5947" s="14"/>
    </row>
    <row r="5948" spans="1:6" x14ac:dyDescent="0.25">
      <c r="A5948" s="86">
        <v>5947</v>
      </c>
      <c r="B5948" s="87">
        <v>40.370491655601654</v>
      </c>
      <c r="C5948" s="14">
        <v>4</v>
      </c>
      <c r="D5948" s="86">
        <v>0.72298208480553405</v>
      </c>
      <c r="E5948" s="86"/>
      <c r="F5948" s="14"/>
    </row>
    <row r="5949" spans="1:6" x14ac:dyDescent="0.25">
      <c r="A5949" s="86">
        <v>5948</v>
      </c>
      <c r="B5949" s="87">
        <v>40.829422682116274</v>
      </c>
      <c r="C5949" s="14">
        <v>5</v>
      </c>
      <c r="D5949" s="86">
        <v>0.82089813854215821</v>
      </c>
      <c r="E5949" s="86"/>
      <c r="F5949" s="14"/>
    </row>
    <row r="5950" spans="1:6" x14ac:dyDescent="0.25">
      <c r="A5950" s="86">
        <v>5949</v>
      </c>
      <c r="B5950" s="87">
        <v>41.317355220933678</v>
      </c>
      <c r="C5950" s="14">
        <v>5</v>
      </c>
      <c r="D5950" s="86">
        <v>0.15157488789954987</v>
      </c>
      <c r="E5950" s="86"/>
      <c r="F5950" s="14"/>
    </row>
    <row r="5951" spans="1:6" x14ac:dyDescent="0.25">
      <c r="A5951" s="86">
        <v>5950</v>
      </c>
      <c r="B5951" s="87">
        <v>42.16323076831759</v>
      </c>
      <c r="C5951" s="14">
        <v>4</v>
      </c>
      <c r="D5951" s="86">
        <v>9.5147826465021623E-2</v>
      </c>
      <c r="E5951" s="86"/>
      <c r="F5951" s="14"/>
    </row>
    <row r="5952" spans="1:6" x14ac:dyDescent="0.25">
      <c r="A5952" s="86">
        <v>5951</v>
      </c>
      <c r="B5952" s="87">
        <v>42.867833366806735</v>
      </c>
      <c r="C5952" s="14">
        <v>4</v>
      </c>
      <c r="D5952" s="86">
        <v>0.82416378546383673</v>
      </c>
      <c r="E5952" s="86"/>
      <c r="F5952" s="14"/>
    </row>
    <row r="5953" spans="1:6" x14ac:dyDescent="0.25">
      <c r="A5953" s="86">
        <v>5952</v>
      </c>
      <c r="B5953" s="87">
        <v>46.331149400764843</v>
      </c>
      <c r="C5953" s="14">
        <v>2</v>
      </c>
      <c r="D5953" s="86">
        <v>0.47569106086516033</v>
      </c>
      <c r="E5953" s="86"/>
      <c r="F5953" s="14"/>
    </row>
    <row r="5954" spans="1:6" x14ac:dyDescent="0.25">
      <c r="A5954" s="86">
        <v>5953</v>
      </c>
      <c r="B5954" s="87">
        <v>44.970533958228771</v>
      </c>
      <c r="C5954" s="14">
        <v>4</v>
      </c>
      <c r="D5954" s="86">
        <v>0.45990572460935653</v>
      </c>
      <c r="E5954" s="86"/>
      <c r="F5954" s="14"/>
    </row>
    <row r="5955" spans="1:6" x14ac:dyDescent="0.25">
      <c r="A5955" s="86">
        <v>5954</v>
      </c>
      <c r="B5955" s="87">
        <v>43.341640316037228</v>
      </c>
      <c r="C5955" s="14">
        <v>5</v>
      </c>
      <c r="D5955" s="86">
        <v>9.2792625323582234E-3</v>
      </c>
      <c r="E5955" s="86"/>
      <c r="F5955" s="14"/>
    </row>
    <row r="5956" spans="1:6" x14ac:dyDescent="0.25">
      <c r="A5956" s="86">
        <v>5955</v>
      </c>
      <c r="B5956" s="87">
        <v>46.204701215508976</v>
      </c>
      <c r="C5956" s="14">
        <v>4</v>
      </c>
      <c r="D5956" s="86">
        <v>0.39939552139318235</v>
      </c>
      <c r="E5956" s="86"/>
      <c r="F5956" s="14"/>
    </row>
    <row r="5957" spans="1:6" x14ac:dyDescent="0.25">
      <c r="A5957" s="86">
        <v>5956</v>
      </c>
      <c r="B5957" s="87">
        <v>40.00620492149028</v>
      </c>
      <c r="C5957" s="14">
        <v>2</v>
      </c>
      <c r="D5957" s="86">
        <v>0.44057019742471137</v>
      </c>
      <c r="E5957" s="86"/>
      <c r="F5957" s="14"/>
    </row>
    <row r="5958" spans="1:6" x14ac:dyDescent="0.25">
      <c r="A5958" s="86">
        <v>5957</v>
      </c>
      <c r="B5958" s="87">
        <v>44.71303327078931</v>
      </c>
      <c r="C5958" s="14">
        <v>4</v>
      </c>
      <c r="D5958" s="86">
        <v>0.10799159023449079</v>
      </c>
      <c r="E5958" s="86"/>
      <c r="F5958" s="14"/>
    </row>
    <row r="5959" spans="1:6" x14ac:dyDescent="0.25">
      <c r="A5959" s="86">
        <v>5958</v>
      </c>
      <c r="B5959" s="87">
        <v>45.895080797316041</v>
      </c>
      <c r="C5959" s="14">
        <v>4</v>
      </c>
      <c r="D5959" s="86">
        <v>0.61228877948920646</v>
      </c>
      <c r="E5959" s="86"/>
      <c r="F5959" s="14"/>
    </row>
    <row r="5960" spans="1:6" x14ac:dyDescent="0.25">
      <c r="A5960" s="86">
        <v>5959</v>
      </c>
      <c r="B5960" s="87">
        <v>40.324255218700273</v>
      </c>
      <c r="C5960" s="14">
        <v>5</v>
      </c>
      <c r="D5960" s="86">
        <v>0.9310197019959463</v>
      </c>
      <c r="E5960" s="86"/>
      <c r="F5960" s="14"/>
    </row>
    <row r="5961" spans="1:6" x14ac:dyDescent="0.25">
      <c r="A5961" s="86">
        <v>5960</v>
      </c>
      <c r="B5961" s="87">
        <v>44.389889803249389</v>
      </c>
      <c r="C5961" s="14">
        <v>5</v>
      </c>
      <c r="D5961" s="86">
        <v>0.42007171430939982</v>
      </c>
      <c r="E5961" s="86"/>
      <c r="F5961" s="14"/>
    </row>
    <row r="5962" spans="1:6" x14ac:dyDescent="0.25">
      <c r="A5962" s="86">
        <v>5961</v>
      </c>
      <c r="B5962" s="87">
        <v>41.867974682070781</v>
      </c>
      <c r="C5962" s="14">
        <v>1</v>
      </c>
      <c r="D5962" s="86">
        <v>5.398087908950544E-2</v>
      </c>
      <c r="E5962" s="86"/>
      <c r="F5962" s="14"/>
    </row>
    <row r="5963" spans="1:6" x14ac:dyDescent="0.25">
      <c r="A5963" s="86">
        <v>5962</v>
      </c>
      <c r="B5963" s="87">
        <v>44.934205329234828</v>
      </c>
      <c r="C5963" s="14">
        <v>4</v>
      </c>
      <c r="D5963" s="86">
        <v>0.92863878463227534</v>
      </c>
      <c r="E5963" s="86"/>
      <c r="F5963" s="14"/>
    </row>
    <row r="5964" spans="1:6" x14ac:dyDescent="0.25">
      <c r="A5964" s="86">
        <v>5963</v>
      </c>
      <c r="B5964" s="87">
        <v>49.615584879909875</v>
      </c>
      <c r="C5964" s="14">
        <v>4</v>
      </c>
      <c r="D5964" s="86">
        <v>0.74401393428271712</v>
      </c>
      <c r="E5964" s="86"/>
      <c r="F5964" s="14"/>
    </row>
    <row r="5965" spans="1:6" x14ac:dyDescent="0.25">
      <c r="A5965" s="86">
        <v>5964</v>
      </c>
      <c r="B5965" s="87">
        <v>54.53475750470534</v>
      </c>
      <c r="C5965" s="14">
        <v>2</v>
      </c>
      <c r="D5965" s="86">
        <v>0.95296825144297281</v>
      </c>
      <c r="E5965" s="86"/>
      <c r="F5965" s="14"/>
    </row>
    <row r="5966" spans="1:6" x14ac:dyDescent="0.25">
      <c r="A5966" s="86">
        <v>5965</v>
      </c>
      <c r="B5966" s="87">
        <v>40.913596416765358</v>
      </c>
      <c r="C5966" s="14">
        <v>2</v>
      </c>
      <c r="D5966" s="86">
        <v>0.93649082094840719</v>
      </c>
      <c r="E5966" s="86"/>
      <c r="F5966" s="14"/>
    </row>
    <row r="5967" spans="1:6" x14ac:dyDescent="0.25">
      <c r="A5967" s="86">
        <v>5966</v>
      </c>
      <c r="B5967" s="87">
        <v>43.612561734669725</v>
      </c>
      <c r="C5967" s="14">
        <v>4</v>
      </c>
      <c r="D5967" s="86">
        <v>0.31595614097653379</v>
      </c>
      <c r="E5967" s="86"/>
      <c r="F5967" s="14"/>
    </row>
    <row r="5968" spans="1:6" x14ac:dyDescent="0.25">
      <c r="A5968" s="86">
        <v>5967</v>
      </c>
      <c r="B5968" s="87">
        <v>43.169285385709372</v>
      </c>
      <c r="C5968" s="14">
        <v>2</v>
      </c>
      <c r="D5968" s="86">
        <v>0.40583405455020705</v>
      </c>
      <c r="E5968" s="86"/>
      <c r="F5968" s="14"/>
    </row>
    <row r="5969" spans="1:6" x14ac:dyDescent="0.25">
      <c r="A5969" s="86">
        <v>5968</v>
      </c>
      <c r="B5969" s="87">
        <v>39.310589267523028</v>
      </c>
      <c r="C5969" s="14">
        <v>4</v>
      </c>
      <c r="D5969" s="86">
        <v>0.75506811491262638</v>
      </c>
      <c r="E5969" s="86"/>
      <c r="F5969" s="14"/>
    </row>
    <row r="5970" spans="1:6" x14ac:dyDescent="0.25">
      <c r="A5970" s="86">
        <v>5969</v>
      </c>
      <c r="B5970" s="87">
        <v>43.591370508118416</v>
      </c>
      <c r="C5970" s="14">
        <v>4</v>
      </c>
      <c r="D5970" s="86">
        <v>0.8231661584504939</v>
      </c>
      <c r="E5970" s="86"/>
      <c r="F5970" s="14"/>
    </row>
    <row r="5971" spans="1:6" x14ac:dyDescent="0.25">
      <c r="A5971" s="86">
        <v>5970</v>
      </c>
      <c r="B5971" s="87">
        <v>47.109392648388166</v>
      </c>
      <c r="C5971" s="14">
        <v>5</v>
      </c>
      <c r="D5971" s="86">
        <v>0.62637843286888484</v>
      </c>
      <c r="E5971" s="86"/>
      <c r="F5971" s="14"/>
    </row>
    <row r="5972" spans="1:6" x14ac:dyDescent="0.25">
      <c r="A5972" s="86">
        <v>5971</v>
      </c>
      <c r="B5972" s="87">
        <v>38.067241798096802</v>
      </c>
      <c r="C5972" s="14">
        <v>4</v>
      </c>
      <c r="D5972" s="86">
        <v>0.29124488465117881</v>
      </c>
      <c r="E5972" s="86"/>
      <c r="F5972" s="14"/>
    </row>
    <row r="5973" spans="1:6" x14ac:dyDescent="0.25">
      <c r="A5973" s="86">
        <v>5972</v>
      </c>
      <c r="B5973" s="87">
        <v>37.19238747577765</v>
      </c>
      <c r="C5973" s="14">
        <v>4</v>
      </c>
      <c r="D5973" s="86">
        <v>0.92416929869598696</v>
      </c>
      <c r="E5973" s="86"/>
      <c r="F5973" s="14"/>
    </row>
    <row r="5974" spans="1:6" x14ac:dyDescent="0.25">
      <c r="A5974" s="86">
        <v>5973</v>
      </c>
      <c r="B5974" s="87">
        <v>41.394071099028224</v>
      </c>
      <c r="C5974" s="14">
        <v>2</v>
      </c>
      <c r="D5974" s="86">
        <v>0.25542325215108574</v>
      </c>
      <c r="E5974" s="86"/>
      <c r="F5974" s="14"/>
    </row>
    <row r="5975" spans="1:6" x14ac:dyDescent="0.25">
      <c r="A5975" s="86">
        <v>5974</v>
      </c>
      <c r="B5975" s="87">
        <v>46.338311671541305</v>
      </c>
      <c r="C5975" s="14">
        <v>4</v>
      </c>
      <c r="D5975" s="86">
        <v>0.62959579092915263</v>
      </c>
      <c r="E5975" s="86"/>
      <c r="F5975" s="14"/>
    </row>
    <row r="5976" spans="1:6" x14ac:dyDescent="0.25">
      <c r="A5976" s="86">
        <v>5975</v>
      </c>
      <c r="B5976" s="87">
        <v>37.96477585125831</v>
      </c>
      <c r="C5976" s="14">
        <v>4</v>
      </c>
      <c r="D5976" s="86">
        <v>0.98484502793364881</v>
      </c>
      <c r="E5976" s="86"/>
      <c r="F5976" s="14"/>
    </row>
    <row r="5977" spans="1:6" x14ac:dyDescent="0.25">
      <c r="A5977" s="86">
        <v>5976</v>
      </c>
      <c r="B5977" s="87">
        <v>36.516121321590617</v>
      </c>
      <c r="C5977" s="14">
        <v>2</v>
      </c>
      <c r="D5977" s="86">
        <v>0.87649225088887672</v>
      </c>
      <c r="E5977" s="86"/>
      <c r="F5977" s="14"/>
    </row>
    <row r="5978" spans="1:6" x14ac:dyDescent="0.25">
      <c r="A5978" s="86">
        <v>5977</v>
      </c>
      <c r="B5978" s="87">
        <v>55.804957805201411</v>
      </c>
      <c r="C5978" s="14">
        <v>2</v>
      </c>
      <c r="D5978" s="86">
        <v>0.61378762305275414</v>
      </c>
      <c r="E5978" s="86"/>
      <c r="F5978" s="14"/>
    </row>
    <row r="5979" spans="1:6" x14ac:dyDescent="0.25">
      <c r="A5979" s="86">
        <v>5978</v>
      </c>
      <c r="B5979" s="87">
        <v>53.301573638571426</v>
      </c>
      <c r="C5979" s="14">
        <v>4</v>
      </c>
      <c r="D5979" s="86">
        <v>0.81944970935858541</v>
      </c>
      <c r="E5979" s="86"/>
      <c r="F5979" s="14"/>
    </row>
    <row r="5980" spans="1:6" x14ac:dyDescent="0.25">
      <c r="A5980" s="86">
        <v>5979</v>
      </c>
      <c r="B5980" s="87">
        <v>54.652809916995466</v>
      </c>
      <c r="C5980" s="14">
        <v>2</v>
      </c>
      <c r="D5980" s="86">
        <v>0.92485630805210295</v>
      </c>
      <c r="E5980" s="86"/>
      <c r="F5980" s="14"/>
    </row>
    <row r="5981" spans="1:6" x14ac:dyDescent="0.25">
      <c r="A5981" s="86">
        <v>5980</v>
      </c>
      <c r="B5981" s="87">
        <v>43.793352228356525</v>
      </c>
      <c r="C5981" s="14">
        <v>4</v>
      </c>
      <c r="D5981" s="86">
        <v>0.83886544088809134</v>
      </c>
      <c r="E5981" s="86"/>
      <c r="F5981" s="14"/>
    </row>
    <row r="5982" spans="1:6" x14ac:dyDescent="0.25">
      <c r="A5982" s="86">
        <v>5981</v>
      </c>
      <c r="B5982" s="87">
        <v>33.792684911866672</v>
      </c>
      <c r="C5982" s="14">
        <v>2</v>
      </c>
      <c r="D5982" s="86">
        <v>0.74723718194181121</v>
      </c>
      <c r="E5982" s="86"/>
      <c r="F5982" s="14"/>
    </row>
    <row r="5983" spans="1:6" x14ac:dyDescent="0.25">
      <c r="A5983" s="86">
        <v>5982</v>
      </c>
      <c r="B5983" s="87">
        <v>43.892680418473901</v>
      </c>
      <c r="C5983" s="14">
        <v>4</v>
      </c>
      <c r="D5983" s="86">
        <v>0.81297206713720405</v>
      </c>
      <c r="E5983" s="86"/>
      <c r="F5983" s="14"/>
    </row>
    <row r="5984" spans="1:6" x14ac:dyDescent="0.25">
      <c r="A5984" s="86">
        <v>5983</v>
      </c>
      <c r="B5984" s="87">
        <v>35.808238857833203</v>
      </c>
      <c r="C5984" s="14">
        <v>5</v>
      </c>
      <c r="D5984" s="86">
        <v>0.39067318680393326</v>
      </c>
      <c r="E5984" s="86"/>
      <c r="F5984" s="14"/>
    </row>
    <row r="5985" spans="1:6" x14ac:dyDescent="0.25">
      <c r="A5985" s="86">
        <v>5984</v>
      </c>
      <c r="B5985" s="87">
        <v>47.681373866333161</v>
      </c>
      <c r="C5985" s="14">
        <v>2</v>
      </c>
      <c r="D5985" s="86">
        <v>0.1277253718105188</v>
      </c>
      <c r="E5985" s="86"/>
      <c r="F5985" s="14"/>
    </row>
    <row r="5986" spans="1:6" x14ac:dyDescent="0.25">
      <c r="A5986" s="86">
        <v>5985</v>
      </c>
      <c r="B5986" s="87">
        <v>42.104602466104552</v>
      </c>
      <c r="C5986" s="14">
        <v>5</v>
      </c>
      <c r="D5986" s="86">
        <v>0.56694291718194001</v>
      </c>
      <c r="E5986" s="86"/>
      <c r="F5986" s="14"/>
    </row>
    <row r="5987" spans="1:6" x14ac:dyDescent="0.25">
      <c r="A5987" s="86">
        <v>5986</v>
      </c>
      <c r="B5987" s="87">
        <v>44.570930407979176</v>
      </c>
      <c r="C5987" s="14">
        <v>2</v>
      </c>
      <c r="D5987" s="86">
        <v>0.34480162765696476</v>
      </c>
      <c r="E5987" s="86"/>
      <c r="F5987" s="14"/>
    </row>
    <row r="5988" spans="1:6" x14ac:dyDescent="0.25">
      <c r="A5988" s="86">
        <v>5987</v>
      </c>
      <c r="B5988" s="87">
        <v>47.613036708178697</v>
      </c>
      <c r="C5988" s="14">
        <v>2</v>
      </c>
      <c r="D5988" s="86">
        <v>0.18331198263390036</v>
      </c>
      <c r="E5988" s="86"/>
      <c r="F5988" s="14"/>
    </row>
    <row r="5989" spans="1:6" x14ac:dyDescent="0.25">
      <c r="A5989" s="86">
        <v>5988</v>
      </c>
      <c r="B5989" s="87">
        <v>55.059535947628319</v>
      </c>
      <c r="C5989" s="14">
        <v>1</v>
      </c>
      <c r="D5989" s="86">
        <v>0.29500462365134905</v>
      </c>
      <c r="E5989" s="86"/>
      <c r="F5989" s="14"/>
    </row>
    <row r="5990" spans="1:6" x14ac:dyDescent="0.25">
      <c r="A5990" s="86">
        <v>5989</v>
      </c>
      <c r="B5990" s="87">
        <v>41.094205011511804</v>
      </c>
      <c r="C5990" s="14">
        <v>3</v>
      </c>
      <c r="D5990" s="86">
        <v>0.28290688045829882</v>
      </c>
      <c r="E5990" s="86"/>
      <c r="F5990" s="14"/>
    </row>
    <row r="5991" spans="1:6" x14ac:dyDescent="0.25">
      <c r="A5991" s="86">
        <v>5990</v>
      </c>
      <c r="B5991" s="87">
        <v>45.070140681098565</v>
      </c>
      <c r="C5991" s="14">
        <v>2</v>
      </c>
      <c r="D5991" s="86">
        <v>0.59382309265780986</v>
      </c>
      <c r="E5991" s="86"/>
      <c r="F5991" s="14"/>
    </row>
    <row r="5992" spans="1:6" x14ac:dyDescent="0.25">
      <c r="A5992" s="86">
        <v>5991</v>
      </c>
      <c r="B5992" s="87">
        <v>35.911102708603721</v>
      </c>
      <c r="C5992" s="14">
        <v>2</v>
      </c>
      <c r="D5992" s="86">
        <v>5.1014504861892629E-2</v>
      </c>
      <c r="E5992" s="86"/>
      <c r="F5992" s="14"/>
    </row>
    <row r="5993" spans="1:6" x14ac:dyDescent="0.25">
      <c r="A5993" s="86">
        <v>5992</v>
      </c>
      <c r="B5993" s="87">
        <v>46.686909622047096</v>
      </c>
      <c r="C5993" s="14">
        <v>4</v>
      </c>
      <c r="D5993" s="86">
        <v>1.4242917937965505E-3</v>
      </c>
      <c r="E5993" s="86"/>
      <c r="F5993" s="14"/>
    </row>
    <row r="5994" spans="1:6" x14ac:dyDescent="0.25">
      <c r="A5994" s="86">
        <v>5993</v>
      </c>
      <c r="B5994" s="87">
        <v>42.104989001352806</v>
      </c>
      <c r="C5994" s="14">
        <v>5</v>
      </c>
      <c r="D5994" s="86">
        <v>0.20028052867664992</v>
      </c>
      <c r="E5994" s="86"/>
      <c r="F5994" s="14"/>
    </row>
    <row r="5995" spans="1:6" x14ac:dyDescent="0.25">
      <c r="A5995" s="86">
        <v>5994</v>
      </c>
      <c r="B5995" s="87">
        <v>34.864160620025359</v>
      </c>
      <c r="C5995" s="14">
        <v>2</v>
      </c>
      <c r="D5995" s="86">
        <v>0.58071453452502675</v>
      </c>
      <c r="E5995" s="86"/>
      <c r="F5995" s="14"/>
    </row>
    <row r="5996" spans="1:6" x14ac:dyDescent="0.25">
      <c r="A5996" s="86">
        <v>5995</v>
      </c>
      <c r="B5996" s="87">
        <v>42.661429228581255</v>
      </c>
      <c r="C5996" s="14">
        <v>2</v>
      </c>
      <c r="D5996" s="86">
        <v>0.69650715172791344</v>
      </c>
      <c r="E5996" s="86"/>
      <c r="F5996" s="14"/>
    </row>
    <row r="5997" spans="1:6" x14ac:dyDescent="0.25">
      <c r="A5997" s="86">
        <v>5996</v>
      </c>
      <c r="B5997" s="87">
        <v>43.758512896936736</v>
      </c>
      <c r="C5997" s="14">
        <v>5</v>
      </c>
      <c r="D5997" s="86">
        <v>0.67267293791599025</v>
      </c>
      <c r="E5997" s="86"/>
      <c r="F5997" s="14"/>
    </row>
    <row r="5998" spans="1:6" x14ac:dyDescent="0.25">
      <c r="A5998" s="86">
        <v>5997</v>
      </c>
      <c r="B5998" s="87">
        <v>36.162248301814543</v>
      </c>
      <c r="C5998" s="14">
        <v>2</v>
      </c>
      <c r="D5998" s="86">
        <v>0.51352089432876602</v>
      </c>
      <c r="E5998" s="86"/>
      <c r="F5998" s="14"/>
    </row>
    <row r="5999" spans="1:6" x14ac:dyDescent="0.25">
      <c r="A5999" s="86">
        <v>5998</v>
      </c>
      <c r="B5999" s="87">
        <v>37.358859112253413</v>
      </c>
      <c r="C5999" s="14">
        <v>1</v>
      </c>
      <c r="D5999" s="86">
        <v>0.46440879683775782</v>
      </c>
      <c r="E5999" s="86"/>
      <c r="F5999" s="14"/>
    </row>
    <row r="6000" spans="1:6" x14ac:dyDescent="0.25">
      <c r="A6000" s="86">
        <v>5999</v>
      </c>
      <c r="B6000" s="87">
        <v>45.498200046829879</v>
      </c>
      <c r="C6000" s="14">
        <v>2</v>
      </c>
      <c r="D6000" s="86">
        <v>0.99308509190061822</v>
      </c>
      <c r="E6000" s="86"/>
      <c r="F6000" s="14"/>
    </row>
    <row r="6001" spans="1:6" x14ac:dyDescent="0.25">
      <c r="A6001" s="86">
        <v>6000</v>
      </c>
      <c r="B6001" s="87">
        <v>46.586740149330581</v>
      </c>
      <c r="C6001" s="14">
        <v>5</v>
      </c>
      <c r="D6001" s="86">
        <v>0.1789090760043256</v>
      </c>
      <c r="E6001" s="86"/>
      <c r="F6001" s="14"/>
    </row>
    <row r="6002" spans="1:6" x14ac:dyDescent="0.25">
      <c r="A6002" s="86">
        <v>6001</v>
      </c>
      <c r="B6002" s="87">
        <v>39.833253135264385</v>
      </c>
      <c r="C6002" s="14">
        <v>2</v>
      </c>
      <c r="D6002" s="86">
        <v>0.51066505277643892</v>
      </c>
      <c r="E6002" s="86"/>
      <c r="F6002" s="14"/>
    </row>
    <row r="6003" spans="1:6" x14ac:dyDescent="0.25">
      <c r="A6003" s="86">
        <v>6002</v>
      </c>
      <c r="B6003" s="87">
        <v>37.86079786947812</v>
      </c>
      <c r="C6003" s="14">
        <v>1</v>
      </c>
      <c r="D6003" s="86">
        <v>0.28501985628569493</v>
      </c>
      <c r="E6003" s="86"/>
      <c r="F6003" s="14"/>
    </row>
    <row r="6004" spans="1:6" x14ac:dyDescent="0.25">
      <c r="A6004" s="86">
        <v>6003</v>
      </c>
      <c r="B6004" s="87">
        <v>38.98530848743394</v>
      </c>
      <c r="C6004" s="14">
        <v>1</v>
      </c>
      <c r="D6004" s="86">
        <v>0.93430620953685828</v>
      </c>
      <c r="E6004" s="86"/>
      <c r="F6004" s="14"/>
    </row>
    <row r="6005" spans="1:6" x14ac:dyDescent="0.25">
      <c r="A6005" s="86">
        <v>6004</v>
      </c>
      <c r="B6005" s="87">
        <v>45.449780822644243</v>
      </c>
      <c r="C6005" s="14">
        <v>1</v>
      </c>
      <c r="D6005" s="86">
        <v>0.68948217863694772</v>
      </c>
      <c r="E6005" s="86"/>
      <c r="F6005" s="14"/>
    </row>
    <row r="6006" spans="1:6" x14ac:dyDescent="0.25">
      <c r="A6006" s="86">
        <v>6005</v>
      </c>
      <c r="B6006" s="87">
        <v>40.475765667331871</v>
      </c>
      <c r="C6006" s="14">
        <v>1</v>
      </c>
      <c r="D6006" s="86">
        <v>4.754527457535962E-2</v>
      </c>
      <c r="E6006" s="86"/>
      <c r="F6006" s="14"/>
    </row>
    <row r="6007" spans="1:6" x14ac:dyDescent="0.25">
      <c r="A6007" s="86">
        <v>6006</v>
      </c>
      <c r="B6007" s="87">
        <v>46.652360192063497</v>
      </c>
      <c r="C6007" s="14">
        <v>4</v>
      </c>
      <c r="D6007" s="86">
        <v>0.28402332119882778</v>
      </c>
      <c r="E6007" s="86"/>
      <c r="F6007" s="14"/>
    </row>
    <row r="6008" spans="1:6" x14ac:dyDescent="0.25">
      <c r="A6008" s="86">
        <v>6007</v>
      </c>
      <c r="B6008" s="87">
        <v>43.43486920731084</v>
      </c>
      <c r="C6008" s="14">
        <v>4</v>
      </c>
      <c r="D6008" s="86">
        <v>0.92902785547175237</v>
      </c>
      <c r="E6008" s="86"/>
      <c r="F6008" s="14"/>
    </row>
    <row r="6009" spans="1:6" x14ac:dyDescent="0.25">
      <c r="A6009" s="86">
        <v>6008</v>
      </c>
      <c r="B6009" s="87">
        <v>53.561007002252154</v>
      </c>
      <c r="C6009" s="14">
        <v>5</v>
      </c>
      <c r="D6009" s="86">
        <v>0.47993837615514667</v>
      </c>
      <c r="E6009" s="86"/>
      <c r="F6009" s="14"/>
    </row>
    <row r="6010" spans="1:6" x14ac:dyDescent="0.25">
      <c r="A6010" s="86">
        <v>6009</v>
      </c>
      <c r="B6010" s="87">
        <v>40.370929349926882</v>
      </c>
      <c r="C6010" s="14">
        <v>1</v>
      </c>
      <c r="D6010" s="86">
        <v>0.3908347957053544</v>
      </c>
      <c r="E6010" s="86"/>
      <c r="F6010" s="14"/>
    </row>
    <row r="6011" spans="1:6" x14ac:dyDescent="0.25">
      <c r="A6011" s="86">
        <v>6010</v>
      </c>
      <c r="B6011" s="87">
        <v>37.533936842344701</v>
      </c>
      <c r="C6011" s="14">
        <v>4</v>
      </c>
      <c r="D6011" s="86">
        <v>0.90075019422078184</v>
      </c>
      <c r="E6011" s="86"/>
      <c r="F6011" s="14"/>
    </row>
    <row r="6012" spans="1:6" x14ac:dyDescent="0.25">
      <c r="A6012" s="86">
        <v>6011</v>
      </c>
      <c r="B6012" s="87">
        <v>42.327661726056249</v>
      </c>
      <c r="C6012" s="14">
        <v>1</v>
      </c>
      <c r="D6012" s="86">
        <v>0.9260608777948427</v>
      </c>
      <c r="E6012" s="86"/>
      <c r="F6012" s="14"/>
    </row>
    <row r="6013" spans="1:6" x14ac:dyDescent="0.25">
      <c r="A6013" s="86">
        <v>6012</v>
      </c>
      <c r="B6013" s="87">
        <v>54.753490980481729</v>
      </c>
      <c r="C6013" s="14">
        <v>2</v>
      </c>
      <c r="D6013" s="86">
        <v>0.59416546705415163</v>
      </c>
      <c r="E6013" s="86"/>
      <c r="F6013" s="14"/>
    </row>
    <row r="6014" spans="1:6" x14ac:dyDescent="0.25">
      <c r="A6014" s="86">
        <v>6013</v>
      </c>
      <c r="B6014" s="87">
        <v>44.593446086189942</v>
      </c>
      <c r="C6014" s="14">
        <v>4</v>
      </c>
      <c r="D6014" s="86">
        <v>0.85466831463090776</v>
      </c>
      <c r="E6014" s="86"/>
      <c r="F6014" s="14"/>
    </row>
    <row r="6015" spans="1:6" x14ac:dyDescent="0.25">
      <c r="A6015" s="86">
        <v>6014</v>
      </c>
      <c r="B6015" s="87">
        <v>41.373112930494244</v>
      </c>
      <c r="C6015" s="14">
        <v>4</v>
      </c>
      <c r="D6015" s="86">
        <v>0.78638459281236195</v>
      </c>
      <c r="E6015" s="86"/>
      <c r="F6015" s="14"/>
    </row>
    <row r="6016" spans="1:6" x14ac:dyDescent="0.25">
      <c r="A6016" s="86">
        <v>6015</v>
      </c>
      <c r="B6016" s="87">
        <v>40.747170255024685</v>
      </c>
      <c r="C6016" s="14">
        <v>2</v>
      </c>
      <c r="D6016" s="86">
        <v>0.32789812698083109</v>
      </c>
      <c r="E6016" s="86"/>
      <c r="F6016" s="14"/>
    </row>
    <row r="6017" spans="1:6" x14ac:dyDescent="0.25">
      <c r="A6017" s="86">
        <v>6016</v>
      </c>
      <c r="B6017" s="87">
        <v>50.49655555409845</v>
      </c>
      <c r="C6017" s="14">
        <v>2</v>
      </c>
      <c r="D6017" s="86">
        <v>0.76335061652323277</v>
      </c>
      <c r="E6017" s="86"/>
      <c r="F6017" s="14"/>
    </row>
    <row r="6018" spans="1:6" x14ac:dyDescent="0.25">
      <c r="A6018" s="86">
        <v>6017</v>
      </c>
      <c r="B6018" s="87">
        <v>34.23472207429586</v>
      </c>
      <c r="C6018" s="14">
        <v>2</v>
      </c>
      <c r="D6018" s="86">
        <v>0.42682944587670657</v>
      </c>
      <c r="E6018" s="86"/>
      <c r="F6018" s="14"/>
    </row>
    <row r="6019" spans="1:6" x14ac:dyDescent="0.25">
      <c r="A6019" s="86">
        <v>6018</v>
      </c>
      <c r="B6019" s="87">
        <v>42.276292328431737</v>
      </c>
      <c r="C6019" s="14">
        <v>5</v>
      </c>
      <c r="D6019" s="86">
        <v>0.31302355067389853</v>
      </c>
      <c r="E6019" s="86"/>
      <c r="F6019" s="14"/>
    </row>
    <row r="6020" spans="1:6" x14ac:dyDescent="0.25">
      <c r="A6020" s="86">
        <v>6019</v>
      </c>
      <c r="B6020" s="87">
        <v>34.766321727482136</v>
      </c>
      <c r="C6020" s="14">
        <v>2</v>
      </c>
      <c r="D6020" s="86">
        <v>0.77785740505851086</v>
      </c>
      <c r="E6020" s="86"/>
      <c r="F6020" s="14"/>
    </row>
    <row r="6021" spans="1:6" x14ac:dyDescent="0.25">
      <c r="A6021" s="86">
        <v>6020</v>
      </c>
      <c r="B6021" s="87">
        <v>40.802916595901479</v>
      </c>
      <c r="C6021" s="14">
        <v>5</v>
      </c>
      <c r="D6021" s="86">
        <v>8.1361900335266024E-2</v>
      </c>
      <c r="E6021" s="86"/>
      <c r="F6021" s="14"/>
    </row>
    <row r="6022" spans="1:6" x14ac:dyDescent="0.25">
      <c r="A6022" s="86">
        <v>6021</v>
      </c>
      <c r="B6022" s="87">
        <v>34.052982295514084</v>
      </c>
      <c r="C6022" s="14">
        <v>2</v>
      </c>
      <c r="D6022" s="86">
        <v>0.19197003917078059</v>
      </c>
      <c r="E6022" s="86"/>
      <c r="F6022" s="14"/>
    </row>
    <row r="6023" spans="1:6" x14ac:dyDescent="0.25">
      <c r="A6023" s="86">
        <v>6022</v>
      </c>
      <c r="B6023" s="87">
        <v>38.949826825381024</v>
      </c>
      <c r="C6023" s="14">
        <v>2</v>
      </c>
      <c r="D6023" s="86">
        <v>0.50882217299468491</v>
      </c>
      <c r="E6023" s="86"/>
      <c r="F6023" s="14"/>
    </row>
    <row r="6024" spans="1:6" x14ac:dyDescent="0.25">
      <c r="A6024" s="86">
        <v>6023</v>
      </c>
      <c r="B6024" s="87">
        <v>43.139817757371929</v>
      </c>
      <c r="C6024" s="14">
        <v>2</v>
      </c>
      <c r="D6024" s="86">
        <v>0.61643237761540137</v>
      </c>
      <c r="E6024" s="86"/>
      <c r="F6024" s="14"/>
    </row>
    <row r="6025" spans="1:6" x14ac:dyDescent="0.25">
      <c r="A6025" s="86">
        <v>6024</v>
      </c>
      <c r="B6025" s="87">
        <v>43.805363242761814</v>
      </c>
      <c r="C6025" s="14">
        <v>5</v>
      </c>
      <c r="D6025" s="86">
        <v>0.63397101912056453</v>
      </c>
      <c r="E6025" s="86"/>
      <c r="F6025" s="14"/>
    </row>
    <row r="6026" spans="1:6" x14ac:dyDescent="0.25">
      <c r="A6026" s="86">
        <v>6025</v>
      </c>
      <c r="B6026" s="87">
        <v>46.874242793244775</v>
      </c>
      <c r="C6026" s="14">
        <v>4</v>
      </c>
      <c r="D6026" s="86">
        <v>0.87024123001282461</v>
      </c>
      <c r="E6026" s="86"/>
      <c r="F6026" s="14"/>
    </row>
    <row r="6027" spans="1:6" x14ac:dyDescent="0.25">
      <c r="A6027" s="86">
        <v>6026</v>
      </c>
      <c r="B6027" s="87">
        <v>46.284969807282323</v>
      </c>
      <c r="C6027" s="14">
        <v>4</v>
      </c>
      <c r="D6027" s="86">
        <v>0.44313036196845801</v>
      </c>
      <c r="E6027" s="86"/>
      <c r="F6027" s="14"/>
    </row>
    <row r="6028" spans="1:6" x14ac:dyDescent="0.25">
      <c r="A6028" s="86">
        <v>6027</v>
      </c>
      <c r="B6028" s="87">
        <v>40.264922058093362</v>
      </c>
      <c r="C6028" s="14">
        <v>1</v>
      </c>
      <c r="D6028" s="86">
        <v>0.11189729804287829</v>
      </c>
      <c r="E6028" s="86"/>
      <c r="F6028" s="14"/>
    </row>
    <row r="6029" spans="1:6" x14ac:dyDescent="0.25">
      <c r="A6029" s="86">
        <v>6028</v>
      </c>
      <c r="B6029" s="87">
        <v>54.717384040821344</v>
      </c>
      <c r="C6029" s="14">
        <v>2</v>
      </c>
      <c r="D6029" s="86">
        <v>0.42778957384425365</v>
      </c>
      <c r="E6029" s="86"/>
      <c r="F6029" s="14"/>
    </row>
    <row r="6030" spans="1:6" x14ac:dyDescent="0.25">
      <c r="A6030" s="86">
        <v>6029</v>
      </c>
      <c r="B6030" s="87">
        <v>41.703697201563045</v>
      </c>
      <c r="C6030" s="14">
        <v>4</v>
      </c>
      <c r="D6030" s="86">
        <v>0.82965015157309197</v>
      </c>
      <c r="E6030" s="86"/>
      <c r="F6030" s="14"/>
    </row>
    <row r="6031" spans="1:6" x14ac:dyDescent="0.25">
      <c r="A6031" s="86">
        <v>6030</v>
      </c>
      <c r="B6031" s="87">
        <v>44.128489657276077</v>
      </c>
      <c r="C6031" s="14">
        <v>2</v>
      </c>
      <c r="D6031" s="86">
        <v>0.13966966257111368</v>
      </c>
      <c r="E6031" s="86"/>
      <c r="F6031" s="14"/>
    </row>
    <row r="6032" spans="1:6" x14ac:dyDescent="0.25">
      <c r="A6032" s="86">
        <v>6031</v>
      </c>
      <c r="B6032" s="87">
        <v>43.201055172510678</v>
      </c>
      <c r="C6032" s="14">
        <v>1</v>
      </c>
      <c r="D6032" s="86">
        <v>0.48508387144498955</v>
      </c>
      <c r="E6032" s="86"/>
      <c r="F6032" s="14"/>
    </row>
    <row r="6033" spans="1:6" x14ac:dyDescent="0.25">
      <c r="A6033" s="86">
        <v>6032</v>
      </c>
      <c r="B6033" s="87">
        <v>43.080518702816335</v>
      </c>
      <c r="C6033" s="14">
        <v>4</v>
      </c>
      <c r="D6033" s="86">
        <v>0.75106980108704502</v>
      </c>
      <c r="E6033" s="86"/>
      <c r="F6033" s="14"/>
    </row>
    <row r="6034" spans="1:6" x14ac:dyDescent="0.25">
      <c r="A6034" s="86">
        <v>6033</v>
      </c>
      <c r="B6034" s="87">
        <v>49.372874850057997</v>
      </c>
      <c r="C6034" s="14">
        <v>2</v>
      </c>
      <c r="D6034" s="86">
        <v>0.54527481457797</v>
      </c>
      <c r="E6034" s="86"/>
      <c r="F6034" s="14"/>
    </row>
    <row r="6035" spans="1:6" x14ac:dyDescent="0.25">
      <c r="A6035" s="86">
        <v>6034</v>
      </c>
      <c r="B6035" s="87">
        <v>36.741778325784253</v>
      </c>
      <c r="C6035" s="14">
        <v>1</v>
      </c>
      <c r="D6035" s="86">
        <v>0.23609880206179645</v>
      </c>
      <c r="E6035" s="86"/>
      <c r="F6035" s="14"/>
    </row>
    <row r="6036" spans="1:6" x14ac:dyDescent="0.25">
      <c r="A6036" s="86">
        <v>6035</v>
      </c>
      <c r="B6036" s="87">
        <v>41.892292296659434</v>
      </c>
      <c r="C6036" s="14">
        <v>5</v>
      </c>
      <c r="D6036" s="86">
        <v>0.24266503349033564</v>
      </c>
      <c r="E6036" s="86"/>
      <c r="F6036" s="14"/>
    </row>
    <row r="6037" spans="1:6" x14ac:dyDescent="0.25">
      <c r="A6037" s="86">
        <v>6036</v>
      </c>
      <c r="B6037" s="87">
        <v>53.073017620015889</v>
      </c>
      <c r="C6037" s="14">
        <v>2</v>
      </c>
      <c r="D6037" s="86">
        <v>0.63871471151313064</v>
      </c>
      <c r="E6037" s="86"/>
      <c r="F6037" s="14"/>
    </row>
    <row r="6038" spans="1:6" x14ac:dyDescent="0.25">
      <c r="A6038" s="86">
        <v>6037</v>
      </c>
      <c r="B6038" s="87">
        <v>43.250827270065201</v>
      </c>
      <c r="C6038" s="14">
        <v>2</v>
      </c>
      <c r="D6038" s="86">
        <v>0.86697040346922638</v>
      </c>
      <c r="E6038" s="86"/>
      <c r="F6038" s="14"/>
    </row>
    <row r="6039" spans="1:6" x14ac:dyDescent="0.25">
      <c r="A6039" s="86">
        <v>6038</v>
      </c>
      <c r="B6039" s="87">
        <v>44.018895545712439</v>
      </c>
      <c r="C6039" s="14">
        <v>4</v>
      </c>
      <c r="D6039" s="86">
        <v>0.20015590477333767</v>
      </c>
      <c r="E6039" s="86"/>
      <c r="F6039" s="14"/>
    </row>
    <row r="6040" spans="1:6" x14ac:dyDescent="0.25">
      <c r="A6040" s="86">
        <v>6039</v>
      </c>
      <c r="B6040" s="87">
        <v>44.620838929738966</v>
      </c>
      <c r="C6040" s="14">
        <v>5</v>
      </c>
      <c r="D6040" s="86">
        <v>0.90384008868172194</v>
      </c>
      <c r="E6040" s="86"/>
      <c r="F6040" s="14"/>
    </row>
    <row r="6041" spans="1:6" x14ac:dyDescent="0.25">
      <c r="A6041" s="86">
        <v>6040</v>
      </c>
      <c r="B6041" s="87">
        <v>42.200832689894014</v>
      </c>
      <c r="C6041" s="14">
        <v>5</v>
      </c>
      <c r="D6041" s="86">
        <v>0.8444516986343894</v>
      </c>
      <c r="E6041" s="86"/>
      <c r="F6041" s="14"/>
    </row>
    <row r="6042" spans="1:6" x14ac:dyDescent="0.25">
      <c r="A6042" s="86">
        <v>6041</v>
      </c>
      <c r="B6042" s="87">
        <v>46.53056748281233</v>
      </c>
      <c r="C6042" s="14">
        <v>4</v>
      </c>
      <c r="D6042" s="86">
        <v>0.61935925122763902</v>
      </c>
      <c r="E6042" s="86"/>
      <c r="F6042" s="14"/>
    </row>
    <row r="6043" spans="1:6" x14ac:dyDescent="0.25">
      <c r="A6043" s="86">
        <v>6042</v>
      </c>
      <c r="B6043" s="87">
        <v>39.518340594775509</v>
      </c>
      <c r="C6043" s="14">
        <v>2</v>
      </c>
      <c r="D6043" s="86">
        <v>0.44611783036002117</v>
      </c>
      <c r="E6043" s="86"/>
      <c r="F6043" s="14"/>
    </row>
    <row r="6044" spans="1:6" x14ac:dyDescent="0.25">
      <c r="A6044" s="86">
        <v>6043</v>
      </c>
      <c r="B6044" s="87">
        <v>47.347316462371964</v>
      </c>
      <c r="C6044" s="14">
        <v>5</v>
      </c>
      <c r="D6044" s="86">
        <v>0.41467417936675344</v>
      </c>
      <c r="E6044" s="86"/>
      <c r="F6044" s="14"/>
    </row>
    <row r="6045" spans="1:6" x14ac:dyDescent="0.25">
      <c r="A6045" s="86">
        <v>6044</v>
      </c>
      <c r="B6045" s="87">
        <v>42.347340917665861</v>
      </c>
      <c r="C6045" s="14">
        <v>3</v>
      </c>
      <c r="D6045" s="86">
        <v>4.1909514517359803E-3</v>
      </c>
      <c r="E6045" s="86"/>
      <c r="F6045" s="14"/>
    </row>
    <row r="6046" spans="1:6" x14ac:dyDescent="0.25">
      <c r="A6046" s="86">
        <v>6045</v>
      </c>
      <c r="B6046" s="87">
        <v>49.271636721066898</v>
      </c>
      <c r="C6046" s="14">
        <v>4</v>
      </c>
      <c r="D6046" s="86">
        <v>3.5042305728032463E-3</v>
      </c>
      <c r="E6046" s="86"/>
      <c r="F6046" s="14"/>
    </row>
    <row r="6047" spans="1:6" x14ac:dyDescent="0.25">
      <c r="A6047" s="86">
        <v>6046</v>
      </c>
      <c r="B6047" s="87">
        <v>47.924675067741191</v>
      </c>
      <c r="C6047" s="14">
        <v>5</v>
      </c>
      <c r="D6047" s="86">
        <v>5.8851656885333559E-2</v>
      </c>
      <c r="E6047" s="86"/>
      <c r="F6047" s="14"/>
    </row>
    <row r="6048" spans="1:6" x14ac:dyDescent="0.25">
      <c r="A6048" s="86">
        <v>6047</v>
      </c>
      <c r="B6048" s="87">
        <v>42.932487071419018</v>
      </c>
      <c r="C6048" s="14">
        <v>1</v>
      </c>
      <c r="D6048" s="86">
        <v>0.86459958231100209</v>
      </c>
      <c r="E6048" s="86"/>
      <c r="F6048" s="14"/>
    </row>
    <row r="6049" spans="1:6" x14ac:dyDescent="0.25">
      <c r="A6049" s="86">
        <v>6048</v>
      </c>
      <c r="B6049" s="87">
        <v>43.801492205937393</v>
      </c>
      <c r="C6049" s="14">
        <v>2</v>
      </c>
      <c r="D6049" s="86">
        <v>0.62847686342956666</v>
      </c>
      <c r="E6049" s="86"/>
      <c r="F6049" s="14"/>
    </row>
    <row r="6050" spans="1:6" x14ac:dyDescent="0.25">
      <c r="A6050" s="86">
        <v>6049</v>
      </c>
      <c r="B6050" s="87">
        <v>39.715030192717677</v>
      </c>
      <c r="C6050" s="14">
        <v>4</v>
      </c>
      <c r="D6050" s="86">
        <v>0.22688837337311263</v>
      </c>
      <c r="E6050" s="86"/>
      <c r="F6050" s="14"/>
    </row>
    <row r="6051" spans="1:6" x14ac:dyDescent="0.25">
      <c r="A6051" s="86">
        <v>6050</v>
      </c>
      <c r="B6051" s="87">
        <v>50.210110197775066</v>
      </c>
      <c r="C6051" s="14">
        <v>4</v>
      </c>
      <c r="D6051" s="86">
        <v>0.63850570582699795</v>
      </c>
      <c r="E6051" s="86"/>
      <c r="F6051" s="14"/>
    </row>
    <row r="6052" spans="1:6" x14ac:dyDescent="0.25">
      <c r="A6052" s="86">
        <v>6051</v>
      </c>
      <c r="B6052" s="87">
        <v>48.204503850109177</v>
      </c>
      <c r="C6052" s="14">
        <v>2</v>
      </c>
      <c r="D6052" s="86">
        <v>0.80872817462161983</v>
      </c>
      <c r="E6052" s="86"/>
      <c r="F6052" s="14"/>
    </row>
    <row r="6053" spans="1:6" x14ac:dyDescent="0.25">
      <c r="A6053" s="86">
        <v>6052</v>
      </c>
      <c r="B6053" s="87">
        <v>39.707913396676304</v>
      </c>
      <c r="C6053" s="14">
        <v>2</v>
      </c>
      <c r="D6053" s="86">
        <v>0.69676102245456495</v>
      </c>
      <c r="E6053" s="86"/>
      <c r="F6053" s="14"/>
    </row>
    <row r="6054" spans="1:6" x14ac:dyDescent="0.25">
      <c r="A6054" s="86">
        <v>6053</v>
      </c>
      <c r="B6054" s="87">
        <v>34.337745086639188</v>
      </c>
      <c r="C6054" s="14">
        <v>5</v>
      </c>
      <c r="D6054" s="86">
        <v>0.13860679041704782</v>
      </c>
      <c r="E6054" s="86"/>
      <c r="F6054" s="14"/>
    </row>
    <row r="6055" spans="1:6" x14ac:dyDescent="0.25">
      <c r="A6055" s="86">
        <v>6054</v>
      </c>
      <c r="B6055" s="87">
        <v>43.735303729015868</v>
      </c>
      <c r="C6055" s="14">
        <v>4</v>
      </c>
      <c r="D6055" s="86">
        <v>0.59611012856716039</v>
      </c>
      <c r="E6055" s="86"/>
      <c r="F6055" s="14"/>
    </row>
    <row r="6056" spans="1:6" x14ac:dyDescent="0.25">
      <c r="A6056" s="86">
        <v>6055</v>
      </c>
      <c r="B6056" s="87">
        <v>39.808435298589757</v>
      </c>
      <c r="C6056" s="14">
        <v>2</v>
      </c>
      <c r="D6056" s="86">
        <v>0.26566709446349546</v>
      </c>
      <c r="E6056" s="86"/>
      <c r="F6056" s="14"/>
    </row>
    <row r="6057" spans="1:6" x14ac:dyDescent="0.25">
      <c r="A6057" s="86">
        <v>6056</v>
      </c>
      <c r="B6057" s="87">
        <v>39.531971646618331</v>
      </c>
      <c r="C6057" s="14">
        <v>2</v>
      </c>
      <c r="D6057" s="86">
        <v>0.88271874366854097</v>
      </c>
      <c r="E6057" s="86"/>
      <c r="F6057" s="14"/>
    </row>
    <row r="6058" spans="1:6" x14ac:dyDescent="0.25">
      <c r="A6058" s="86">
        <v>6057</v>
      </c>
      <c r="B6058" s="87">
        <v>51.883262125891633</v>
      </c>
      <c r="C6058" s="14">
        <v>4</v>
      </c>
      <c r="D6058" s="86">
        <v>0.41310258364836161</v>
      </c>
      <c r="E6058" s="86"/>
      <c r="F6058" s="14"/>
    </row>
    <row r="6059" spans="1:6" x14ac:dyDescent="0.25">
      <c r="A6059" s="86">
        <v>6058</v>
      </c>
      <c r="B6059" s="87">
        <v>42.86438865562377</v>
      </c>
      <c r="C6059" s="14">
        <v>3</v>
      </c>
      <c r="D6059" s="86">
        <v>0.17721282067488775</v>
      </c>
      <c r="E6059" s="86"/>
      <c r="F6059" s="14"/>
    </row>
    <row r="6060" spans="1:6" x14ac:dyDescent="0.25">
      <c r="A6060" s="86">
        <v>6059</v>
      </c>
      <c r="B6060" s="87">
        <v>40.82353938826418</v>
      </c>
      <c r="C6060" s="14">
        <v>4</v>
      </c>
      <c r="D6060" s="86">
        <v>6.74732275630745E-2</v>
      </c>
      <c r="E6060" s="86"/>
      <c r="F6060" s="14"/>
    </row>
    <row r="6061" spans="1:6" x14ac:dyDescent="0.25">
      <c r="A6061" s="86">
        <v>6060</v>
      </c>
      <c r="B6061" s="87">
        <v>44.644235680942074</v>
      </c>
      <c r="C6061" s="14">
        <v>2</v>
      </c>
      <c r="D6061" s="86">
        <v>0.55915182386957929</v>
      </c>
      <c r="E6061" s="86"/>
      <c r="F6061" s="14"/>
    </row>
    <row r="6062" spans="1:6" x14ac:dyDescent="0.25">
      <c r="A6062" s="86">
        <v>6061</v>
      </c>
      <c r="B6062" s="87">
        <v>42.718909293733304</v>
      </c>
      <c r="C6062" s="14">
        <v>4</v>
      </c>
      <c r="D6062" s="86">
        <v>0.74578439214859871</v>
      </c>
      <c r="E6062" s="86"/>
      <c r="F6062" s="14"/>
    </row>
    <row r="6063" spans="1:6" x14ac:dyDescent="0.25">
      <c r="A6063" s="86">
        <v>6062</v>
      </c>
      <c r="B6063" s="87">
        <v>43.851900949783158</v>
      </c>
      <c r="C6063" s="14">
        <v>5</v>
      </c>
      <c r="D6063" s="86">
        <v>0.19214717549348814</v>
      </c>
      <c r="E6063" s="86"/>
      <c r="F6063" s="14"/>
    </row>
    <row r="6064" spans="1:6" x14ac:dyDescent="0.25">
      <c r="A6064" s="86">
        <v>6063</v>
      </c>
      <c r="B6064" s="87">
        <v>40.631834958156105</v>
      </c>
      <c r="C6064" s="14">
        <v>1</v>
      </c>
      <c r="D6064" s="86">
        <v>0.91640222901817048</v>
      </c>
      <c r="E6064" s="86"/>
      <c r="F6064" s="14"/>
    </row>
    <row r="6065" spans="1:6" x14ac:dyDescent="0.25">
      <c r="A6065" s="86">
        <v>6064</v>
      </c>
      <c r="B6065" s="87">
        <v>45.889203187805833</v>
      </c>
      <c r="C6065" s="14">
        <v>5</v>
      </c>
      <c r="D6065" s="86">
        <v>0.51764214115472773</v>
      </c>
      <c r="E6065" s="86"/>
      <c r="F6065" s="14"/>
    </row>
    <row r="6066" spans="1:6" x14ac:dyDescent="0.25">
      <c r="A6066" s="86">
        <v>6065</v>
      </c>
      <c r="B6066" s="87">
        <v>50.247081157402135</v>
      </c>
      <c r="C6066" s="14">
        <v>4</v>
      </c>
      <c r="D6066" s="86">
        <v>0.63498096768586387</v>
      </c>
      <c r="E6066" s="86"/>
      <c r="F6066" s="14"/>
    </row>
    <row r="6067" spans="1:6" x14ac:dyDescent="0.25">
      <c r="A6067" s="86">
        <v>6066</v>
      </c>
      <c r="B6067" s="87">
        <v>42.821528717802721</v>
      </c>
      <c r="C6067" s="14">
        <v>5</v>
      </c>
      <c r="D6067" s="86">
        <v>9.107565755217284E-2</v>
      </c>
      <c r="E6067" s="86"/>
      <c r="F6067" s="14"/>
    </row>
    <row r="6068" spans="1:6" x14ac:dyDescent="0.25">
      <c r="A6068" s="86">
        <v>6067</v>
      </c>
      <c r="B6068" s="87">
        <v>43.275724687526235</v>
      </c>
      <c r="C6068" s="14">
        <v>4</v>
      </c>
      <c r="D6068" s="86">
        <v>0.48590522864089747</v>
      </c>
      <c r="E6068" s="86"/>
      <c r="F6068" s="14"/>
    </row>
    <row r="6069" spans="1:6" x14ac:dyDescent="0.25">
      <c r="A6069" s="86">
        <v>6068</v>
      </c>
      <c r="B6069" s="87">
        <v>52.776886145118624</v>
      </c>
      <c r="C6069" s="14">
        <v>5</v>
      </c>
      <c r="D6069" s="86">
        <v>0.36628696671410088</v>
      </c>
      <c r="E6069" s="86"/>
      <c r="F6069" s="14"/>
    </row>
    <row r="6070" spans="1:6" x14ac:dyDescent="0.25">
      <c r="A6070" s="86">
        <v>6069</v>
      </c>
      <c r="B6070" s="87">
        <v>40.639963567053201</v>
      </c>
      <c r="C6070" s="14">
        <v>2</v>
      </c>
      <c r="D6070" s="86">
        <v>0.86430275762557107</v>
      </c>
      <c r="E6070" s="86"/>
      <c r="F6070" s="14"/>
    </row>
    <row r="6071" spans="1:6" x14ac:dyDescent="0.25">
      <c r="A6071" s="86">
        <v>6070</v>
      </c>
      <c r="B6071" s="87">
        <v>43.286831891571637</v>
      </c>
      <c r="C6071" s="14">
        <v>2</v>
      </c>
      <c r="D6071" s="86">
        <v>0.79647280277901134</v>
      </c>
      <c r="E6071" s="86"/>
      <c r="F6071" s="14"/>
    </row>
    <row r="6072" spans="1:6" x14ac:dyDescent="0.25">
      <c r="A6072" s="86">
        <v>6071</v>
      </c>
      <c r="B6072" s="87">
        <v>45.320774683539639</v>
      </c>
      <c r="C6072" s="14">
        <v>2</v>
      </c>
      <c r="D6072" s="86">
        <v>0.69870330634317668</v>
      </c>
      <c r="E6072" s="86"/>
      <c r="F6072" s="14"/>
    </row>
    <row r="6073" spans="1:6" x14ac:dyDescent="0.25">
      <c r="A6073" s="86">
        <v>6072</v>
      </c>
      <c r="B6073" s="87">
        <v>52.869108907878399</v>
      </c>
      <c r="C6073" s="14">
        <v>1</v>
      </c>
      <c r="D6073" s="86">
        <v>0.73664199603686065</v>
      </c>
      <c r="E6073" s="86"/>
      <c r="F6073" s="14"/>
    </row>
    <row r="6074" spans="1:6" x14ac:dyDescent="0.25">
      <c r="A6074" s="86">
        <v>6073</v>
      </c>
      <c r="B6074" s="87">
        <v>35.818982263997896</v>
      </c>
      <c r="C6074" s="14">
        <v>2</v>
      </c>
      <c r="D6074" s="86">
        <v>0.76581655704359264</v>
      </c>
      <c r="E6074" s="86"/>
      <c r="F6074" s="14"/>
    </row>
    <row r="6075" spans="1:6" x14ac:dyDescent="0.25">
      <c r="A6075" s="86">
        <v>6074</v>
      </c>
      <c r="B6075" s="87">
        <v>42.368549197242828</v>
      </c>
      <c r="C6075" s="14">
        <v>5</v>
      </c>
      <c r="D6075" s="86">
        <v>0.39764164172359362</v>
      </c>
      <c r="E6075" s="86"/>
      <c r="F6075" s="14"/>
    </row>
    <row r="6076" spans="1:6" x14ac:dyDescent="0.25">
      <c r="A6076" s="86">
        <v>6075</v>
      </c>
      <c r="B6076" s="87">
        <v>48.604420039162505</v>
      </c>
      <c r="C6076" s="14">
        <v>4</v>
      </c>
      <c r="D6076" s="86">
        <v>0.5506749310726945</v>
      </c>
      <c r="E6076" s="86"/>
      <c r="F6076" s="14"/>
    </row>
    <row r="6077" spans="1:6" x14ac:dyDescent="0.25">
      <c r="A6077" s="86">
        <v>6076</v>
      </c>
      <c r="B6077" s="87">
        <v>47.207777237752452</v>
      </c>
      <c r="C6077" s="14">
        <v>2</v>
      </c>
      <c r="D6077" s="86">
        <v>0.87731793034374228</v>
      </c>
      <c r="E6077" s="86"/>
      <c r="F6077" s="14"/>
    </row>
    <row r="6078" spans="1:6" x14ac:dyDescent="0.25">
      <c r="A6078" s="86">
        <v>6077</v>
      </c>
      <c r="B6078" s="87">
        <v>42.995219468473806</v>
      </c>
      <c r="C6078" s="14">
        <v>2</v>
      </c>
      <c r="D6078" s="86">
        <v>0.81167201699357761</v>
      </c>
      <c r="E6078" s="86"/>
      <c r="F6078" s="14"/>
    </row>
    <row r="6079" spans="1:6" x14ac:dyDescent="0.25">
      <c r="A6079" s="86">
        <v>6078</v>
      </c>
      <c r="B6079" s="87">
        <v>39.579015260067536</v>
      </c>
      <c r="C6079" s="14">
        <v>2</v>
      </c>
      <c r="D6079" s="86">
        <v>0.72927397934447957</v>
      </c>
      <c r="E6079" s="86"/>
      <c r="F6079" s="14"/>
    </row>
    <row r="6080" spans="1:6" x14ac:dyDescent="0.25">
      <c r="A6080" s="86">
        <v>6079</v>
      </c>
      <c r="B6080" s="87">
        <v>54.454176274128258</v>
      </c>
      <c r="C6080" s="14">
        <v>2</v>
      </c>
      <c r="D6080" s="86">
        <v>9.4684832138099195E-2</v>
      </c>
      <c r="E6080" s="86"/>
      <c r="F6080" s="14"/>
    </row>
    <row r="6081" spans="1:6" x14ac:dyDescent="0.25">
      <c r="A6081" s="86">
        <v>6080</v>
      </c>
      <c r="B6081" s="87">
        <v>46.246617552576936</v>
      </c>
      <c r="C6081" s="14">
        <v>2</v>
      </c>
      <c r="D6081" s="86">
        <v>0.85784603904168988</v>
      </c>
      <c r="E6081" s="86"/>
      <c r="F6081" s="14"/>
    </row>
    <row r="6082" spans="1:6" x14ac:dyDescent="0.25">
      <c r="A6082" s="86">
        <v>6081</v>
      </c>
      <c r="B6082" s="87">
        <v>39.664553236769279</v>
      </c>
      <c r="C6082" s="14">
        <v>4</v>
      </c>
      <c r="D6082" s="86">
        <v>0.86058200512522232</v>
      </c>
      <c r="E6082" s="86"/>
      <c r="F6082" s="14"/>
    </row>
    <row r="6083" spans="1:6" x14ac:dyDescent="0.25">
      <c r="A6083" s="86">
        <v>6082</v>
      </c>
      <c r="B6083" s="87">
        <v>47.099752004549373</v>
      </c>
      <c r="C6083" s="14">
        <v>5</v>
      </c>
      <c r="D6083" s="86">
        <v>0.46054481706250827</v>
      </c>
      <c r="E6083" s="86"/>
      <c r="F6083" s="14"/>
    </row>
    <row r="6084" spans="1:6" x14ac:dyDescent="0.25">
      <c r="A6084" s="86">
        <v>6083</v>
      </c>
      <c r="B6084" s="87">
        <v>40.517386418621754</v>
      </c>
      <c r="C6084" s="14">
        <v>4</v>
      </c>
      <c r="D6084" s="86">
        <v>1.4049638544092469E-3</v>
      </c>
      <c r="E6084" s="86"/>
      <c r="F6084" s="14"/>
    </row>
    <row r="6085" spans="1:6" x14ac:dyDescent="0.25">
      <c r="A6085" s="86">
        <v>6084</v>
      </c>
      <c r="B6085" s="87">
        <v>46.601104481276707</v>
      </c>
      <c r="C6085" s="14">
        <v>4</v>
      </c>
      <c r="D6085" s="86">
        <v>0.35905371207247672</v>
      </c>
      <c r="E6085" s="86"/>
      <c r="F6085" s="14"/>
    </row>
    <row r="6086" spans="1:6" x14ac:dyDescent="0.25">
      <c r="A6086" s="86">
        <v>6085</v>
      </c>
      <c r="B6086" s="87">
        <v>44.580576736159855</v>
      </c>
      <c r="C6086" s="14">
        <v>2</v>
      </c>
      <c r="D6086" s="86">
        <v>0.5734096575284735</v>
      </c>
      <c r="E6086" s="86"/>
      <c r="F6086" s="14"/>
    </row>
    <row r="6087" spans="1:6" x14ac:dyDescent="0.25">
      <c r="A6087" s="86">
        <v>6086</v>
      </c>
      <c r="B6087" s="87">
        <v>38.514258444018196</v>
      </c>
      <c r="C6087" s="14">
        <v>4</v>
      </c>
      <c r="D6087" s="86">
        <v>0.46361522163141644</v>
      </c>
      <c r="E6087" s="86"/>
      <c r="F6087" s="14"/>
    </row>
    <row r="6088" spans="1:6" x14ac:dyDescent="0.25">
      <c r="A6088" s="86">
        <v>6087</v>
      </c>
      <c r="B6088" s="87">
        <v>37.861445884453133</v>
      </c>
      <c r="C6088" s="14">
        <v>2</v>
      </c>
      <c r="D6088" s="86">
        <v>0.92685269987262731</v>
      </c>
      <c r="E6088" s="86"/>
      <c r="F6088" s="14"/>
    </row>
    <row r="6089" spans="1:6" x14ac:dyDescent="0.25">
      <c r="A6089" s="86">
        <v>6088</v>
      </c>
      <c r="B6089" s="87">
        <v>44.163834895123728</v>
      </c>
      <c r="C6089" s="14">
        <v>5</v>
      </c>
      <c r="D6089" s="86">
        <v>0.10542493843112655</v>
      </c>
      <c r="E6089" s="86"/>
      <c r="F6089" s="14"/>
    </row>
    <row r="6090" spans="1:6" x14ac:dyDescent="0.25">
      <c r="A6090" s="86">
        <v>6089</v>
      </c>
      <c r="B6090" s="87">
        <v>48.77022092329571</v>
      </c>
      <c r="C6090" s="14">
        <v>4</v>
      </c>
      <c r="D6090" s="86">
        <v>0.13204326865611926</v>
      </c>
      <c r="E6090" s="86"/>
      <c r="F6090" s="14"/>
    </row>
    <row r="6091" spans="1:6" x14ac:dyDescent="0.25">
      <c r="A6091" s="86">
        <v>6090</v>
      </c>
      <c r="B6091" s="87">
        <v>47.739194991998374</v>
      </c>
      <c r="C6091" s="14">
        <v>2</v>
      </c>
      <c r="D6091" s="86">
        <v>0.75109055425385918</v>
      </c>
      <c r="E6091" s="86"/>
      <c r="F6091" s="14"/>
    </row>
    <row r="6092" spans="1:6" x14ac:dyDescent="0.25">
      <c r="A6092" s="86">
        <v>6091</v>
      </c>
      <c r="B6092" s="87">
        <v>39.049916717311135</v>
      </c>
      <c r="C6092" s="14">
        <v>5</v>
      </c>
      <c r="D6092" s="86">
        <v>0.98499184200204914</v>
      </c>
      <c r="E6092" s="86"/>
      <c r="F6092" s="14"/>
    </row>
    <row r="6093" spans="1:6" x14ac:dyDescent="0.25">
      <c r="A6093" s="86">
        <v>6092</v>
      </c>
      <c r="B6093" s="87">
        <v>48.304161732055945</v>
      </c>
      <c r="C6093" s="14">
        <v>2</v>
      </c>
      <c r="D6093" s="86">
        <v>0.13376955230606968</v>
      </c>
      <c r="E6093" s="86"/>
      <c r="F6093" s="14"/>
    </row>
    <row r="6094" spans="1:6" x14ac:dyDescent="0.25">
      <c r="A6094" s="86">
        <v>6093</v>
      </c>
      <c r="B6094" s="87">
        <v>42.180681697907858</v>
      </c>
      <c r="C6094" s="14">
        <v>4</v>
      </c>
      <c r="D6094" s="86">
        <v>0.1581066054547311</v>
      </c>
      <c r="E6094" s="86"/>
      <c r="F6094" s="14"/>
    </row>
    <row r="6095" spans="1:6" x14ac:dyDescent="0.25">
      <c r="A6095" s="86">
        <v>6094</v>
      </c>
      <c r="B6095" s="87">
        <v>53.959774954244494</v>
      </c>
      <c r="C6095" s="14">
        <v>5</v>
      </c>
      <c r="D6095" s="86">
        <v>0.97871274898375515</v>
      </c>
      <c r="E6095" s="86"/>
      <c r="F6095" s="14"/>
    </row>
    <row r="6096" spans="1:6" x14ac:dyDescent="0.25">
      <c r="A6096" s="86">
        <v>6095</v>
      </c>
      <c r="B6096" s="87">
        <v>44.054064568961621</v>
      </c>
      <c r="C6096" s="14">
        <v>2</v>
      </c>
      <c r="D6096" s="86">
        <v>0.19936424778076245</v>
      </c>
      <c r="E6096" s="86"/>
      <c r="F6096" s="14"/>
    </row>
    <row r="6097" spans="1:6" x14ac:dyDescent="0.25">
      <c r="A6097" s="86">
        <v>6096</v>
      </c>
      <c r="B6097" s="87">
        <v>38.598852819966851</v>
      </c>
      <c r="C6097" s="14">
        <v>2</v>
      </c>
      <c r="D6097" s="86">
        <v>0.41218985435973909</v>
      </c>
      <c r="E6097" s="86"/>
      <c r="F6097" s="14"/>
    </row>
    <row r="6098" spans="1:6" x14ac:dyDescent="0.25">
      <c r="A6098" s="86">
        <v>6097</v>
      </c>
      <c r="B6098" s="87">
        <v>39.228223153593717</v>
      </c>
      <c r="C6098" s="14">
        <v>1</v>
      </c>
      <c r="D6098" s="86">
        <v>0.68108311948407507</v>
      </c>
      <c r="E6098" s="86"/>
      <c r="F6098" s="14"/>
    </row>
    <row r="6099" spans="1:6" x14ac:dyDescent="0.25">
      <c r="A6099" s="86">
        <v>6098</v>
      </c>
      <c r="B6099" s="87">
        <v>49.574509825441055</v>
      </c>
      <c r="C6099" s="14">
        <v>4</v>
      </c>
      <c r="D6099" s="86">
        <v>0.488633030383408</v>
      </c>
      <c r="E6099" s="86"/>
      <c r="F6099" s="14"/>
    </row>
    <row r="6100" spans="1:6" x14ac:dyDescent="0.25">
      <c r="A6100" s="86">
        <v>6099</v>
      </c>
      <c r="B6100" s="87">
        <v>51.34247657621745</v>
      </c>
      <c r="C6100" s="14">
        <v>5</v>
      </c>
      <c r="D6100" s="86">
        <v>0.37480336412935811</v>
      </c>
      <c r="E6100" s="86"/>
      <c r="F6100" s="14"/>
    </row>
    <row r="6101" spans="1:6" x14ac:dyDescent="0.25">
      <c r="A6101" s="86">
        <v>6100</v>
      </c>
      <c r="B6101" s="87">
        <v>45.492572548362659</v>
      </c>
      <c r="C6101" s="14">
        <v>4</v>
      </c>
      <c r="D6101" s="86">
        <v>0.71228825158775844</v>
      </c>
      <c r="E6101" s="86"/>
      <c r="F6101" s="14"/>
    </row>
    <row r="6102" spans="1:6" x14ac:dyDescent="0.25">
      <c r="A6102" s="86">
        <v>6101</v>
      </c>
      <c r="B6102" s="87">
        <v>49.811546882090624</v>
      </c>
      <c r="C6102" s="14">
        <v>2</v>
      </c>
      <c r="D6102" s="86">
        <v>0.55095466079312527</v>
      </c>
      <c r="E6102" s="86"/>
      <c r="F6102" s="14"/>
    </row>
    <row r="6103" spans="1:6" x14ac:dyDescent="0.25">
      <c r="A6103" s="86">
        <v>6102</v>
      </c>
      <c r="B6103" s="87">
        <v>38.973155364481499</v>
      </c>
      <c r="C6103" s="14">
        <v>4</v>
      </c>
      <c r="D6103" s="86">
        <v>0.1191274170931268</v>
      </c>
      <c r="E6103" s="86"/>
      <c r="F6103" s="14"/>
    </row>
    <row r="6104" spans="1:6" x14ac:dyDescent="0.25">
      <c r="A6104" s="86">
        <v>6103</v>
      </c>
      <c r="B6104" s="87">
        <v>36.299957168346737</v>
      </c>
      <c r="C6104" s="14">
        <v>2</v>
      </c>
      <c r="D6104" s="86">
        <v>0.94324772204400542</v>
      </c>
      <c r="E6104" s="86"/>
      <c r="F6104" s="14"/>
    </row>
    <row r="6105" spans="1:6" x14ac:dyDescent="0.25">
      <c r="A6105" s="86">
        <v>6104</v>
      </c>
      <c r="B6105" s="87">
        <v>44.907028490677476</v>
      </c>
      <c r="C6105" s="14">
        <v>5</v>
      </c>
      <c r="D6105" s="86">
        <v>4.4300677579963921E-2</v>
      </c>
      <c r="E6105" s="86"/>
      <c r="F6105" s="14"/>
    </row>
    <row r="6106" spans="1:6" x14ac:dyDescent="0.25">
      <c r="A6106" s="86">
        <v>6105</v>
      </c>
      <c r="B6106" s="87">
        <v>41.097905518079642</v>
      </c>
      <c r="C6106" s="14">
        <v>2</v>
      </c>
      <c r="D6106" s="86">
        <v>4.3929408501774958E-3</v>
      </c>
      <c r="E6106" s="86"/>
      <c r="F6106" s="14"/>
    </row>
    <row r="6107" spans="1:6" x14ac:dyDescent="0.25">
      <c r="A6107" s="86">
        <v>6106</v>
      </c>
      <c r="B6107" s="87">
        <v>45.478287797202938</v>
      </c>
      <c r="C6107" s="14">
        <v>4</v>
      </c>
      <c r="D6107" s="86">
        <v>0.62795803043294474</v>
      </c>
      <c r="E6107" s="86"/>
      <c r="F6107" s="14"/>
    </row>
    <row r="6108" spans="1:6" x14ac:dyDescent="0.25">
      <c r="A6108" s="86">
        <v>6107</v>
      </c>
      <c r="B6108" s="87">
        <v>36.015103427751455</v>
      </c>
      <c r="C6108" s="14">
        <v>5</v>
      </c>
      <c r="D6108" s="86">
        <v>0.66220749151056946</v>
      </c>
      <c r="E6108" s="86"/>
      <c r="F6108" s="14"/>
    </row>
    <row r="6109" spans="1:6" x14ac:dyDescent="0.25">
      <c r="A6109" s="86">
        <v>6108</v>
      </c>
      <c r="B6109" s="87">
        <v>50.858261596993543</v>
      </c>
      <c r="C6109" s="14">
        <v>2</v>
      </c>
      <c r="D6109" s="86">
        <v>0.77668935814980955</v>
      </c>
      <c r="E6109" s="86"/>
      <c r="F6109" s="14"/>
    </row>
    <row r="6110" spans="1:6" x14ac:dyDescent="0.25">
      <c r="A6110" s="86">
        <v>6109</v>
      </c>
      <c r="B6110" s="87">
        <v>27.884925652295351</v>
      </c>
      <c r="C6110" s="14">
        <v>2</v>
      </c>
      <c r="D6110" s="86">
        <v>0.19902408629345536</v>
      </c>
      <c r="E6110" s="86"/>
      <c r="F6110" s="14"/>
    </row>
    <row r="6111" spans="1:6" x14ac:dyDescent="0.25">
      <c r="A6111" s="86">
        <v>6110</v>
      </c>
      <c r="B6111" s="87">
        <v>38.070356817450374</v>
      </c>
      <c r="C6111" s="14">
        <v>3</v>
      </c>
      <c r="D6111" s="86">
        <v>0.7080306414135572</v>
      </c>
      <c r="E6111" s="86"/>
      <c r="F6111" s="14"/>
    </row>
    <row r="6112" spans="1:6" x14ac:dyDescent="0.25">
      <c r="A6112" s="86">
        <v>6111</v>
      </c>
      <c r="B6112" s="87">
        <v>41.393667510754312</v>
      </c>
      <c r="C6112" s="14">
        <v>5</v>
      </c>
      <c r="D6112" s="86">
        <v>0.62033956795656853</v>
      </c>
      <c r="E6112" s="86"/>
      <c r="F6112" s="14"/>
    </row>
    <row r="6113" spans="1:6" x14ac:dyDescent="0.25">
      <c r="A6113" s="86">
        <v>6112</v>
      </c>
      <c r="B6113" s="87">
        <v>33.084870660211891</v>
      </c>
      <c r="C6113" s="14">
        <v>4</v>
      </c>
      <c r="D6113" s="86">
        <v>0.82557774033109632</v>
      </c>
      <c r="E6113" s="86"/>
      <c r="F6113" s="14"/>
    </row>
    <row r="6114" spans="1:6" x14ac:dyDescent="0.25">
      <c r="A6114" s="86">
        <v>6113</v>
      </c>
      <c r="B6114" s="87">
        <v>44.427298457201687</v>
      </c>
      <c r="C6114" s="14">
        <v>2</v>
      </c>
      <c r="D6114" s="86">
        <v>0.37737379929986126</v>
      </c>
      <c r="E6114" s="86"/>
      <c r="F6114" s="14"/>
    </row>
    <row r="6115" spans="1:6" x14ac:dyDescent="0.25">
      <c r="A6115" s="86">
        <v>6114</v>
      </c>
      <c r="B6115" s="87">
        <v>43.643785824649967</v>
      </c>
      <c r="C6115" s="14">
        <v>4</v>
      </c>
      <c r="D6115" s="86">
        <v>0.98782709638165822</v>
      </c>
      <c r="E6115" s="86"/>
      <c r="F6115" s="14"/>
    </row>
    <row r="6116" spans="1:6" x14ac:dyDescent="0.25">
      <c r="A6116" s="86">
        <v>6115</v>
      </c>
      <c r="B6116" s="87">
        <v>38.157907051179791</v>
      </c>
      <c r="C6116" s="14">
        <v>3</v>
      </c>
      <c r="D6116" s="86">
        <v>8.6077068538678247E-2</v>
      </c>
      <c r="E6116" s="86"/>
      <c r="F6116" s="14"/>
    </row>
    <row r="6117" spans="1:6" x14ac:dyDescent="0.25">
      <c r="A6117" s="86">
        <v>6116</v>
      </c>
      <c r="B6117" s="87">
        <v>49.031154953234363</v>
      </c>
      <c r="C6117" s="14">
        <v>2</v>
      </c>
      <c r="D6117" s="86">
        <v>0.73455805868620683</v>
      </c>
      <c r="E6117" s="86"/>
      <c r="F6117" s="14"/>
    </row>
    <row r="6118" spans="1:6" x14ac:dyDescent="0.25">
      <c r="A6118" s="86">
        <v>6117</v>
      </c>
      <c r="B6118" s="87">
        <v>51.147344487952068</v>
      </c>
      <c r="C6118" s="14">
        <v>5</v>
      </c>
      <c r="D6118" s="86">
        <v>0.82146745675801791</v>
      </c>
      <c r="E6118" s="86"/>
      <c r="F6118" s="14"/>
    </row>
    <row r="6119" spans="1:6" x14ac:dyDescent="0.25">
      <c r="A6119" s="86">
        <v>6118</v>
      </c>
      <c r="B6119" s="87">
        <v>48.081164999864995</v>
      </c>
      <c r="C6119" s="14">
        <v>2</v>
      </c>
      <c r="D6119" s="86">
        <v>0.92172746840139319</v>
      </c>
      <c r="E6119" s="86"/>
      <c r="F6119" s="14"/>
    </row>
    <row r="6120" spans="1:6" x14ac:dyDescent="0.25">
      <c r="A6120" s="86">
        <v>6119</v>
      </c>
      <c r="B6120" s="87">
        <v>38.051666701328941</v>
      </c>
      <c r="C6120" s="14">
        <v>2</v>
      </c>
      <c r="D6120" s="86">
        <v>2.3047412034131076E-2</v>
      </c>
      <c r="E6120" s="86"/>
      <c r="F6120" s="14"/>
    </row>
    <row r="6121" spans="1:6" x14ac:dyDescent="0.25">
      <c r="A6121" s="86">
        <v>6120</v>
      </c>
      <c r="B6121" s="87">
        <v>50.08785137248924</v>
      </c>
      <c r="C6121" s="14">
        <v>2</v>
      </c>
      <c r="D6121" s="86">
        <v>0.18612448723995156</v>
      </c>
      <c r="E6121" s="86"/>
      <c r="F6121" s="14"/>
    </row>
    <row r="6122" spans="1:6" x14ac:dyDescent="0.25">
      <c r="A6122" s="86">
        <v>6121</v>
      </c>
      <c r="B6122" s="87">
        <v>47.77830326417461</v>
      </c>
      <c r="C6122" s="14">
        <v>2</v>
      </c>
      <c r="D6122" s="86">
        <v>0.55560897983252822</v>
      </c>
      <c r="E6122" s="86"/>
      <c r="F6122" s="14"/>
    </row>
    <row r="6123" spans="1:6" x14ac:dyDescent="0.25">
      <c r="A6123" s="86">
        <v>6122</v>
      </c>
      <c r="B6123" s="87">
        <v>36.155415722867474</v>
      </c>
      <c r="C6123" s="14">
        <v>4</v>
      </c>
      <c r="D6123" s="86">
        <v>0.25316905391496825</v>
      </c>
      <c r="E6123" s="86"/>
      <c r="F6123" s="14"/>
    </row>
    <row r="6124" spans="1:6" x14ac:dyDescent="0.25">
      <c r="A6124" s="86">
        <v>6123</v>
      </c>
      <c r="B6124" s="87">
        <v>39.155122516938718</v>
      </c>
      <c r="C6124" s="14">
        <v>4</v>
      </c>
      <c r="D6124" s="86">
        <v>0.53649441075181914</v>
      </c>
      <c r="E6124" s="86"/>
      <c r="F6124" s="14"/>
    </row>
    <row r="6125" spans="1:6" x14ac:dyDescent="0.25">
      <c r="A6125" s="86">
        <v>6124</v>
      </c>
      <c r="B6125" s="87">
        <v>36.045412338688038</v>
      </c>
      <c r="C6125" s="14">
        <v>5</v>
      </c>
      <c r="D6125" s="86">
        <v>0.91825958167779376</v>
      </c>
      <c r="E6125" s="86"/>
      <c r="F6125" s="14"/>
    </row>
    <row r="6126" spans="1:6" x14ac:dyDescent="0.25">
      <c r="A6126" s="86">
        <v>6125</v>
      </c>
      <c r="B6126" s="87">
        <v>40.16845877628657</v>
      </c>
      <c r="C6126" s="14">
        <v>3</v>
      </c>
      <c r="D6126" s="86">
        <v>0.13977368406186264</v>
      </c>
      <c r="E6126" s="86"/>
      <c r="F6126" s="14"/>
    </row>
    <row r="6127" spans="1:6" x14ac:dyDescent="0.25">
      <c r="A6127" s="86">
        <v>6126</v>
      </c>
      <c r="B6127" s="87">
        <v>34.584331837657373</v>
      </c>
      <c r="C6127" s="14">
        <v>5</v>
      </c>
      <c r="D6127" s="86">
        <v>0.81263944823941225</v>
      </c>
      <c r="E6127" s="86"/>
      <c r="F6127" s="14"/>
    </row>
    <row r="6128" spans="1:6" x14ac:dyDescent="0.25">
      <c r="A6128" s="86">
        <v>6127</v>
      </c>
      <c r="B6128" s="87">
        <v>51.511824489687569</v>
      </c>
      <c r="C6128" s="14">
        <v>4</v>
      </c>
      <c r="D6128" s="86">
        <v>0.55771605263154167</v>
      </c>
      <c r="E6128" s="86"/>
      <c r="F6128" s="14"/>
    </row>
    <row r="6129" spans="1:6" x14ac:dyDescent="0.25">
      <c r="A6129" s="86">
        <v>6128</v>
      </c>
      <c r="B6129" s="87">
        <v>39.486587860999862</v>
      </c>
      <c r="C6129" s="14">
        <v>4</v>
      </c>
      <c r="D6129" s="86">
        <v>0.17872586150850189</v>
      </c>
      <c r="E6129" s="86"/>
      <c r="F6129" s="14"/>
    </row>
    <row r="6130" spans="1:6" x14ac:dyDescent="0.25">
      <c r="A6130" s="86">
        <v>6129</v>
      </c>
      <c r="B6130" s="87">
        <v>36.006963450170588</v>
      </c>
      <c r="C6130" s="14">
        <v>2</v>
      </c>
      <c r="D6130" s="86">
        <v>0.39683222753768765</v>
      </c>
      <c r="E6130" s="86"/>
      <c r="F6130" s="14"/>
    </row>
    <row r="6131" spans="1:6" x14ac:dyDescent="0.25">
      <c r="A6131" s="86">
        <v>6130</v>
      </c>
      <c r="B6131" s="87">
        <v>46.516350943755242</v>
      </c>
      <c r="C6131" s="14">
        <v>1</v>
      </c>
      <c r="D6131" s="86">
        <v>3.3653237063058228E-3</v>
      </c>
      <c r="E6131" s="86"/>
      <c r="F6131" s="14"/>
    </row>
    <row r="6132" spans="1:6" x14ac:dyDescent="0.25">
      <c r="A6132" s="86">
        <v>6131</v>
      </c>
      <c r="B6132" s="87">
        <v>46.728189312823815</v>
      </c>
      <c r="C6132" s="14">
        <v>5</v>
      </c>
      <c r="D6132" s="86">
        <v>0.35907818968324179</v>
      </c>
      <c r="E6132" s="86"/>
      <c r="F6132" s="14"/>
    </row>
    <row r="6133" spans="1:6" x14ac:dyDescent="0.25">
      <c r="A6133" s="86">
        <v>6132</v>
      </c>
      <c r="B6133" s="87">
        <v>38.245798345422372</v>
      </c>
      <c r="C6133" s="14">
        <v>4</v>
      </c>
      <c r="D6133" s="86">
        <v>6.7954604404852126E-2</v>
      </c>
      <c r="E6133" s="86"/>
      <c r="F6133" s="14"/>
    </row>
    <row r="6134" spans="1:6" x14ac:dyDescent="0.25">
      <c r="A6134" s="86">
        <v>6133</v>
      </c>
      <c r="B6134" s="87">
        <v>42.019735241745366</v>
      </c>
      <c r="C6134" s="14">
        <v>2</v>
      </c>
      <c r="D6134" s="86">
        <v>5.0029433880466212E-2</v>
      </c>
      <c r="E6134" s="86"/>
      <c r="F6134" s="14"/>
    </row>
    <row r="6135" spans="1:6" x14ac:dyDescent="0.25">
      <c r="A6135" s="86">
        <v>6134</v>
      </c>
      <c r="B6135" s="87">
        <v>43.511329290020512</v>
      </c>
      <c r="C6135" s="14">
        <v>2</v>
      </c>
      <c r="D6135" s="86">
        <v>0.15608304423189501</v>
      </c>
      <c r="E6135" s="86"/>
      <c r="F6135" s="14"/>
    </row>
    <row r="6136" spans="1:6" x14ac:dyDescent="0.25">
      <c r="A6136" s="86">
        <v>6135</v>
      </c>
      <c r="B6136" s="87">
        <v>41.967825831641676</v>
      </c>
      <c r="C6136" s="14">
        <v>4</v>
      </c>
      <c r="D6136" s="86">
        <v>0.17845392141212923</v>
      </c>
      <c r="E6136" s="86"/>
      <c r="F6136" s="14"/>
    </row>
    <row r="6137" spans="1:6" x14ac:dyDescent="0.25">
      <c r="A6137" s="86">
        <v>6136</v>
      </c>
      <c r="B6137" s="87">
        <v>33.882906786282547</v>
      </c>
      <c r="C6137" s="14">
        <v>2</v>
      </c>
      <c r="D6137" s="86">
        <v>0.26705805578877251</v>
      </c>
      <c r="E6137" s="86"/>
      <c r="F6137" s="14"/>
    </row>
    <row r="6138" spans="1:6" x14ac:dyDescent="0.25">
      <c r="A6138" s="86">
        <v>6137</v>
      </c>
      <c r="B6138" s="87">
        <v>36.619360338925617</v>
      </c>
      <c r="C6138" s="14">
        <v>1</v>
      </c>
      <c r="D6138" s="86">
        <v>0.70833183832727054</v>
      </c>
      <c r="E6138" s="86"/>
      <c r="F6138" s="14"/>
    </row>
    <row r="6139" spans="1:6" x14ac:dyDescent="0.25">
      <c r="A6139" s="86">
        <v>6138</v>
      </c>
      <c r="B6139" s="87">
        <v>45.307149316038704</v>
      </c>
      <c r="C6139" s="14">
        <v>1</v>
      </c>
      <c r="D6139" s="86">
        <v>0.78573148959465611</v>
      </c>
      <c r="E6139" s="86"/>
      <c r="F6139" s="14"/>
    </row>
    <row r="6140" spans="1:6" x14ac:dyDescent="0.25">
      <c r="A6140" s="86">
        <v>6139</v>
      </c>
      <c r="B6140" s="87">
        <v>43.661918875266565</v>
      </c>
      <c r="C6140" s="14">
        <v>5</v>
      </c>
      <c r="D6140" s="86">
        <v>0.93451148416188057</v>
      </c>
      <c r="E6140" s="86"/>
      <c r="F6140" s="14"/>
    </row>
    <row r="6141" spans="1:6" x14ac:dyDescent="0.25">
      <c r="A6141" s="86">
        <v>6140</v>
      </c>
      <c r="B6141" s="87">
        <v>47.228525085636647</v>
      </c>
      <c r="C6141" s="14">
        <v>2</v>
      </c>
      <c r="D6141" s="86">
        <v>0.48323326065054606</v>
      </c>
      <c r="E6141" s="86"/>
      <c r="F6141" s="14"/>
    </row>
    <row r="6142" spans="1:6" x14ac:dyDescent="0.25">
      <c r="A6142" s="86">
        <v>6141</v>
      </c>
      <c r="B6142" s="87">
        <v>48.609444997389801</v>
      </c>
      <c r="C6142" s="14">
        <v>2</v>
      </c>
      <c r="D6142" s="86">
        <v>0.28092322427931959</v>
      </c>
      <c r="E6142" s="86"/>
      <c r="F6142" s="14"/>
    </row>
    <row r="6143" spans="1:6" x14ac:dyDescent="0.25">
      <c r="A6143" s="86">
        <v>6142</v>
      </c>
      <c r="B6143" s="87">
        <v>42.06843299868342</v>
      </c>
      <c r="C6143" s="14">
        <v>5</v>
      </c>
      <c r="D6143" s="86">
        <v>0.40398822562045533</v>
      </c>
      <c r="E6143" s="86"/>
      <c r="F6143" s="14"/>
    </row>
    <row r="6144" spans="1:6" x14ac:dyDescent="0.25">
      <c r="A6144" s="86">
        <v>6143</v>
      </c>
      <c r="B6144" s="87">
        <v>41.348494045785628</v>
      </c>
      <c r="C6144" s="14">
        <v>4</v>
      </c>
      <c r="D6144" s="86">
        <v>0.41157869459079555</v>
      </c>
      <c r="E6144" s="86"/>
      <c r="F6144" s="14"/>
    </row>
    <row r="6145" spans="1:6" x14ac:dyDescent="0.25">
      <c r="A6145" s="86">
        <v>6144</v>
      </c>
      <c r="B6145" s="87">
        <v>42.95161488186568</v>
      </c>
      <c r="C6145" s="14">
        <v>4</v>
      </c>
      <c r="D6145" s="86">
        <v>2.6172784281902284E-2</v>
      </c>
      <c r="E6145" s="86"/>
      <c r="F6145" s="14"/>
    </row>
    <row r="6146" spans="1:6" x14ac:dyDescent="0.25">
      <c r="A6146" s="86">
        <v>6145</v>
      </c>
      <c r="B6146" s="87">
        <v>40.718344957320369</v>
      </c>
      <c r="C6146" s="14">
        <v>4</v>
      </c>
      <c r="D6146" s="86">
        <v>0.41663555244633566</v>
      </c>
      <c r="E6146" s="86"/>
      <c r="F6146" s="14"/>
    </row>
    <row r="6147" spans="1:6" x14ac:dyDescent="0.25">
      <c r="A6147" s="86">
        <v>6146</v>
      </c>
      <c r="B6147" s="87">
        <v>42.771762304590084</v>
      </c>
      <c r="C6147" s="14">
        <v>2</v>
      </c>
      <c r="D6147" s="86">
        <v>0.33091383114846895</v>
      </c>
      <c r="E6147" s="86"/>
      <c r="F6147" s="14"/>
    </row>
    <row r="6148" spans="1:6" x14ac:dyDescent="0.25">
      <c r="A6148" s="86">
        <v>6147</v>
      </c>
      <c r="B6148" s="87">
        <v>47.535729658527998</v>
      </c>
      <c r="C6148" s="14">
        <v>4</v>
      </c>
      <c r="D6148" s="86">
        <v>0.73645129586488756</v>
      </c>
      <c r="E6148" s="86"/>
      <c r="F6148" s="14"/>
    </row>
    <row r="6149" spans="1:6" x14ac:dyDescent="0.25">
      <c r="A6149" s="86">
        <v>6148</v>
      </c>
      <c r="B6149" s="87">
        <v>45.345939265069319</v>
      </c>
      <c r="C6149" s="14">
        <v>1</v>
      </c>
      <c r="D6149" s="86">
        <v>0.83676260502859989</v>
      </c>
      <c r="E6149" s="86"/>
      <c r="F6149" s="14"/>
    </row>
    <row r="6150" spans="1:6" x14ac:dyDescent="0.25">
      <c r="A6150" s="86">
        <v>6149</v>
      </c>
      <c r="B6150" s="87">
        <v>36.145638654823415</v>
      </c>
      <c r="C6150" s="14">
        <v>2</v>
      </c>
      <c r="D6150" s="86">
        <v>0.56678105489995001</v>
      </c>
      <c r="E6150" s="86"/>
      <c r="F6150" s="14"/>
    </row>
    <row r="6151" spans="1:6" x14ac:dyDescent="0.25">
      <c r="A6151" s="86">
        <v>6150</v>
      </c>
      <c r="B6151" s="87">
        <v>43.983379777608206</v>
      </c>
      <c r="C6151" s="14">
        <v>2</v>
      </c>
      <c r="D6151" s="86">
        <v>8.2980952245180761E-2</v>
      </c>
      <c r="E6151" s="86"/>
      <c r="F6151" s="14"/>
    </row>
    <row r="6152" spans="1:6" x14ac:dyDescent="0.25">
      <c r="A6152" s="86">
        <v>6151</v>
      </c>
      <c r="B6152" s="87">
        <v>42.041955334178056</v>
      </c>
      <c r="C6152" s="14">
        <v>2</v>
      </c>
      <c r="D6152" s="86">
        <v>0.44402066277262986</v>
      </c>
      <c r="E6152" s="86"/>
      <c r="F6152" s="14"/>
    </row>
    <row r="6153" spans="1:6" x14ac:dyDescent="0.25">
      <c r="A6153" s="86">
        <v>6152</v>
      </c>
      <c r="B6153" s="87">
        <v>35.919447322492488</v>
      </c>
      <c r="C6153" s="14">
        <v>2</v>
      </c>
      <c r="D6153" s="86">
        <v>0.99046715694785037</v>
      </c>
      <c r="E6153" s="86"/>
      <c r="F6153" s="14"/>
    </row>
    <row r="6154" spans="1:6" x14ac:dyDescent="0.25">
      <c r="A6154" s="86">
        <v>6153</v>
      </c>
      <c r="B6154" s="87">
        <v>43.515939291290124</v>
      </c>
      <c r="C6154" s="14">
        <v>4</v>
      </c>
      <c r="D6154" s="86">
        <v>0.28594965744040668</v>
      </c>
      <c r="E6154" s="86"/>
      <c r="F6154" s="14"/>
    </row>
    <row r="6155" spans="1:6" x14ac:dyDescent="0.25">
      <c r="A6155" s="86">
        <v>6154</v>
      </c>
      <c r="B6155" s="87">
        <v>41.279258761613164</v>
      </c>
      <c r="C6155" s="14">
        <v>2</v>
      </c>
      <c r="D6155" s="86">
        <v>0.90906056631927767</v>
      </c>
      <c r="E6155" s="86"/>
      <c r="F6155" s="14"/>
    </row>
    <row r="6156" spans="1:6" x14ac:dyDescent="0.25">
      <c r="A6156" s="86">
        <v>6155</v>
      </c>
      <c r="B6156" s="87">
        <v>40.175643784430576</v>
      </c>
      <c r="C6156" s="14">
        <v>2</v>
      </c>
      <c r="D6156" s="86">
        <v>0.21317439005827166</v>
      </c>
      <c r="E6156" s="86"/>
      <c r="F6156" s="14"/>
    </row>
    <row r="6157" spans="1:6" x14ac:dyDescent="0.25">
      <c r="A6157" s="86">
        <v>6156</v>
      </c>
      <c r="B6157" s="87">
        <v>46.388674940651981</v>
      </c>
      <c r="C6157" s="14">
        <v>2</v>
      </c>
      <c r="D6157" s="86">
        <v>0.21592921714628988</v>
      </c>
      <c r="E6157" s="86"/>
      <c r="F6157" s="14"/>
    </row>
    <row r="6158" spans="1:6" x14ac:dyDescent="0.25">
      <c r="A6158" s="86">
        <v>6157</v>
      </c>
      <c r="B6158" s="87">
        <v>51.311849342135247</v>
      </c>
      <c r="C6158" s="14">
        <v>3</v>
      </c>
      <c r="D6158" s="86">
        <v>0.83624428434428677</v>
      </c>
      <c r="E6158" s="86"/>
      <c r="F6158" s="14"/>
    </row>
    <row r="6159" spans="1:6" x14ac:dyDescent="0.25">
      <c r="A6159" s="86">
        <v>6158</v>
      </c>
      <c r="B6159" s="87">
        <v>39.345650288276374</v>
      </c>
      <c r="C6159" s="14">
        <v>4</v>
      </c>
      <c r="D6159" s="86">
        <v>0.6249892751220314</v>
      </c>
      <c r="E6159" s="86"/>
      <c r="F6159" s="14"/>
    </row>
    <row r="6160" spans="1:6" x14ac:dyDescent="0.25">
      <c r="A6160" s="86">
        <v>6159</v>
      </c>
      <c r="B6160" s="87">
        <v>39.361611920292489</v>
      </c>
      <c r="C6160" s="14">
        <v>3</v>
      </c>
      <c r="D6160" s="86">
        <v>0.82115161317049046</v>
      </c>
      <c r="E6160" s="86"/>
      <c r="F6160" s="14"/>
    </row>
    <row r="6161" spans="1:6" x14ac:dyDescent="0.25">
      <c r="A6161" s="86">
        <v>6160</v>
      </c>
      <c r="B6161" s="87">
        <v>46.009370175277581</v>
      </c>
      <c r="C6161" s="14">
        <v>4</v>
      </c>
      <c r="D6161" s="86">
        <v>0.97863831965512105</v>
      </c>
      <c r="E6161" s="86"/>
      <c r="F6161" s="14"/>
    </row>
    <row r="6162" spans="1:6" x14ac:dyDescent="0.25">
      <c r="A6162" s="86">
        <v>6161</v>
      </c>
      <c r="B6162" s="87">
        <v>38.517123352328781</v>
      </c>
      <c r="C6162" s="14">
        <v>2</v>
      </c>
      <c r="D6162" s="86">
        <v>4.3037048069672124E-2</v>
      </c>
      <c r="E6162" s="86"/>
      <c r="F6162" s="14"/>
    </row>
    <row r="6163" spans="1:6" x14ac:dyDescent="0.25">
      <c r="A6163" s="86">
        <v>6162</v>
      </c>
      <c r="B6163" s="87">
        <v>39.153064785175957</v>
      </c>
      <c r="C6163" s="14">
        <v>2</v>
      </c>
      <c r="D6163" s="86">
        <v>0.70475284580406172</v>
      </c>
      <c r="E6163" s="86"/>
      <c r="F6163" s="14"/>
    </row>
    <row r="6164" spans="1:6" x14ac:dyDescent="0.25">
      <c r="A6164" s="86">
        <v>6163</v>
      </c>
      <c r="B6164" s="87">
        <v>45.707133717194665</v>
      </c>
      <c r="C6164" s="14">
        <v>2</v>
      </c>
      <c r="D6164" s="86">
        <v>0.81527538513533859</v>
      </c>
      <c r="E6164" s="86"/>
      <c r="F6164" s="14"/>
    </row>
    <row r="6165" spans="1:6" x14ac:dyDescent="0.25">
      <c r="A6165" s="86">
        <v>6164</v>
      </c>
      <c r="B6165" s="87">
        <v>42.873955403018044</v>
      </c>
      <c r="C6165" s="14">
        <v>5</v>
      </c>
      <c r="D6165" s="86">
        <v>0.24937834735005415</v>
      </c>
      <c r="E6165" s="86"/>
      <c r="F6165" s="14"/>
    </row>
    <row r="6166" spans="1:6" x14ac:dyDescent="0.25">
      <c r="A6166" s="86">
        <v>6165</v>
      </c>
      <c r="B6166" s="87">
        <v>48.603703812084859</v>
      </c>
      <c r="C6166" s="14">
        <v>4</v>
      </c>
      <c r="D6166" s="86">
        <v>0.41373548363165547</v>
      </c>
      <c r="E6166" s="86"/>
      <c r="F6166" s="14"/>
    </row>
    <row r="6167" spans="1:6" x14ac:dyDescent="0.25">
      <c r="A6167" s="86">
        <v>6166</v>
      </c>
      <c r="B6167" s="87">
        <v>45.523802322684787</v>
      </c>
      <c r="C6167" s="14">
        <v>2</v>
      </c>
      <c r="D6167" s="86">
        <v>0.18550710908736556</v>
      </c>
      <c r="E6167" s="86"/>
      <c r="F6167" s="14"/>
    </row>
    <row r="6168" spans="1:6" x14ac:dyDescent="0.25">
      <c r="A6168" s="86">
        <v>6167</v>
      </c>
      <c r="B6168" s="87">
        <v>41.421833424799843</v>
      </c>
      <c r="C6168" s="14">
        <v>1</v>
      </c>
      <c r="D6168" s="86">
        <v>0.65271936892221638</v>
      </c>
      <c r="E6168" s="86"/>
      <c r="F6168" s="14"/>
    </row>
    <row r="6169" spans="1:6" x14ac:dyDescent="0.25">
      <c r="A6169" s="86">
        <v>6168</v>
      </c>
      <c r="B6169" s="87">
        <v>39.519318301579915</v>
      </c>
      <c r="C6169" s="14">
        <v>2</v>
      </c>
      <c r="D6169" s="86">
        <v>0.51270383248165219</v>
      </c>
      <c r="E6169" s="86"/>
      <c r="F6169" s="14"/>
    </row>
    <row r="6170" spans="1:6" x14ac:dyDescent="0.25">
      <c r="A6170" s="86">
        <v>6169</v>
      </c>
      <c r="B6170" s="87">
        <v>39.486099007597659</v>
      </c>
      <c r="C6170" s="14">
        <v>2</v>
      </c>
      <c r="D6170" s="86">
        <v>0.52757377046593223</v>
      </c>
      <c r="E6170" s="86"/>
      <c r="F6170" s="14"/>
    </row>
    <row r="6171" spans="1:6" x14ac:dyDescent="0.25">
      <c r="A6171" s="86">
        <v>6170</v>
      </c>
      <c r="B6171" s="87">
        <v>49.660820872639306</v>
      </c>
      <c r="C6171" s="14">
        <v>4</v>
      </c>
      <c r="D6171" s="86">
        <v>0.27191058877786445</v>
      </c>
      <c r="E6171" s="86"/>
      <c r="F6171" s="14"/>
    </row>
    <row r="6172" spans="1:6" x14ac:dyDescent="0.25">
      <c r="A6172" s="86">
        <v>6171</v>
      </c>
      <c r="B6172" s="87">
        <v>34.62660060392227</v>
      </c>
      <c r="C6172" s="14">
        <v>5</v>
      </c>
      <c r="D6172" s="86">
        <v>0.91492825454366544</v>
      </c>
      <c r="E6172" s="86"/>
      <c r="F6172" s="14"/>
    </row>
    <row r="6173" spans="1:6" x14ac:dyDescent="0.25">
      <c r="A6173" s="86">
        <v>6172</v>
      </c>
      <c r="B6173" s="87">
        <v>40.878910562576493</v>
      </c>
      <c r="C6173" s="14">
        <v>1</v>
      </c>
      <c r="D6173" s="86">
        <v>0.44820071345057688</v>
      </c>
      <c r="E6173" s="86"/>
      <c r="F6173" s="14"/>
    </row>
    <row r="6174" spans="1:6" x14ac:dyDescent="0.25">
      <c r="A6174" s="86">
        <v>6173</v>
      </c>
      <c r="B6174" s="87">
        <v>42.726190935689374</v>
      </c>
      <c r="C6174" s="14">
        <v>1</v>
      </c>
      <c r="D6174" s="86">
        <v>0.52375549641158914</v>
      </c>
      <c r="E6174" s="86"/>
      <c r="F6174" s="14"/>
    </row>
    <row r="6175" spans="1:6" x14ac:dyDescent="0.25">
      <c r="A6175" s="86">
        <v>6174</v>
      </c>
      <c r="B6175" s="87">
        <v>38.094549376517534</v>
      </c>
      <c r="C6175" s="14">
        <v>2</v>
      </c>
      <c r="D6175" s="86">
        <v>0.45646506888933924</v>
      </c>
      <c r="E6175" s="86"/>
      <c r="F6175" s="14"/>
    </row>
    <row r="6176" spans="1:6" x14ac:dyDescent="0.25">
      <c r="A6176" s="86">
        <v>6175</v>
      </c>
      <c r="B6176" s="87">
        <v>48.310880624165293</v>
      </c>
      <c r="C6176" s="14">
        <v>5</v>
      </c>
      <c r="D6176" s="86">
        <v>0.97344407146102041</v>
      </c>
      <c r="E6176" s="86"/>
      <c r="F6176" s="14"/>
    </row>
    <row r="6177" spans="1:6" x14ac:dyDescent="0.25">
      <c r="A6177" s="86">
        <v>6176</v>
      </c>
      <c r="B6177" s="87">
        <v>46.822299277089769</v>
      </c>
      <c r="C6177" s="14">
        <v>5</v>
      </c>
      <c r="D6177" s="86">
        <v>0.83281256347555166</v>
      </c>
      <c r="E6177" s="86"/>
      <c r="F6177" s="14"/>
    </row>
    <row r="6178" spans="1:6" x14ac:dyDescent="0.25">
      <c r="A6178" s="86">
        <v>6177</v>
      </c>
      <c r="B6178" s="87">
        <v>46.901152467733482</v>
      </c>
      <c r="C6178" s="14">
        <v>3</v>
      </c>
      <c r="D6178" s="86">
        <v>0.48836397259944975</v>
      </c>
      <c r="E6178" s="86"/>
      <c r="F6178" s="14"/>
    </row>
    <row r="6179" spans="1:6" x14ac:dyDescent="0.25">
      <c r="A6179" s="86">
        <v>6178</v>
      </c>
      <c r="B6179" s="87">
        <v>44.944516725416179</v>
      </c>
      <c r="C6179" s="14">
        <v>2</v>
      </c>
      <c r="D6179" s="86">
        <v>0.18469200195441082</v>
      </c>
      <c r="E6179" s="86"/>
      <c r="F6179" s="14"/>
    </row>
    <row r="6180" spans="1:6" x14ac:dyDescent="0.25">
      <c r="A6180" s="86">
        <v>6179</v>
      </c>
      <c r="B6180" s="87">
        <v>40.61813569421065</v>
      </c>
      <c r="C6180" s="14">
        <v>2</v>
      </c>
      <c r="D6180" s="86">
        <v>0.61605260945598583</v>
      </c>
      <c r="E6180" s="86"/>
      <c r="F6180" s="14"/>
    </row>
    <row r="6181" spans="1:6" x14ac:dyDescent="0.25">
      <c r="A6181" s="86">
        <v>6180</v>
      </c>
      <c r="B6181" s="87">
        <v>39.444353200786281</v>
      </c>
      <c r="C6181" s="14">
        <v>5</v>
      </c>
      <c r="D6181" s="86">
        <v>0.14761962287125208</v>
      </c>
      <c r="E6181" s="86"/>
      <c r="F6181" s="14"/>
    </row>
    <row r="6182" spans="1:6" x14ac:dyDescent="0.25">
      <c r="A6182" s="86">
        <v>6181</v>
      </c>
      <c r="B6182" s="87">
        <v>31.598028721753508</v>
      </c>
      <c r="C6182" s="14">
        <v>1</v>
      </c>
      <c r="D6182" s="86">
        <v>0.64483248034644991</v>
      </c>
      <c r="E6182" s="86"/>
      <c r="F6182" s="14"/>
    </row>
    <row r="6183" spans="1:6" x14ac:dyDescent="0.25">
      <c r="A6183" s="86">
        <v>6182</v>
      </c>
      <c r="B6183" s="87">
        <v>45.659425035744789</v>
      </c>
      <c r="C6183" s="14">
        <v>4</v>
      </c>
      <c r="D6183" s="86">
        <v>0.74154759673654802</v>
      </c>
      <c r="E6183" s="86"/>
      <c r="F6183" s="14"/>
    </row>
    <row r="6184" spans="1:6" x14ac:dyDescent="0.25">
      <c r="A6184" s="86">
        <v>6183</v>
      </c>
      <c r="B6184" s="87">
        <v>39.336146068642847</v>
      </c>
      <c r="C6184" s="14">
        <v>2</v>
      </c>
      <c r="D6184" s="86">
        <v>0.92540096506329084</v>
      </c>
      <c r="E6184" s="86"/>
      <c r="F6184" s="14"/>
    </row>
    <row r="6185" spans="1:6" x14ac:dyDescent="0.25">
      <c r="A6185" s="86">
        <v>6184</v>
      </c>
      <c r="B6185" s="87">
        <v>42.218266566458624</v>
      </c>
      <c r="C6185" s="14">
        <v>4</v>
      </c>
      <c r="D6185" s="86">
        <v>0.72868040918544097</v>
      </c>
      <c r="E6185" s="86"/>
      <c r="F6185" s="14"/>
    </row>
    <row r="6186" spans="1:6" x14ac:dyDescent="0.25">
      <c r="A6186" s="86">
        <v>6185</v>
      </c>
      <c r="B6186" s="87">
        <v>37.350184806535253</v>
      </c>
      <c r="C6186" s="14">
        <v>3</v>
      </c>
      <c r="D6186" s="86">
        <v>0.85790664749118484</v>
      </c>
      <c r="E6186" s="86"/>
      <c r="F6186" s="14"/>
    </row>
    <row r="6187" spans="1:6" x14ac:dyDescent="0.25">
      <c r="A6187" s="86">
        <v>6186</v>
      </c>
      <c r="B6187" s="87">
        <v>43.676971012580907</v>
      </c>
      <c r="C6187" s="14">
        <v>2</v>
      </c>
      <c r="D6187" s="86">
        <v>0.95501043135985286</v>
      </c>
      <c r="E6187" s="86"/>
      <c r="F6187" s="14"/>
    </row>
    <row r="6188" spans="1:6" x14ac:dyDescent="0.25">
      <c r="A6188" s="86">
        <v>6187</v>
      </c>
      <c r="B6188" s="87">
        <v>28.735848895274103</v>
      </c>
      <c r="C6188" s="14">
        <v>5</v>
      </c>
      <c r="D6188" s="86">
        <v>0.17726930965150911</v>
      </c>
      <c r="E6188" s="86"/>
      <c r="F6188" s="14"/>
    </row>
    <row r="6189" spans="1:6" x14ac:dyDescent="0.25">
      <c r="A6189" s="86">
        <v>6188</v>
      </c>
      <c r="B6189" s="87">
        <v>40.884771119061043</v>
      </c>
      <c r="C6189" s="14">
        <v>4</v>
      </c>
      <c r="D6189" s="86">
        <v>0.69133234287073808</v>
      </c>
      <c r="E6189" s="86"/>
      <c r="F6189" s="14"/>
    </row>
    <row r="6190" spans="1:6" x14ac:dyDescent="0.25">
      <c r="A6190" s="86">
        <v>6189</v>
      </c>
      <c r="B6190" s="87">
        <v>39.810311131412163</v>
      </c>
      <c r="C6190" s="14">
        <v>4</v>
      </c>
      <c r="D6190" s="86">
        <v>0.31163354192786408</v>
      </c>
      <c r="E6190" s="86"/>
      <c r="F6190" s="14"/>
    </row>
    <row r="6191" spans="1:6" x14ac:dyDescent="0.25">
      <c r="A6191" s="86">
        <v>6190</v>
      </c>
      <c r="B6191" s="87">
        <v>40.512190930137876</v>
      </c>
      <c r="C6191" s="14">
        <v>4</v>
      </c>
      <c r="D6191" s="86">
        <v>0.13789467331070571</v>
      </c>
      <c r="E6191" s="86"/>
      <c r="F6191" s="14"/>
    </row>
    <row r="6192" spans="1:6" x14ac:dyDescent="0.25">
      <c r="A6192" s="86">
        <v>6191</v>
      </c>
      <c r="B6192" s="87">
        <v>41.369480636029039</v>
      </c>
      <c r="C6192" s="14">
        <v>2</v>
      </c>
      <c r="D6192" s="86">
        <v>0.74156201474889338</v>
      </c>
      <c r="E6192" s="86"/>
      <c r="F6192" s="14"/>
    </row>
    <row r="6193" spans="1:6" x14ac:dyDescent="0.25">
      <c r="A6193" s="86">
        <v>6192</v>
      </c>
      <c r="B6193" s="87">
        <v>33.532478477689438</v>
      </c>
      <c r="C6193" s="14">
        <v>4</v>
      </c>
      <c r="D6193" s="86">
        <v>0.41810218560442691</v>
      </c>
      <c r="E6193" s="86"/>
      <c r="F6193" s="14"/>
    </row>
    <row r="6194" spans="1:6" x14ac:dyDescent="0.25">
      <c r="A6194" s="86">
        <v>6193</v>
      </c>
      <c r="B6194" s="87">
        <v>44.729267751215957</v>
      </c>
      <c r="C6194" s="14">
        <v>2</v>
      </c>
      <c r="D6194" s="86">
        <v>0.61153202158974052</v>
      </c>
      <c r="E6194" s="86"/>
      <c r="F6194" s="14"/>
    </row>
    <row r="6195" spans="1:6" x14ac:dyDescent="0.25">
      <c r="A6195" s="86">
        <v>6194</v>
      </c>
      <c r="B6195" s="87">
        <v>39.585290773509769</v>
      </c>
      <c r="C6195" s="14">
        <v>5</v>
      </c>
      <c r="D6195" s="86">
        <v>0.78529757318161719</v>
      </c>
      <c r="E6195" s="86"/>
      <c r="F6195" s="14"/>
    </row>
    <row r="6196" spans="1:6" x14ac:dyDescent="0.25">
      <c r="A6196" s="86">
        <v>6195</v>
      </c>
      <c r="B6196" s="87">
        <v>37.484301168995444</v>
      </c>
      <c r="C6196" s="14">
        <v>2</v>
      </c>
      <c r="D6196" s="86">
        <v>0.96149550957473939</v>
      </c>
      <c r="E6196" s="86"/>
      <c r="F6196" s="14"/>
    </row>
    <row r="6197" spans="1:6" x14ac:dyDescent="0.25">
      <c r="A6197" s="86">
        <v>6196</v>
      </c>
      <c r="B6197" s="87">
        <v>46.450043095654109</v>
      </c>
      <c r="C6197" s="14">
        <v>5</v>
      </c>
      <c r="D6197" s="86">
        <v>0.71855753266655331</v>
      </c>
      <c r="E6197" s="86"/>
      <c r="F6197" s="14"/>
    </row>
    <row r="6198" spans="1:6" x14ac:dyDescent="0.25">
      <c r="A6198" s="86">
        <v>6197</v>
      </c>
      <c r="B6198" s="87">
        <v>38.475809555500746</v>
      </c>
      <c r="C6198" s="14">
        <v>4</v>
      </c>
      <c r="D6198" s="86">
        <v>0.49389473429605713</v>
      </c>
      <c r="E6198" s="86"/>
      <c r="F6198" s="14"/>
    </row>
    <row r="6199" spans="1:6" x14ac:dyDescent="0.25">
      <c r="A6199" s="86">
        <v>6198</v>
      </c>
      <c r="B6199" s="87">
        <v>37.31308879138669</v>
      </c>
      <c r="C6199" s="14">
        <v>1</v>
      </c>
      <c r="D6199" s="86">
        <v>0.48995506434500058</v>
      </c>
      <c r="E6199" s="86"/>
      <c r="F6199" s="14"/>
    </row>
    <row r="6200" spans="1:6" x14ac:dyDescent="0.25">
      <c r="A6200" s="86">
        <v>6199</v>
      </c>
      <c r="B6200" s="87">
        <v>47.835374056710862</v>
      </c>
      <c r="C6200" s="14">
        <v>5</v>
      </c>
      <c r="D6200" s="86">
        <v>0.98482084328158215</v>
      </c>
      <c r="E6200" s="86"/>
      <c r="F6200" s="14"/>
    </row>
    <row r="6201" spans="1:6" x14ac:dyDescent="0.25">
      <c r="A6201" s="86">
        <v>6200</v>
      </c>
      <c r="B6201" s="87">
        <v>49.943537300685421</v>
      </c>
      <c r="C6201" s="14">
        <v>2</v>
      </c>
      <c r="D6201" s="86">
        <v>1.4995252371325041E-2</v>
      </c>
      <c r="E6201" s="86"/>
      <c r="F6201" s="14"/>
    </row>
    <row r="6202" spans="1:6" x14ac:dyDescent="0.25">
      <c r="A6202" s="86">
        <v>6201</v>
      </c>
      <c r="B6202" s="87">
        <v>36.497453942836728</v>
      </c>
      <c r="C6202" s="14">
        <v>2</v>
      </c>
      <c r="D6202" s="86">
        <v>0.24920161302123423</v>
      </c>
      <c r="E6202" s="86"/>
      <c r="F6202" s="14"/>
    </row>
    <row r="6203" spans="1:6" x14ac:dyDescent="0.25">
      <c r="A6203" s="86">
        <v>6202</v>
      </c>
      <c r="B6203" s="87">
        <v>45.049318936769851</v>
      </c>
      <c r="C6203" s="14">
        <v>5</v>
      </c>
      <c r="D6203" s="86">
        <v>0.7493528223630177</v>
      </c>
      <c r="E6203" s="86"/>
      <c r="F6203" s="14"/>
    </row>
    <row r="6204" spans="1:6" x14ac:dyDescent="0.25">
      <c r="A6204" s="86">
        <v>6203</v>
      </c>
      <c r="B6204" s="87">
        <v>53.777102943393402</v>
      </c>
      <c r="C6204" s="14">
        <v>2</v>
      </c>
      <c r="D6204" s="86">
        <v>8.8871573606741139E-2</v>
      </c>
      <c r="E6204" s="86"/>
      <c r="F6204" s="14"/>
    </row>
    <row r="6205" spans="1:6" x14ac:dyDescent="0.25">
      <c r="A6205" s="86">
        <v>6204</v>
      </c>
      <c r="B6205" s="87">
        <v>43.44139483179606</v>
      </c>
      <c r="C6205" s="14">
        <v>2</v>
      </c>
      <c r="D6205" s="86">
        <v>0.18049229551821178</v>
      </c>
      <c r="E6205" s="86"/>
      <c r="F6205" s="14"/>
    </row>
    <row r="6206" spans="1:6" x14ac:dyDescent="0.25">
      <c r="A6206" s="86">
        <v>6205</v>
      </c>
      <c r="B6206" s="87">
        <v>36.871927017607959</v>
      </c>
      <c r="C6206" s="14">
        <v>4</v>
      </c>
      <c r="D6206" s="86">
        <v>0.34651605824234633</v>
      </c>
      <c r="E6206" s="86"/>
      <c r="F6206" s="14"/>
    </row>
    <row r="6207" spans="1:6" x14ac:dyDescent="0.25">
      <c r="A6207" s="86">
        <v>6206</v>
      </c>
      <c r="B6207" s="87">
        <v>46.84641793971241</v>
      </c>
      <c r="C6207" s="14">
        <v>5</v>
      </c>
      <c r="D6207" s="86">
        <v>0.535393493091749</v>
      </c>
      <c r="E6207" s="86"/>
      <c r="F6207" s="14"/>
    </row>
    <row r="6208" spans="1:6" x14ac:dyDescent="0.25">
      <c r="A6208" s="86">
        <v>6207</v>
      </c>
      <c r="B6208" s="87">
        <v>48.480683284986299</v>
      </c>
      <c r="C6208" s="14">
        <v>2</v>
      </c>
      <c r="D6208" s="86">
        <v>0.54604380775153483</v>
      </c>
      <c r="E6208" s="86"/>
      <c r="F6208" s="14"/>
    </row>
    <row r="6209" spans="1:6" x14ac:dyDescent="0.25">
      <c r="A6209" s="86">
        <v>6208</v>
      </c>
      <c r="B6209" s="87">
        <v>32.516027198988013</v>
      </c>
      <c r="C6209" s="14">
        <v>1</v>
      </c>
      <c r="D6209" s="86">
        <v>0.47498385606210447</v>
      </c>
      <c r="E6209" s="86"/>
      <c r="F6209" s="14"/>
    </row>
    <row r="6210" spans="1:6" x14ac:dyDescent="0.25">
      <c r="A6210" s="86">
        <v>6209</v>
      </c>
      <c r="B6210" s="87">
        <v>47.000457920483314</v>
      </c>
      <c r="C6210" s="14">
        <v>5</v>
      </c>
      <c r="D6210" s="86">
        <v>0.52235753643222482</v>
      </c>
      <c r="E6210" s="86"/>
      <c r="F6210" s="14"/>
    </row>
    <row r="6211" spans="1:6" x14ac:dyDescent="0.25">
      <c r="A6211" s="86">
        <v>6210</v>
      </c>
      <c r="B6211" s="87">
        <v>49.604591362702195</v>
      </c>
      <c r="C6211" s="14">
        <v>5</v>
      </c>
      <c r="D6211" s="86">
        <v>0.22861059900192915</v>
      </c>
      <c r="E6211" s="86"/>
      <c r="F6211" s="14"/>
    </row>
    <row r="6212" spans="1:6" x14ac:dyDescent="0.25">
      <c r="A6212" s="86">
        <v>6211</v>
      </c>
      <c r="B6212" s="87">
        <v>41.378757481987122</v>
      </c>
      <c r="C6212" s="14">
        <v>2</v>
      </c>
      <c r="D6212" s="86">
        <v>0.23472092742387585</v>
      </c>
      <c r="E6212" s="86"/>
      <c r="F6212" s="14"/>
    </row>
    <row r="6213" spans="1:6" x14ac:dyDescent="0.25">
      <c r="A6213" s="86">
        <v>6212</v>
      </c>
      <c r="B6213" s="87">
        <v>45.372019025642658</v>
      </c>
      <c r="C6213" s="14">
        <v>3</v>
      </c>
      <c r="D6213" s="86">
        <v>0.63576147314744069</v>
      </c>
      <c r="E6213" s="86"/>
      <c r="F6213" s="14"/>
    </row>
    <row r="6214" spans="1:6" x14ac:dyDescent="0.25">
      <c r="A6214" s="86">
        <v>6213</v>
      </c>
      <c r="B6214" s="87">
        <v>44.393863158227759</v>
      </c>
      <c r="C6214" s="14">
        <v>4</v>
      </c>
      <c r="D6214" s="86">
        <v>0.69215287137349035</v>
      </c>
      <c r="E6214" s="86"/>
      <c r="F6214" s="14"/>
    </row>
    <row r="6215" spans="1:6" x14ac:dyDescent="0.25">
      <c r="A6215" s="86">
        <v>6214</v>
      </c>
      <c r="B6215" s="87">
        <v>47.576281753543299</v>
      </c>
      <c r="C6215" s="14">
        <v>5</v>
      </c>
      <c r="D6215" s="86">
        <v>0.39680573587406698</v>
      </c>
      <c r="E6215" s="86"/>
      <c r="F6215" s="14"/>
    </row>
    <row r="6216" spans="1:6" x14ac:dyDescent="0.25">
      <c r="A6216" s="86">
        <v>6215</v>
      </c>
      <c r="B6216" s="87">
        <v>33.748574418830685</v>
      </c>
      <c r="C6216" s="14">
        <v>4</v>
      </c>
      <c r="D6216" s="86">
        <v>8.1654270852241195E-2</v>
      </c>
      <c r="E6216" s="86"/>
      <c r="F6216" s="14"/>
    </row>
    <row r="6217" spans="1:6" x14ac:dyDescent="0.25">
      <c r="A6217" s="86">
        <v>6216</v>
      </c>
      <c r="B6217" s="87">
        <v>49.637674232479185</v>
      </c>
      <c r="C6217" s="14">
        <v>2</v>
      </c>
      <c r="D6217" s="86">
        <v>0.96586157153673557</v>
      </c>
      <c r="E6217" s="86"/>
      <c r="F6217" s="14"/>
    </row>
    <row r="6218" spans="1:6" x14ac:dyDescent="0.25">
      <c r="A6218" s="86">
        <v>6217</v>
      </c>
      <c r="B6218" s="87">
        <v>37.186373442062177</v>
      </c>
      <c r="C6218" s="14">
        <v>1</v>
      </c>
      <c r="D6218" s="86">
        <v>0.49587453349968802</v>
      </c>
      <c r="E6218" s="86"/>
      <c r="F6218" s="14"/>
    </row>
    <row r="6219" spans="1:6" x14ac:dyDescent="0.25">
      <c r="A6219" s="86">
        <v>6218</v>
      </c>
      <c r="B6219" s="87">
        <v>40.636967918879236</v>
      </c>
      <c r="C6219" s="14">
        <v>1</v>
      </c>
      <c r="D6219" s="86">
        <v>0.54818090574013567</v>
      </c>
      <c r="E6219" s="86"/>
      <c r="F6219" s="14"/>
    </row>
    <row r="6220" spans="1:6" x14ac:dyDescent="0.25">
      <c r="A6220" s="86">
        <v>6219</v>
      </c>
      <c r="B6220" s="87">
        <v>44.495158130637719</v>
      </c>
      <c r="C6220" s="14">
        <v>5</v>
      </c>
      <c r="D6220" s="86">
        <v>0.1369134954912653</v>
      </c>
      <c r="E6220" s="86"/>
      <c r="F6220" s="14"/>
    </row>
    <row r="6221" spans="1:6" x14ac:dyDescent="0.25">
      <c r="A6221" s="86">
        <v>6220</v>
      </c>
      <c r="B6221" s="87">
        <v>40.97353780195408</v>
      </c>
      <c r="C6221" s="14">
        <v>1</v>
      </c>
      <c r="D6221" s="86">
        <v>0.97426091805459858</v>
      </c>
      <c r="E6221" s="86"/>
      <c r="F6221" s="14"/>
    </row>
    <row r="6222" spans="1:6" x14ac:dyDescent="0.25">
      <c r="A6222" s="86">
        <v>6221</v>
      </c>
      <c r="B6222" s="87">
        <v>51.235156201408245</v>
      </c>
      <c r="C6222" s="14">
        <v>4</v>
      </c>
      <c r="D6222" s="86">
        <v>0.69430390987139834</v>
      </c>
      <c r="E6222" s="86"/>
      <c r="F6222" s="14"/>
    </row>
    <row r="6223" spans="1:6" x14ac:dyDescent="0.25">
      <c r="A6223" s="86">
        <v>6222</v>
      </c>
      <c r="B6223" s="87">
        <v>40.707300281035714</v>
      </c>
      <c r="C6223" s="14">
        <v>4</v>
      </c>
      <c r="D6223" s="86">
        <v>0.57696172748828667</v>
      </c>
      <c r="E6223" s="86"/>
      <c r="F6223" s="14"/>
    </row>
    <row r="6224" spans="1:6" x14ac:dyDescent="0.25">
      <c r="A6224" s="86">
        <v>6223</v>
      </c>
      <c r="B6224" s="87">
        <v>42.792441940371646</v>
      </c>
      <c r="C6224" s="14">
        <v>2</v>
      </c>
      <c r="D6224" s="86">
        <v>0.27599339619105723</v>
      </c>
      <c r="E6224" s="86"/>
      <c r="F6224" s="14"/>
    </row>
    <row r="6225" spans="1:6" x14ac:dyDescent="0.25">
      <c r="A6225" s="86">
        <v>6224</v>
      </c>
      <c r="B6225" s="87">
        <v>35.418815963901579</v>
      </c>
      <c r="C6225" s="14">
        <v>1</v>
      </c>
      <c r="D6225" s="86">
        <v>0.34650082385843028</v>
      </c>
      <c r="E6225" s="86"/>
      <c r="F6225" s="14"/>
    </row>
    <row r="6226" spans="1:6" x14ac:dyDescent="0.25">
      <c r="A6226" s="86">
        <v>6225</v>
      </c>
      <c r="B6226" s="87">
        <v>50.609060048707761</v>
      </c>
      <c r="C6226" s="14">
        <v>1</v>
      </c>
      <c r="D6226" s="86">
        <v>0.83005226977947344</v>
      </c>
      <c r="E6226" s="86"/>
      <c r="F6226" s="14"/>
    </row>
    <row r="6227" spans="1:6" x14ac:dyDescent="0.25">
      <c r="A6227" s="86">
        <v>6226</v>
      </c>
      <c r="B6227" s="87">
        <v>43.95999439508887</v>
      </c>
      <c r="C6227" s="14">
        <v>4</v>
      </c>
      <c r="D6227" s="86">
        <v>0.15000196256964637</v>
      </c>
      <c r="E6227" s="86"/>
      <c r="F6227" s="14"/>
    </row>
    <row r="6228" spans="1:6" x14ac:dyDescent="0.25">
      <c r="A6228" s="86">
        <v>6227</v>
      </c>
      <c r="B6228" s="87">
        <v>36.497453942836728</v>
      </c>
      <c r="C6228" s="14">
        <v>4</v>
      </c>
      <c r="D6228" s="86">
        <v>0.38317284035212962</v>
      </c>
      <c r="E6228" s="86"/>
      <c r="F6228" s="14"/>
    </row>
    <row r="6229" spans="1:6" x14ac:dyDescent="0.25">
      <c r="A6229" s="86">
        <v>6228</v>
      </c>
      <c r="B6229" s="87">
        <v>36.693768374214415</v>
      </c>
      <c r="C6229" s="14">
        <v>4</v>
      </c>
      <c r="D6229" s="86">
        <v>0.83051318790343909</v>
      </c>
      <c r="E6229" s="86"/>
      <c r="F6229" s="14"/>
    </row>
    <row r="6230" spans="1:6" x14ac:dyDescent="0.25">
      <c r="A6230" s="86">
        <v>6229</v>
      </c>
      <c r="B6230" s="87">
        <v>38.800931174017023</v>
      </c>
      <c r="C6230" s="14">
        <v>2</v>
      </c>
      <c r="D6230" s="86">
        <v>0.37082696910296009</v>
      </c>
      <c r="E6230" s="86"/>
      <c r="F6230" s="14"/>
    </row>
    <row r="6231" spans="1:6" x14ac:dyDescent="0.25">
      <c r="A6231" s="86">
        <v>6230</v>
      </c>
      <c r="B6231" s="87">
        <v>44.084981704480015</v>
      </c>
      <c r="C6231" s="14">
        <v>2</v>
      </c>
      <c r="D6231" s="86">
        <v>0.56470787074012929</v>
      </c>
      <c r="E6231" s="86"/>
      <c r="F6231" s="14"/>
    </row>
    <row r="6232" spans="1:6" x14ac:dyDescent="0.25">
      <c r="A6232" s="86">
        <v>6231</v>
      </c>
      <c r="B6232" s="87">
        <v>47.486309990170412</v>
      </c>
      <c r="C6232" s="14">
        <v>3</v>
      </c>
      <c r="D6232" s="86">
        <v>4.213783779185698E-2</v>
      </c>
      <c r="E6232" s="86"/>
      <c r="F6232" s="14"/>
    </row>
    <row r="6233" spans="1:6" x14ac:dyDescent="0.25">
      <c r="A6233" s="86">
        <v>6232</v>
      </c>
      <c r="B6233" s="87">
        <v>39.309577454667306</v>
      </c>
      <c r="C6233" s="14">
        <v>2</v>
      </c>
      <c r="D6233" s="86">
        <v>0.79523399018376961</v>
      </c>
      <c r="E6233" s="86"/>
      <c r="F6233" s="14"/>
    </row>
    <row r="6234" spans="1:6" x14ac:dyDescent="0.25">
      <c r="A6234" s="86">
        <v>6233</v>
      </c>
      <c r="B6234" s="87">
        <v>41.713980176034966</v>
      </c>
      <c r="C6234" s="14">
        <v>4</v>
      </c>
      <c r="D6234" s="86">
        <v>0.63279896156433435</v>
      </c>
      <c r="E6234" s="86"/>
      <c r="F6234" s="14"/>
    </row>
    <row r="6235" spans="1:6" x14ac:dyDescent="0.25">
      <c r="A6235" s="86">
        <v>6234</v>
      </c>
      <c r="B6235" s="87">
        <v>54.13094185711816</v>
      </c>
      <c r="C6235" s="14">
        <v>5</v>
      </c>
      <c r="D6235" s="86">
        <v>0.99334001367263602</v>
      </c>
      <c r="E6235" s="86"/>
      <c r="F6235" s="14"/>
    </row>
    <row r="6236" spans="1:6" x14ac:dyDescent="0.25">
      <c r="A6236" s="86">
        <v>6235</v>
      </c>
      <c r="B6236" s="87">
        <v>42.261990524246357</v>
      </c>
      <c r="C6236" s="14">
        <v>5</v>
      </c>
      <c r="D6236" s="86">
        <v>0.40633851468990778</v>
      </c>
      <c r="E6236" s="86"/>
      <c r="F6236" s="14"/>
    </row>
    <row r="6237" spans="1:6" x14ac:dyDescent="0.25">
      <c r="A6237" s="86">
        <v>6236</v>
      </c>
      <c r="B6237" s="87">
        <v>41.994383076933445</v>
      </c>
      <c r="C6237" s="14">
        <v>5</v>
      </c>
      <c r="D6237" s="86">
        <v>0.53305047083161228</v>
      </c>
      <c r="E6237" s="86"/>
      <c r="F6237" s="14"/>
    </row>
    <row r="6238" spans="1:6" x14ac:dyDescent="0.25">
      <c r="A6238" s="86">
        <v>6237</v>
      </c>
      <c r="B6238" s="87">
        <v>51.364077075384557</v>
      </c>
      <c r="C6238" s="14">
        <v>4</v>
      </c>
      <c r="D6238" s="86">
        <v>0.14617305275802139</v>
      </c>
      <c r="E6238" s="86"/>
      <c r="F6238" s="14"/>
    </row>
    <row r="6239" spans="1:6" x14ac:dyDescent="0.25">
      <c r="A6239" s="86">
        <v>6238</v>
      </c>
      <c r="B6239" s="87">
        <v>51.777760740485974</v>
      </c>
      <c r="C6239" s="14">
        <v>1</v>
      </c>
      <c r="D6239" s="86">
        <v>0.30764908531902124</v>
      </c>
      <c r="E6239" s="86"/>
      <c r="F6239" s="14"/>
    </row>
    <row r="6240" spans="1:6" x14ac:dyDescent="0.25">
      <c r="A6240" s="86">
        <v>6239</v>
      </c>
      <c r="B6240" s="87">
        <v>44.047027353706653</v>
      </c>
      <c r="C6240" s="14">
        <v>2</v>
      </c>
      <c r="D6240" s="86">
        <v>0.28578553268561291</v>
      </c>
      <c r="E6240" s="86"/>
      <c r="F6240" s="14"/>
    </row>
    <row r="6241" spans="1:6" x14ac:dyDescent="0.25">
      <c r="A6241" s="86">
        <v>6240</v>
      </c>
      <c r="B6241" s="87">
        <v>49.351388037728611</v>
      </c>
      <c r="C6241" s="14">
        <v>1</v>
      </c>
      <c r="D6241" s="86">
        <v>0.8836933946021962</v>
      </c>
      <c r="E6241" s="86"/>
      <c r="F6241" s="14"/>
    </row>
    <row r="6242" spans="1:6" x14ac:dyDescent="0.25">
      <c r="A6242" s="86">
        <v>6241</v>
      </c>
      <c r="B6242" s="87">
        <v>43.6137156560726</v>
      </c>
      <c r="C6242" s="14">
        <v>2</v>
      </c>
      <c r="D6242" s="86">
        <v>0.16161721290447828</v>
      </c>
      <c r="E6242" s="86"/>
      <c r="F6242" s="14"/>
    </row>
    <row r="6243" spans="1:6" x14ac:dyDescent="0.25">
      <c r="A6243" s="86">
        <v>6242</v>
      </c>
      <c r="B6243" s="87">
        <v>48.779168077424401</v>
      </c>
      <c r="C6243" s="14">
        <v>1</v>
      </c>
      <c r="D6243" s="86">
        <v>1.5448485304191406E-3</v>
      </c>
      <c r="E6243" s="86"/>
      <c r="F6243" s="14"/>
    </row>
    <row r="6244" spans="1:6" x14ac:dyDescent="0.25">
      <c r="A6244" s="86">
        <v>6243</v>
      </c>
      <c r="B6244" s="87">
        <v>41.090095232328167</v>
      </c>
      <c r="C6244" s="14">
        <v>4</v>
      </c>
      <c r="D6244" s="86">
        <v>0.65358072954254498</v>
      </c>
      <c r="E6244" s="86"/>
      <c r="F6244" s="14"/>
    </row>
    <row r="6245" spans="1:6" x14ac:dyDescent="0.25">
      <c r="A6245" s="86">
        <v>6244</v>
      </c>
      <c r="B6245" s="87">
        <v>38.144435160909779</v>
      </c>
      <c r="C6245" s="14">
        <v>1</v>
      </c>
      <c r="D6245" s="86">
        <v>0.29039080262195793</v>
      </c>
      <c r="E6245" s="86"/>
      <c r="F6245" s="14"/>
    </row>
    <row r="6246" spans="1:6" x14ac:dyDescent="0.25">
      <c r="A6246" s="86">
        <v>6245</v>
      </c>
      <c r="B6246" s="87">
        <v>45.197930371039547</v>
      </c>
      <c r="C6246" s="14">
        <v>2</v>
      </c>
      <c r="D6246" s="86">
        <v>0.37077629650745714</v>
      </c>
      <c r="E6246" s="86"/>
      <c r="F6246" s="14"/>
    </row>
    <row r="6247" spans="1:6" x14ac:dyDescent="0.25">
      <c r="A6247" s="86">
        <v>6246</v>
      </c>
      <c r="B6247" s="87">
        <v>47.429398359206971</v>
      </c>
      <c r="C6247" s="14">
        <v>5</v>
      </c>
      <c r="D6247" s="86">
        <v>0.64082588835320387</v>
      </c>
      <c r="E6247" s="86"/>
      <c r="F6247" s="14"/>
    </row>
    <row r="6248" spans="1:6" x14ac:dyDescent="0.25">
      <c r="A6248" s="86">
        <v>6247</v>
      </c>
      <c r="B6248" s="87">
        <v>42.101885350683006</v>
      </c>
      <c r="C6248" s="14">
        <v>2</v>
      </c>
      <c r="D6248" s="86">
        <v>0.81222584282434873</v>
      </c>
      <c r="E6248" s="86"/>
      <c r="F6248" s="14"/>
    </row>
    <row r="6249" spans="1:6" x14ac:dyDescent="0.25">
      <c r="A6249" s="86">
        <v>6248</v>
      </c>
      <c r="B6249" s="87">
        <v>50.266817192430608</v>
      </c>
      <c r="C6249" s="14">
        <v>4</v>
      </c>
      <c r="D6249" s="86">
        <v>0.90990387054066779</v>
      </c>
      <c r="E6249" s="86"/>
      <c r="F6249" s="14"/>
    </row>
    <row r="6250" spans="1:6" x14ac:dyDescent="0.25">
      <c r="A6250" s="86">
        <v>6249</v>
      </c>
      <c r="B6250" s="87">
        <v>42.429422814500867</v>
      </c>
      <c r="C6250" s="14">
        <v>2</v>
      </c>
      <c r="D6250" s="86">
        <v>0.22245285278791183</v>
      </c>
      <c r="E6250" s="86"/>
      <c r="F6250" s="14"/>
    </row>
    <row r="6251" spans="1:6" x14ac:dyDescent="0.25">
      <c r="A6251" s="86">
        <v>6250</v>
      </c>
      <c r="B6251" s="87">
        <v>36.786741470103152</v>
      </c>
      <c r="C6251" s="14">
        <v>5</v>
      </c>
      <c r="D6251" s="86">
        <v>0.10202088750900418</v>
      </c>
      <c r="E6251" s="86"/>
      <c r="F6251" s="14"/>
    </row>
    <row r="6252" spans="1:6" x14ac:dyDescent="0.25">
      <c r="A6252" s="86">
        <v>6251</v>
      </c>
      <c r="B6252" s="87">
        <v>34.047297953628004</v>
      </c>
      <c r="C6252" s="14">
        <v>2</v>
      </c>
      <c r="D6252" s="86">
        <v>0.13377212870870514</v>
      </c>
      <c r="E6252" s="86"/>
      <c r="F6252" s="14"/>
    </row>
    <row r="6253" spans="1:6" x14ac:dyDescent="0.25">
      <c r="A6253" s="86">
        <v>6252</v>
      </c>
      <c r="B6253" s="87">
        <v>40.476629687298555</v>
      </c>
      <c r="C6253" s="14">
        <v>5</v>
      </c>
      <c r="D6253" s="86">
        <v>4.8219314220736109E-2</v>
      </c>
      <c r="E6253" s="86"/>
      <c r="F6253" s="14"/>
    </row>
    <row r="6254" spans="1:6" x14ac:dyDescent="0.25">
      <c r="A6254" s="86">
        <v>6253</v>
      </c>
      <c r="B6254" s="87">
        <v>45.035187662841054</v>
      </c>
      <c r="C6254" s="14">
        <v>3</v>
      </c>
      <c r="D6254" s="86">
        <v>9.3582292011921142E-2</v>
      </c>
      <c r="E6254" s="86"/>
      <c r="F6254" s="14"/>
    </row>
    <row r="6255" spans="1:6" x14ac:dyDescent="0.25">
      <c r="A6255" s="86">
        <v>6254</v>
      </c>
      <c r="B6255" s="87">
        <v>44.285627604374895</v>
      </c>
      <c r="C6255" s="14">
        <v>2</v>
      </c>
      <c r="D6255" s="86">
        <v>0.17666080269260753</v>
      </c>
      <c r="E6255" s="86"/>
      <c r="F6255" s="14"/>
    </row>
    <row r="6256" spans="1:6" x14ac:dyDescent="0.25">
      <c r="A6256" s="86">
        <v>6255</v>
      </c>
      <c r="B6256" s="87">
        <v>47.872140380030032</v>
      </c>
      <c r="C6256" s="14">
        <v>4</v>
      </c>
      <c r="D6256" s="86">
        <v>0.8838406096708491</v>
      </c>
      <c r="E6256" s="86"/>
      <c r="F6256" s="14"/>
    </row>
    <row r="6257" spans="1:6" x14ac:dyDescent="0.25">
      <c r="A6257" s="86">
        <v>6256</v>
      </c>
      <c r="B6257" s="87">
        <v>40.080459479548153</v>
      </c>
      <c r="C6257" s="14">
        <v>3</v>
      </c>
      <c r="D6257" s="86">
        <v>0.1754933098868795</v>
      </c>
      <c r="E6257" s="86"/>
      <c r="F6257" s="14"/>
    </row>
    <row r="6258" spans="1:6" x14ac:dyDescent="0.25">
      <c r="A6258" s="86">
        <v>6257</v>
      </c>
      <c r="B6258" s="87">
        <v>57.014221960678697</v>
      </c>
      <c r="C6258" s="14">
        <v>5</v>
      </c>
      <c r="D6258" s="86">
        <v>0.9072485667370791</v>
      </c>
      <c r="E6258" s="86"/>
      <c r="F6258" s="14"/>
    </row>
    <row r="6259" spans="1:6" x14ac:dyDescent="0.25">
      <c r="A6259" s="86">
        <v>6258</v>
      </c>
      <c r="B6259" s="87">
        <v>46.003867732331855</v>
      </c>
      <c r="C6259" s="14">
        <v>5</v>
      </c>
      <c r="D6259" s="86">
        <v>0.83331848321320556</v>
      </c>
      <c r="E6259" s="86"/>
      <c r="F6259" s="14"/>
    </row>
    <row r="6260" spans="1:6" x14ac:dyDescent="0.25">
      <c r="A6260" s="86">
        <v>6259</v>
      </c>
      <c r="B6260" s="87">
        <v>40.154975517332787</v>
      </c>
      <c r="C6260" s="14">
        <v>4</v>
      </c>
      <c r="D6260" s="86">
        <v>0.85666198919206527</v>
      </c>
      <c r="E6260" s="86"/>
      <c r="F6260" s="14"/>
    </row>
    <row r="6261" spans="1:6" x14ac:dyDescent="0.25">
      <c r="A6261" s="86">
        <v>6260</v>
      </c>
      <c r="B6261" s="87">
        <v>45.69916426987038</v>
      </c>
      <c r="C6261" s="14">
        <v>5</v>
      </c>
      <c r="D6261" s="86">
        <v>0.15283940552854391</v>
      </c>
      <c r="E6261" s="86"/>
      <c r="F6261" s="14"/>
    </row>
    <row r="6262" spans="1:6" x14ac:dyDescent="0.25">
      <c r="A6262" s="86">
        <v>6261</v>
      </c>
      <c r="B6262" s="87">
        <v>45.122339992638445</v>
      </c>
      <c r="C6262" s="14">
        <v>2</v>
      </c>
      <c r="D6262" s="86">
        <v>0.71345069176449405</v>
      </c>
      <c r="E6262" s="86"/>
      <c r="F6262" s="14"/>
    </row>
    <row r="6263" spans="1:6" x14ac:dyDescent="0.25">
      <c r="A6263" s="86">
        <v>6262</v>
      </c>
      <c r="B6263" s="87">
        <v>36.30839273170568</v>
      </c>
      <c r="C6263" s="14">
        <v>2</v>
      </c>
      <c r="D6263" s="86">
        <v>0.56884077159531909</v>
      </c>
      <c r="E6263" s="86"/>
      <c r="F6263" s="14"/>
    </row>
    <row r="6264" spans="1:6" x14ac:dyDescent="0.25">
      <c r="A6264" s="86">
        <v>6263</v>
      </c>
      <c r="B6264" s="87">
        <v>43.04838511813432</v>
      </c>
      <c r="C6264" s="14">
        <v>4</v>
      </c>
      <c r="D6264" s="86">
        <v>0.69261191116739218</v>
      </c>
      <c r="E6264" s="86"/>
      <c r="F6264" s="14"/>
    </row>
    <row r="6265" spans="1:6" x14ac:dyDescent="0.25">
      <c r="A6265" s="86">
        <v>6264</v>
      </c>
      <c r="B6265" s="87">
        <v>49.020081855240278</v>
      </c>
      <c r="C6265" s="14">
        <v>1</v>
      </c>
      <c r="D6265" s="86">
        <v>0.29220959030391835</v>
      </c>
      <c r="E6265" s="86"/>
      <c r="F6265" s="14"/>
    </row>
    <row r="6266" spans="1:6" x14ac:dyDescent="0.25">
      <c r="A6266" s="86">
        <v>6265</v>
      </c>
      <c r="B6266" s="87">
        <v>40.136524143570568</v>
      </c>
      <c r="C6266" s="14">
        <v>2</v>
      </c>
      <c r="D6266" s="86">
        <v>0.81168061258579394</v>
      </c>
      <c r="E6266" s="86"/>
      <c r="F6266" s="14"/>
    </row>
    <row r="6267" spans="1:6" x14ac:dyDescent="0.25">
      <c r="A6267" s="86">
        <v>6266</v>
      </c>
      <c r="B6267" s="87">
        <v>46.087211553065572</v>
      </c>
      <c r="C6267" s="14">
        <v>5</v>
      </c>
      <c r="D6267" s="86">
        <v>0.2964757547378698</v>
      </c>
      <c r="E6267" s="86"/>
      <c r="F6267" s="14"/>
    </row>
    <row r="6268" spans="1:6" x14ac:dyDescent="0.25">
      <c r="A6268" s="86">
        <v>6267</v>
      </c>
      <c r="B6268" s="87">
        <v>37.826305282913381</v>
      </c>
      <c r="C6268" s="14">
        <v>5</v>
      </c>
      <c r="D6268" s="86">
        <v>0.23929148137454581</v>
      </c>
      <c r="E6268" s="86"/>
      <c r="F6268" s="14"/>
    </row>
    <row r="6269" spans="1:6" x14ac:dyDescent="0.25">
      <c r="A6269" s="86">
        <v>6268</v>
      </c>
      <c r="B6269" s="87">
        <v>34.420600053970702</v>
      </c>
      <c r="C6269" s="14">
        <v>4</v>
      </c>
      <c r="D6269" s="86">
        <v>0.63225887525692848</v>
      </c>
      <c r="E6269" s="86"/>
      <c r="F6269" s="14"/>
    </row>
    <row r="6270" spans="1:6" x14ac:dyDescent="0.25">
      <c r="A6270" s="86">
        <v>6269</v>
      </c>
      <c r="B6270" s="87">
        <v>36.592496139171999</v>
      </c>
      <c r="C6270" s="14">
        <v>1</v>
      </c>
      <c r="D6270" s="86">
        <v>0.24558161908641185</v>
      </c>
      <c r="E6270" s="86"/>
      <c r="F6270" s="14"/>
    </row>
    <row r="6271" spans="1:6" x14ac:dyDescent="0.25">
      <c r="A6271" s="86">
        <v>6270</v>
      </c>
      <c r="B6271" s="87">
        <v>45.270201093779178</v>
      </c>
      <c r="C6271" s="14">
        <v>2</v>
      </c>
      <c r="D6271" s="86">
        <v>7.1144493856323376E-2</v>
      </c>
      <c r="E6271" s="86"/>
      <c r="F6271" s="14"/>
    </row>
    <row r="6272" spans="1:6" x14ac:dyDescent="0.25">
      <c r="A6272" s="86">
        <v>6271</v>
      </c>
      <c r="B6272" s="87">
        <v>41.210921603458701</v>
      </c>
      <c r="C6272" s="14">
        <v>2</v>
      </c>
      <c r="D6272" s="86">
        <v>0.47473080257189126</v>
      </c>
      <c r="E6272" s="86"/>
      <c r="F6272" s="14"/>
    </row>
    <row r="6273" spans="1:6" x14ac:dyDescent="0.25">
      <c r="A6273" s="86">
        <v>6272</v>
      </c>
      <c r="B6273" s="87">
        <v>44.656354697843199</v>
      </c>
      <c r="C6273" s="14">
        <v>5</v>
      </c>
      <c r="D6273" s="86">
        <v>0.89701885837807582</v>
      </c>
      <c r="E6273" s="86"/>
      <c r="F6273" s="14"/>
    </row>
    <row r="6274" spans="1:6" x14ac:dyDescent="0.25">
      <c r="A6274" s="86">
        <v>6273</v>
      </c>
      <c r="B6274" s="87">
        <v>45.308428292963072</v>
      </c>
      <c r="C6274" s="14">
        <v>2</v>
      </c>
      <c r="D6274" s="86">
        <v>0.96395533631221564</v>
      </c>
      <c r="E6274" s="86"/>
      <c r="F6274" s="14"/>
    </row>
    <row r="6275" spans="1:6" x14ac:dyDescent="0.25">
      <c r="A6275" s="86">
        <v>6274</v>
      </c>
      <c r="B6275" s="87">
        <v>52.328823580290191</v>
      </c>
      <c r="C6275" s="14">
        <v>4</v>
      </c>
      <c r="D6275" s="86">
        <v>0.65741349841715013</v>
      </c>
      <c r="E6275" s="86"/>
      <c r="F6275" s="14"/>
    </row>
    <row r="6276" spans="1:6" x14ac:dyDescent="0.25">
      <c r="A6276" s="86">
        <v>6275</v>
      </c>
      <c r="B6276" s="87">
        <v>39.99200543545885</v>
      </c>
      <c r="C6276" s="14">
        <v>2</v>
      </c>
      <c r="D6276" s="86">
        <v>4.5342212117745917E-2</v>
      </c>
      <c r="E6276" s="86"/>
      <c r="F6276" s="14"/>
    </row>
    <row r="6277" spans="1:6" x14ac:dyDescent="0.25">
      <c r="A6277" s="86">
        <v>6276</v>
      </c>
      <c r="B6277" s="87">
        <v>48.714014150726143</v>
      </c>
      <c r="C6277" s="14">
        <v>2</v>
      </c>
      <c r="D6277" s="86">
        <v>8.8164206424283798E-3</v>
      </c>
      <c r="E6277" s="86"/>
      <c r="F6277" s="14"/>
    </row>
    <row r="6278" spans="1:6" x14ac:dyDescent="0.25">
      <c r="A6278" s="86">
        <v>6277</v>
      </c>
      <c r="B6278" s="87">
        <v>49.058951385057298</v>
      </c>
      <c r="C6278" s="14">
        <v>1</v>
      </c>
      <c r="D6278" s="86">
        <v>0.33811557633059208</v>
      </c>
      <c r="E6278" s="86"/>
      <c r="F6278" s="14"/>
    </row>
    <row r="6279" spans="1:6" x14ac:dyDescent="0.25">
      <c r="A6279" s="86">
        <v>6278</v>
      </c>
      <c r="B6279" s="87">
        <v>48.023798621550668</v>
      </c>
      <c r="C6279" s="14">
        <v>5</v>
      </c>
      <c r="D6279" s="86">
        <v>0.46443661897130395</v>
      </c>
      <c r="E6279" s="86"/>
      <c r="F6279" s="14"/>
    </row>
    <row r="6280" spans="1:6" x14ac:dyDescent="0.25">
      <c r="A6280" s="86">
        <v>6279</v>
      </c>
      <c r="B6280" s="87">
        <v>38.452139955887105</v>
      </c>
      <c r="C6280" s="14">
        <v>1</v>
      </c>
      <c r="D6280" s="86">
        <v>0.11092947464957814</v>
      </c>
      <c r="E6280" s="86"/>
      <c r="F6280" s="14"/>
    </row>
    <row r="6281" spans="1:6" x14ac:dyDescent="0.25">
      <c r="A6281" s="86">
        <v>6280</v>
      </c>
      <c r="B6281" s="87">
        <v>42.562442098977044</v>
      </c>
      <c r="C6281" s="14">
        <v>5</v>
      </c>
      <c r="D6281" s="86">
        <v>0.48991191934415146</v>
      </c>
      <c r="E6281" s="86"/>
      <c r="F6281" s="14"/>
    </row>
    <row r="6282" spans="1:6" x14ac:dyDescent="0.25">
      <c r="A6282" s="86">
        <v>6281</v>
      </c>
      <c r="B6282" s="87">
        <v>42.568586872555898</v>
      </c>
      <c r="C6282" s="14">
        <v>2</v>
      </c>
      <c r="D6282" s="86">
        <v>0.29241406864566089</v>
      </c>
      <c r="E6282" s="86"/>
      <c r="F6282" s="14"/>
    </row>
    <row r="6283" spans="1:6" x14ac:dyDescent="0.25">
      <c r="A6283" s="86">
        <v>6282</v>
      </c>
      <c r="B6283" s="87">
        <v>37.81583472515922</v>
      </c>
      <c r="C6283" s="14">
        <v>1</v>
      </c>
      <c r="D6283" s="86">
        <v>0.32190014514840659</v>
      </c>
      <c r="E6283" s="86"/>
      <c r="F6283" s="14"/>
    </row>
    <row r="6284" spans="1:6" x14ac:dyDescent="0.25">
      <c r="A6284" s="86">
        <v>6283</v>
      </c>
      <c r="B6284" s="87">
        <v>47.585012902680319</v>
      </c>
      <c r="C6284" s="14">
        <v>2</v>
      </c>
      <c r="D6284" s="86">
        <v>0.54127005175284582</v>
      </c>
      <c r="E6284" s="86"/>
      <c r="F6284" s="14"/>
    </row>
    <row r="6285" spans="1:6" x14ac:dyDescent="0.25">
      <c r="A6285" s="86">
        <v>6284</v>
      </c>
      <c r="B6285" s="87">
        <v>47.146511400904274</v>
      </c>
      <c r="C6285" s="14">
        <v>4</v>
      </c>
      <c r="D6285" s="86">
        <v>0.48918505797461709</v>
      </c>
      <c r="E6285" s="86"/>
      <c r="F6285" s="14"/>
    </row>
    <row r="6286" spans="1:6" x14ac:dyDescent="0.25">
      <c r="A6286" s="86">
        <v>6285</v>
      </c>
      <c r="B6286" s="87">
        <v>50.462585926987231</v>
      </c>
      <c r="C6286" s="14">
        <v>4</v>
      </c>
      <c r="D6286" s="86">
        <v>0.76442173399439195</v>
      </c>
      <c r="E6286" s="86"/>
      <c r="F6286" s="14"/>
    </row>
    <row r="6287" spans="1:6" x14ac:dyDescent="0.25">
      <c r="A6287" s="86">
        <v>6286</v>
      </c>
      <c r="B6287" s="87">
        <v>46.412776550248964</v>
      </c>
      <c r="C6287" s="14">
        <v>4</v>
      </c>
      <c r="D6287" s="86">
        <v>0.90411921735382228</v>
      </c>
      <c r="E6287" s="86"/>
      <c r="F6287" s="14"/>
    </row>
    <row r="6288" spans="1:6" x14ac:dyDescent="0.25">
      <c r="A6288" s="86">
        <v>6287</v>
      </c>
      <c r="B6288" s="87">
        <v>48.206470632401761</v>
      </c>
      <c r="C6288" s="14">
        <v>3</v>
      </c>
      <c r="D6288" s="86">
        <v>0.92645135365807663</v>
      </c>
      <c r="E6288" s="86"/>
      <c r="F6288" s="14"/>
    </row>
    <row r="6289" spans="1:6" x14ac:dyDescent="0.25">
      <c r="A6289" s="86">
        <v>6288</v>
      </c>
      <c r="B6289" s="87">
        <v>44.949467787198955</v>
      </c>
      <c r="C6289" s="14">
        <v>1</v>
      </c>
      <c r="D6289" s="86">
        <v>0.19907428331700971</v>
      </c>
      <c r="E6289" s="86"/>
      <c r="F6289" s="14"/>
    </row>
    <row r="6290" spans="1:6" x14ac:dyDescent="0.25">
      <c r="A6290" s="86">
        <v>6289</v>
      </c>
      <c r="B6290" s="87">
        <v>37.517224877199624</v>
      </c>
      <c r="C6290" s="14">
        <v>5</v>
      </c>
      <c r="D6290" s="86">
        <v>6.643777089869074E-3</v>
      </c>
      <c r="E6290" s="86"/>
      <c r="F6290" s="14"/>
    </row>
    <row r="6291" spans="1:6" x14ac:dyDescent="0.25">
      <c r="A6291" s="86">
        <v>6290</v>
      </c>
      <c r="B6291" s="87">
        <v>56.72718543279916</v>
      </c>
      <c r="C6291" s="14">
        <v>2</v>
      </c>
      <c r="D6291" s="86">
        <v>0.17780743774340813</v>
      </c>
      <c r="E6291" s="86"/>
      <c r="F6291" s="14"/>
    </row>
    <row r="6292" spans="1:6" x14ac:dyDescent="0.25">
      <c r="A6292" s="86">
        <v>6291</v>
      </c>
      <c r="B6292" s="87">
        <v>34.710910762776621</v>
      </c>
      <c r="C6292" s="14">
        <v>4</v>
      </c>
      <c r="D6292" s="86">
        <v>0.99328091614991698</v>
      </c>
      <c r="E6292" s="86"/>
      <c r="F6292" s="14"/>
    </row>
    <row r="6293" spans="1:6" x14ac:dyDescent="0.25">
      <c r="A6293" s="86">
        <v>6292</v>
      </c>
      <c r="B6293" s="87">
        <v>46.538917781042983</v>
      </c>
      <c r="C6293" s="14">
        <v>2</v>
      </c>
      <c r="D6293" s="86">
        <v>0.91765888332777756</v>
      </c>
      <c r="E6293" s="86"/>
      <c r="F6293" s="14"/>
    </row>
    <row r="6294" spans="1:6" x14ac:dyDescent="0.25">
      <c r="A6294" s="86">
        <v>6293</v>
      </c>
      <c r="B6294" s="87">
        <v>39.191013451607432</v>
      </c>
      <c r="C6294" s="14">
        <v>4</v>
      </c>
      <c r="D6294" s="86">
        <v>0.60909136619027704</v>
      </c>
      <c r="E6294" s="86"/>
      <c r="F6294" s="14"/>
    </row>
    <row r="6295" spans="1:6" x14ac:dyDescent="0.25">
      <c r="A6295" s="86">
        <v>6294</v>
      </c>
      <c r="B6295" s="87">
        <v>51.002211870916653</v>
      </c>
      <c r="C6295" s="14">
        <v>2</v>
      </c>
      <c r="D6295" s="86">
        <v>0.91463015419945037</v>
      </c>
      <c r="E6295" s="86"/>
      <c r="F6295" s="14"/>
    </row>
    <row r="6296" spans="1:6" x14ac:dyDescent="0.25">
      <c r="A6296" s="86">
        <v>6295</v>
      </c>
      <c r="B6296" s="87">
        <v>39.426106463331962</v>
      </c>
      <c r="C6296" s="14">
        <v>2</v>
      </c>
      <c r="D6296" s="86">
        <v>6.5626664893900455E-2</v>
      </c>
      <c r="E6296" s="86"/>
      <c r="F6296" s="14"/>
    </row>
    <row r="6297" spans="1:6" x14ac:dyDescent="0.25">
      <c r="A6297" s="86">
        <v>6296</v>
      </c>
      <c r="B6297" s="87">
        <v>37.111283285747049</v>
      </c>
      <c r="C6297" s="14">
        <v>5</v>
      </c>
      <c r="D6297" s="86">
        <v>0.35616128359044208</v>
      </c>
      <c r="E6297" s="86"/>
      <c r="F6297" s="14"/>
    </row>
    <row r="6298" spans="1:6" x14ac:dyDescent="0.25">
      <c r="A6298" s="86">
        <v>6297</v>
      </c>
      <c r="B6298" s="87">
        <v>40.301279108796734</v>
      </c>
      <c r="C6298" s="14">
        <v>5</v>
      </c>
      <c r="D6298" s="86">
        <v>0.17153674453955381</v>
      </c>
      <c r="E6298" s="86"/>
      <c r="F6298" s="14"/>
    </row>
    <row r="6299" spans="1:6" x14ac:dyDescent="0.25">
      <c r="A6299" s="86">
        <v>6298</v>
      </c>
      <c r="B6299" s="87">
        <v>43.163163349498063</v>
      </c>
      <c r="C6299" s="14">
        <v>5</v>
      </c>
      <c r="D6299" s="86">
        <v>0.14764379582486342</v>
      </c>
      <c r="E6299" s="86"/>
      <c r="F6299" s="14"/>
    </row>
    <row r="6300" spans="1:6" x14ac:dyDescent="0.25">
      <c r="A6300" s="86">
        <v>6299</v>
      </c>
      <c r="B6300" s="87">
        <v>43.007077005648171</v>
      </c>
      <c r="C6300" s="14">
        <v>2</v>
      </c>
      <c r="D6300" s="86">
        <v>0.33626990386212541</v>
      </c>
      <c r="E6300" s="86"/>
      <c r="F6300" s="14"/>
    </row>
    <row r="6301" spans="1:6" x14ac:dyDescent="0.25">
      <c r="A6301" s="86">
        <v>6300</v>
      </c>
      <c r="B6301" s="87">
        <v>42.83454017637996</v>
      </c>
      <c r="C6301" s="14">
        <v>4</v>
      </c>
      <c r="D6301" s="86">
        <v>0.86124728724621535</v>
      </c>
      <c r="E6301" s="86"/>
      <c r="F6301" s="14"/>
    </row>
    <row r="6302" spans="1:6" x14ac:dyDescent="0.25">
      <c r="A6302" s="86">
        <v>6301</v>
      </c>
      <c r="B6302" s="87">
        <v>43.654586074233521</v>
      </c>
      <c r="C6302" s="14">
        <v>2</v>
      </c>
      <c r="D6302" s="86">
        <v>0.61302099146653422</v>
      </c>
      <c r="E6302" s="86"/>
      <c r="F6302" s="14"/>
    </row>
    <row r="6303" spans="1:6" x14ac:dyDescent="0.25">
      <c r="A6303" s="86">
        <v>6302</v>
      </c>
      <c r="B6303" s="87">
        <v>38.278756159677869</v>
      </c>
      <c r="C6303" s="14">
        <v>2</v>
      </c>
      <c r="D6303" s="86">
        <v>0.46219618910176963</v>
      </c>
      <c r="E6303" s="86"/>
      <c r="F6303" s="14"/>
    </row>
    <row r="6304" spans="1:6" x14ac:dyDescent="0.25">
      <c r="A6304" s="86">
        <v>6303</v>
      </c>
      <c r="B6304" s="87">
        <v>45.58787622442469</v>
      </c>
      <c r="C6304" s="14">
        <v>2</v>
      </c>
      <c r="D6304" s="86">
        <v>0.95324026963187658</v>
      </c>
      <c r="E6304" s="86"/>
      <c r="F6304" s="14"/>
    </row>
    <row r="6305" spans="1:6" x14ac:dyDescent="0.25">
      <c r="A6305" s="86">
        <v>6304</v>
      </c>
      <c r="B6305" s="87">
        <v>51.576057553000282</v>
      </c>
      <c r="C6305" s="14">
        <v>4</v>
      </c>
      <c r="D6305" s="86">
        <v>0.2722792760057603</v>
      </c>
      <c r="E6305" s="86"/>
      <c r="F6305" s="14"/>
    </row>
    <row r="6306" spans="1:6" x14ac:dyDescent="0.25">
      <c r="A6306" s="86">
        <v>6305</v>
      </c>
      <c r="B6306" s="87">
        <v>38.701602983899647</v>
      </c>
      <c r="C6306" s="14">
        <v>1</v>
      </c>
      <c r="D6306" s="86">
        <v>0.48478956947529639</v>
      </c>
      <c r="E6306" s="86"/>
      <c r="F6306" s="14"/>
    </row>
    <row r="6307" spans="1:6" x14ac:dyDescent="0.25">
      <c r="A6307" s="86">
        <v>6306</v>
      </c>
      <c r="B6307" s="87">
        <v>41.418616087292321</v>
      </c>
      <c r="C6307" s="14">
        <v>1</v>
      </c>
      <c r="D6307" s="86">
        <v>0.84753786840041734</v>
      </c>
      <c r="E6307" s="86"/>
      <c r="F6307" s="14"/>
    </row>
    <row r="6308" spans="1:6" x14ac:dyDescent="0.25">
      <c r="A6308" s="86">
        <v>6307</v>
      </c>
      <c r="B6308" s="87">
        <v>47.544972398434766</v>
      </c>
      <c r="C6308" s="14">
        <v>5</v>
      </c>
      <c r="D6308" s="86">
        <v>0.52143725434187937</v>
      </c>
      <c r="E6308" s="86"/>
      <c r="F6308" s="14"/>
    </row>
    <row r="6309" spans="1:6" x14ac:dyDescent="0.25">
      <c r="A6309" s="86">
        <v>6308</v>
      </c>
      <c r="B6309" s="87">
        <v>32.874049788340926</v>
      </c>
      <c r="C6309" s="14">
        <v>2</v>
      </c>
      <c r="D6309" s="86">
        <v>0.94120170281889104</v>
      </c>
      <c r="E6309" s="86"/>
      <c r="F6309" s="14"/>
    </row>
    <row r="6310" spans="1:6" x14ac:dyDescent="0.25">
      <c r="A6310" s="86">
        <v>6309</v>
      </c>
      <c r="B6310" s="87">
        <v>48.481388143380173</v>
      </c>
      <c r="C6310" s="14">
        <v>2</v>
      </c>
      <c r="D6310" s="86">
        <v>0.15274357601846733</v>
      </c>
      <c r="E6310" s="86"/>
      <c r="F6310" s="14"/>
    </row>
    <row r="6311" spans="1:6" x14ac:dyDescent="0.25">
      <c r="A6311" s="86">
        <v>6310</v>
      </c>
      <c r="B6311" s="87">
        <v>41.147978885754128</v>
      </c>
      <c r="C6311" s="14">
        <v>4</v>
      </c>
      <c r="D6311" s="86">
        <v>0.47784607742929708</v>
      </c>
      <c r="E6311" s="86"/>
      <c r="F6311" s="14"/>
    </row>
    <row r="6312" spans="1:6" x14ac:dyDescent="0.25">
      <c r="A6312" s="86">
        <v>6311</v>
      </c>
      <c r="B6312" s="87">
        <v>38.913083239429398</v>
      </c>
      <c r="C6312" s="14">
        <v>5</v>
      </c>
      <c r="D6312" s="86">
        <v>0.22865841506295093</v>
      </c>
      <c r="E6312" s="86"/>
      <c r="F6312" s="14"/>
    </row>
    <row r="6313" spans="1:6" x14ac:dyDescent="0.25">
      <c r="A6313" s="86">
        <v>6312</v>
      </c>
      <c r="B6313" s="87">
        <v>33.082142176106572</v>
      </c>
      <c r="C6313" s="14">
        <v>3</v>
      </c>
      <c r="D6313" s="86">
        <v>0.33820191736715222</v>
      </c>
      <c r="E6313" s="86"/>
      <c r="F6313" s="14"/>
    </row>
    <row r="6314" spans="1:6" x14ac:dyDescent="0.25">
      <c r="A6314" s="86">
        <v>6313</v>
      </c>
      <c r="B6314" s="87">
        <v>49.465302249125671</v>
      </c>
      <c r="C6314" s="14">
        <v>5</v>
      </c>
      <c r="D6314" s="86">
        <v>0.24572297032763946</v>
      </c>
      <c r="E6314" s="86"/>
      <c r="F6314" s="14"/>
    </row>
    <row r="6315" spans="1:6" x14ac:dyDescent="0.25">
      <c r="A6315" s="86">
        <v>6314</v>
      </c>
      <c r="B6315" s="87">
        <v>42.471754108526511</v>
      </c>
      <c r="C6315" s="14">
        <v>2</v>
      </c>
      <c r="D6315" s="86">
        <v>0.21623446098284849</v>
      </c>
      <c r="E6315" s="86"/>
      <c r="F6315" s="14"/>
    </row>
    <row r="6316" spans="1:6" x14ac:dyDescent="0.25">
      <c r="A6316" s="86">
        <v>6315</v>
      </c>
      <c r="B6316" s="87">
        <v>38.531970853335224</v>
      </c>
      <c r="C6316" s="14">
        <v>3</v>
      </c>
      <c r="D6316" s="86">
        <v>8.0476326372645568E-2</v>
      </c>
      <c r="E6316" s="86"/>
      <c r="F6316" s="14"/>
    </row>
    <row r="6317" spans="1:6" x14ac:dyDescent="0.25">
      <c r="A6317" s="86">
        <v>6316</v>
      </c>
      <c r="B6317" s="87">
        <v>41.867588146822527</v>
      </c>
      <c r="C6317" s="14">
        <v>2</v>
      </c>
      <c r="D6317" s="86">
        <v>0.86511780846486241</v>
      </c>
      <c r="E6317" s="86"/>
      <c r="F6317" s="14"/>
    </row>
    <row r="6318" spans="1:6" x14ac:dyDescent="0.25">
      <c r="A6318" s="86">
        <v>6317</v>
      </c>
      <c r="B6318" s="87">
        <v>39.243968780618161</v>
      </c>
      <c r="C6318" s="14">
        <v>2</v>
      </c>
      <c r="D6318" s="86">
        <v>0.57280081877602962</v>
      </c>
      <c r="E6318" s="86"/>
      <c r="F6318" s="14"/>
    </row>
    <row r="6319" spans="1:6" x14ac:dyDescent="0.25">
      <c r="A6319" s="86">
        <v>6318</v>
      </c>
      <c r="B6319" s="87">
        <v>45.150841282855254</v>
      </c>
      <c r="C6319" s="14">
        <v>2</v>
      </c>
      <c r="D6319" s="86">
        <v>0.1316808313312654</v>
      </c>
      <c r="E6319" s="86"/>
      <c r="F6319" s="14"/>
    </row>
    <row r="6320" spans="1:6" x14ac:dyDescent="0.25">
      <c r="A6320" s="86">
        <v>6319</v>
      </c>
      <c r="B6320" s="87">
        <v>36.917072060867213</v>
      </c>
      <c r="C6320" s="14">
        <v>4</v>
      </c>
      <c r="D6320" s="86">
        <v>2.030929132976067E-2</v>
      </c>
      <c r="E6320" s="86"/>
      <c r="F6320" s="14"/>
    </row>
    <row r="6321" spans="1:6" x14ac:dyDescent="0.25">
      <c r="A6321" s="86">
        <v>6320</v>
      </c>
      <c r="B6321" s="87">
        <v>45.477418092894368</v>
      </c>
      <c r="C6321" s="14">
        <v>3</v>
      </c>
      <c r="D6321" s="86">
        <v>0.99782059838955373</v>
      </c>
      <c r="E6321" s="86"/>
      <c r="F6321" s="14"/>
    </row>
    <row r="6322" spans="1:6" x14ac:dyDescent="0.25">
      <c r="A6322" s="86">
        <v>6321</v>
      </c>
      <c r="B6322" s="87">
        <v>35.828634276520461</v>
      </c>
      <c r="C6322" s="14">
        <v>5</v>
      </c>
      <c r="D6322" s="86">
        <v>6.2667329822980178E-2</v>
      </c>
      <c r="E6322" s="86"/>
      <c r="F6322" s="14"/>
    </row>
    <row r="6323" spans="1:6" x14ac:dyDescent="0.25">
      <c r="A6323" s="86">
        <v>6322</v>
      </c>
      <c r="B6323" s="87">
        <v>42.628448676958214</v>
      </c>
      <c r="C6323" s="14">
        <v>1</v>
      </c>
      <c r="D6323" s="86">
        <v>0.56957800276208681</v>
      </c>
      <c r="E6323" s="86"/>
      <c r="F6323" s="14"/>
    </row>
    <row r="6324" spans="1:6" x14ac:dyDescent="0.25">
      <c r="A6324" s="86">
        <v>6323</v>
      </c>
      <c r="B6324" s="87">
        <v>41.666874034825014</v>
      </c>
      <c r="C6324" s="14">
        <v>1</v>
      </c>
      <c r="D6324" s="86">
        <v>0.7268776837369002</v>
      </c>
      <c r="E6324" s="86"/>
      <c r="F6324" s="14"/>
    </row>
    <row r="6325" spans="1:6" x14ac:dyDescent="0.25">
      <c r="A6325" s="86">
        <v>6324</v>
      </c>
      <c r="B6325" s="87">
        <v>43.008606093615526</v>
      </c>
      <c r="C6325" s="14">
        <v>5</v>
      </c>
      <c r="D6325" s="86">
        <v>0.3073047996501812</v>
      </c>
      <c r="E6325" s="86"/>
      <c r="F6325" s="14"/>
    </row>
    <row r="6326" spans="1:6" x14ac:dyDescent="0.25">
      <c r="A6326" s="86">
        <v>6325</v>
      </c>
      <c r="B6326" s="87">
        <v>42.137617123778909</v>
      </c>
      <c r="C6326" s="14">
        <v>1</v>
      </c>
      <c r="D6326" s="86">
        <v>0.90087210775783688</v>
      </c>
      <c r="E6326" s="86"/>
      <c r="F6326" s="14"/>
    </row>
    <row r="6327" spans="1:6" x14ac:dyDescent="0.25">
      <c r="A6327" s="86">
        <v>6326</v>
      </c>
      <c r="B6327" s="87">
        <v>46.148068117297953</v>
      </c>
      <c r="C6327" s="14">
        <v>2</v>
      </c>
      <c r="D6327" s="86">
        <v>0.35054407864652726</v>
      </c>
      <c r="E6327" s="86"/>
      <c r="F6327" s="14"/>
    </row>
    <row r="6328" spans="1:6" x14ac:dyDescent="0.25">
      <c r="A6328" s="86">
        <v>6327</v>
      </c>
      <c r="B6328" s="87">
        <v>43.127192834042944</v>
      </c>
      <c r="C6328" s="14">
        <v>5</v>
      </c>
      <c r="D6328" s="86">
        <v>0.5575289785069022</v>
      </c>
      <c r="E6328" s="86"/>
      <c r="F6328" s="14"/>
    </row>
    <row r="6329" spans="1:6" x14ac:dyDescent="0.25">
      <c r="A6329" s="86">
        <v>6328</v>
      </c>
      <c r="B6329" s="87">
        <v>45.599250592538738</v>
      </c>
      <c r="C6329" s="14">
        <v>1</v>
      </c>
      <c r="D6329" s="86">
        <v>0.70376539785703973</v>
      </c>
      <c r="E6329" s="86"/>
      <c r="F6329" s="14"/>
    </row>
    <row r="6330" spans="1:6" x14ac:dyDescent="0.25">
      <c r="A6330" s="86">
        <v>6329</v>
      </c>
      <c r="B6330" s="87">
        <v>41.496036823780742</v>
      </c>
      <c r="C6330" s="14">
        <v>5</v>
      </c>
      <c r="D6330" s="86">
        <v>0.32808605939758728</v>
      </c>
      <c r="E6330" s="86"/>
      <c r="F6330" s="14"/>
    </row>
    <row r="6331" spans="1:6" x14ac:dyDescent="0.25">
      <c r="A6331" s="86">
        <v>6330</v>
      </c>
      <c r="B6331" s="87">
        <v>46.110847046627896</v>
      </c>
      <c r="C6331" s="14">
        <v>5</v>
      </c>
      <c r="D6331" s="86">
        <v>0.11062250269452167</v>
      </c>
      <c r="E6331" s="86"/>
      <c r="F6331" s="14"/>
    </row>
    <row r="6332" spans="1:6" x14ac:dyDescent="0.25">
      <c r="A6332" s="86">
        <v>6331</v>
      </c>
      <c r="B6332" s="87">
        <v>43.464058302895864</v>
      </c>
      <c r="C6332" s="14">
        <v>2</v>
      </c>
      <c r="D6332" s="86">
        <v>0.97364879113949665</v>
      </c>
      <c r="E6332" s="86"/>
      <c r="F6332" s="14"/>
    </row>
    <row r="6333" spans="1:6" x14ac:dyDescent="0.25">
      <c r="A6333" s="86">
        <v>6332</v>
      </c>
      <c r="B6333" s="87">
        <v>48.536128355743131</v>
      </c>
      <c r="C6333" s="14">
        <v>2</v>
      </c>
      <c r="D6333" s="86">
        <v>0.80322777903894726</v>
      </c>
      <c r="E6333" s="86"/>
      <c r="F6333" s="14"/>
    </row>
    <row r="6334" spans="1:6" x14ac:dyDescent="0.25">
      <c r="A6334" s="86">
        <v>6333</v>
      </c>
      <c r="B6334" s="87">
        <v>39.062445006828057</v>
      </c>
      <c r="C6334" s="14">
        <v>1</v>
      </c>
      <c r="D6334" s="86">
        <v>5.0093577415674995E-2</v>
      </c>
      <c r="E6334" s="86"/>
      <c r="F6334" s="14"/>
    </row>
    <row r="6335" spans="1:6" x14ac:dyDescent="0.25">
      <c r="A6335" s="86">
        <v>6334</v>
      </c>
      <c r="B6335" s="87">
        <v>53.62599039869383</v>
      </c>
      <c r="C6335" s="14">
        <v>5</v>
      </c>
      <c r="D6335" s="86">
        <v>0.24459360541282382</v>
      </c>
      <c r="E6335" s="86"/>
      <c r="F6335" s="14"/>
    </row>
    <row r="6336" spans="1:6" x14ac:dyDescent="0.25">
      <c r="A6336" s="86">
        <v>6335</v>
      </c>
      <c r="B6336" s="87">
        <v>39.681737002290902</v>
      </c>
      <c r="C6336" s="14">
        <v>1</v>
      </c>
      <c r="D6336" s="86">
        <v>0.35318862633760151</v>
      </c>
      <c r="E6336" s="86"/>
      <c r="F6336" s="14"/>
    </row>
    <row r="6337" spans="1:6" x14ac:dyDescent="0.25">
      <c r="A6337" s="86">
        <v>6336</v>
      </c>
      <c r="B6337" s="87">
        <v>37.896995758608682</v>
      </c>
      <c r="C6337" s="14">
        <v>1</v>
      </c>
      <c r="D6337" s="86">
        <v>0.12005100999694085</v>
      </c>
      <c r="E6337" s="86"/>
      <c r="F6337" s="14"/>
    </row>
    <row r="6338" spans="1:6" x14ac:dyDescent="0.25">
      <c r="A6338" s="86">
        <v>6337</v>
      </c>
      <c r="B6338" s="87">
        <v>43.329754357153433</v>
      </c>
      <c r="C6338" s="14">
        <v>2</v>
      </c>
      <c r="D6338" s="86">
        <v>0.36938354548142405</v>
      </c>
      <c r="E6338" s="86"/>
      <c r="F6338" s="14"/>
    </row>
    <row r="6339" spans="1:6" x14ac:dyDescent="0.25">
      <c r="A6339" s="86">
        <v>6338</v>
      </c>
      <c r="B6339" s="87">
        <v>35.579091667721514</v>
      </c>
      <c r="C6339" s="14">
        <v>4</v>
      </c>
      <c r="D6339" s="86">
        <v>1.3686807116488175E-2</v>
      </c>
      <c r="E6339" s="86"/>
      <c r="F6339" s="14"/>
    </row>
    <row r="6340" spans="1:6" x14ac:dyDescent="0.25">
      <c r="A6340" s="86">
        <v>6339</v>
      </c>
      <c r="B6340" s="87">
        <v>40.650644445457147</v>
      </c>
      <c r="C6340" s="14">
        <v>2</v>
      </c>
      <c r="D6340" s="86">
        <v>0.97646157833213265</v>
      </c>
      <c r="E6340" s="86"/>
      <c r="F6340" s="14"/>
    </row>
    <row r="6341" spans="1:6" x14ac:dyDescent="0.25">
      <c r="A6341" s="86">
        <v>6340</v>
      </c>
      <c r="B6341" s="87">
        <v>48.337176389730303</v>
      </c>
      <c r="C6341" s="14">
        <v>3</v>
      </c>
      <c r="D6341" s="86">
        <v>0.77450371303472743</v>
      </c>
      <c r="E6341" s="86"/>
      <c r="F6341" s="14"/>
    </row>
    <row r="6342" spans="1:6" x14ac:dyDescent="0.25">
      <c r="A6342" s="86">
        <v>6341</v>
      </c>
      <c r="B6342" s="87">
        <v>36.783421814441681</v>
      </c>
      <c r="C6342" s="14">
        <v>2</v>
      </c>
      <c r="D6342" s="86">
        <v>0.25464212395375385</v>
      </c>
      <c r="E6342" s="86"/>
      <c r="F6342" s="14"/>
    </row>
    <row r="6343" spans="1:6" x14ac:dyDescent="0.25">
      <c r="A6343" s="86">
        <v>6342</v>
      </c>
      <c r="B6343" s="87">
        <v>35.87854279828025</v>
      </c>
      <c r="C6343" s="14">
        <v>2</v>
      </c>
      <c r="D6343" s="86">
        <v>2.7414839729203666E-2</v>
      </c>
      <c r="E6343" s="86"/>
      <c r="F6343" s="14"/>
    </row>
    <row r="6344" spans="1:6" x14ac:dyDescent="0.25">
      <c r="A6344" s="86">
        <v>6343</v>
      </c>
      <c r="B6344" s="87">
        <v>43.973636815615464</v>
      </c>
      <c r="C6344" s="14">
        <v>5</v>
      </c>
      <c r="D6344" s="86">
        <v>0.22548515770258226</v>
      </c>
      <c r="E6344" s="86"/>
      <c r="F6344" s="14"/>
    </row>
    <row r="6345" spans="1:6" x14ac:dyDescent="0.25">
      <c r="A6345" s="86">
        <v>6344</v>
      </c>
      <c r="B6345" s="87">
        <v>44.726425580272917</v>
      </c>
      <c r="C6345" s="14">
        <v>5</v>
      </c>
      <c r="D6345" s="86">
        <v>0.82337139115788205</v>
      </c>
      <c r="E6345" s="86"/>
      <c r="F6345" s="14"/>
    </row>
    <row r="6346" spans="1:6" x14ac:dyDescent="0.25">
      <c r="A6346" s="86">
        <v>6345</v>
      </c>
      <c r="B6346" s="87">
        <v>49.901643700985005</v>
      </c>
      <c r="C6346" s="14">
        <v>3</v>
      </c>
      <c r="D6346" s="86">
        <v>0.68135147088209091</v>
      </c>
      <c r="E6346" s="86"/>
      <c r="F6346" s="14"/>
    </row>
    <row r="6347" spans="1:6" x14ac:dyDescent="0.25">
      <c r="A6347" s="86">
        <v>6346</v>
      </c>
      <c r="B6347" s="87">
        <v>47.640025963453809</v>
      </c>
      <c r="C6347" s="14">
        <v>4</v>
      </c>
      <c r="D6347" s="86">
        <v>0.86784030515156263</v>
      </c>
      <c r="E6347" s="86"/>
      <c r="F6347" s="14"/>
    </row>
    <row r="6348" spans="1:6" x14ac:dyDescent="0.25">
      <c r="A6348" s="86">
        <v>6347</v>
      </c>
      <c r="B6348" s="87">
        <v>30.451701599638909</v>
      </c>
      <c r="C6348" s="14">
        <v>2</v>
      </c>
      <c r="D6348" s="86">
        <v>0.4384082367307397</v>
      </c>
      <c r="E6348" s="86"/>
      <c r="F6348" s="14"/>
    </row>
    <row r="6349" spans="1:6" x14ac:dyDescent="0.25">
      <c r="A6349" s="86">
        <v>6348</v>
      </c>
      <c r="B6349" s="87">
        <v>46.838704287772998</v>
      </c>
      <c r="C6349" s="14">
        <v>4</v>
      </c>
      <c r="D6349" s="86">
        <v>0.24941815367274722</v>
      </c>
      <c r="E6349" s="86"/>
      <c r="F6349" s="14"/>
    </row>
    <row r="6350" spans="1:6" x14ac:dyDescent="0.25">
      <c r="A6350" s="86">
        <v>6349</v>
      </c>
      <c r="B6350" s="87">
        <v>49.400546226359438</v>
      </c>
      <c r="C6350" s="14">
        <v>2</v>
      </c>
      <c r="D6350" s="86">
        <v>0.74945918033833381</v>
      </c>
      <c r="E6350" s="86"/>
      <c r="F6350" s="14"/>
    </row>
    <row r="6351" spans="1:6" x14ac:dyDescent="0.25">
      <c r="A6351" s="86">
        <v>6350</v>
      </c>
      <c r="B6351" s="87">
        <v>43.179619519258267</v>
      </c>
      <c r="C6351" s="14">
        <v>2</v>
      </c>
      <c r="D6351" s="86">
        <v>0.22344801491774158</v>
      </c>
      <c r="E6351" s="86"/>
      <c r="F6351" s="14"/>
    </row>
    <row r="6352" spans="1:6" x14ac:dyDescent="0.25">
      <c r="A6352" s="86">
        <v>6351</v>
      </c>
      <c r="B6352" s="87">
        <v>41.127481148912921</v>
      </c>
      <c r="C6352" s="14">
        <v>2</v>
      </c>
      <c r="D6352" s="86">
        <v>0.11110491698628366</v>
      </c>
      <c r="E6352" s="86"/>
      <c r="F6352" s="14"/>
    </row>
    <row r="6353" spans="1:6" x14ac:dyDescent="0.25">
      <c r="A6353" s="86">
        <v>6352</v>
      </c>
      <c r="B6353" s="87">
        <v>42.17564537099679</v>
      </c>
      <c r="C6353" s="14">
        <v>2</v>
      </c>
      <c r="D6353" s="86">
        <v>0.81466309920183888</v>
      </c>
      <c r="E6353" s="86"/>
      <c r="F6353" s="14"/>
    </row>
    <row r="6354" spans="1:6" x14ac:dyDescent="0.25">
      <c r="A6354" s="86">
        <v>6353</v>
      </c>
      <c r="B6354" s="87">
        <v>50.973449100973085</v>
      </c>
      <c r="C6354" s="14">
        <v>2</v>
      </c>
      <c r="D6354" s="86">
        <v>7.242779474739558E-2</v>
      </c>
      <c r="E6354" s="86"/>
      <c r="F6354" s="14"/>
    </row>
    <row r="6355" spans="1:6" x14ac:dyDescent="0.25">
      <c r="A6355" s="86">
        <v>6354</v>
      </c>
      <c r="B6355" s="87">
        <v>31.121726346435025</v>
      </c>
      <c r="C6355" s="14">
        <v>4</v>
      </c>
      <c r="D6355" s="86">
        <v>0.20026102958096148</v>
      </c>
      <c r="E6355" s="86"/>
      <c r="F6355" s="14"/>
    </row>
    <row r="6356" spans="1:6" x14ac:dyDescent="0.25">
      <c r="A6356" s="86">
        <v>6355</v>
      </c>
      <c r="B6356" s="87">
        <v>53.934581951005384</v>
      </c>
      <c r="C6356" s="14">
        <v>1</v>
      </c>
      <c r="D6356" s="86">
        <v>0.72343982258445017</v>
      </c>
      <c r="E6356" s="86"/>
      <c r="F6356" s="14"/>
    </row>
    <row r="6357" spans="1:6" x14ac:dyDescent="0.25">
      <c r="A6357" s="86">
        <v>6356</v>
      </c>
      <c r="B6357" s="87">
        <v>38.591520018933807</v>
      </c>
      <c r="C6357" s="14">
        <v>4</v>
      </c>
      <c r="D6357" s="86">
        <v>0.50378805850448194</v>
      </c>
      <c r="E6357" s="86"/>
      <c r="F6357" s="14"/>
    </row>
    <row r="6358" spans="1:6" x14ac:dyDescent="0.25">
      <c r="A6358" s="86">
        <v>6357</v>
      </c>
      <c r="B6358" s="87">
        <v>46.387231117812917</v>
      </c>
      <c r="C6358" s="14">
        <v>4</v>
      </c>
      <c r="D6358" s="86">
        <v>1.2688231041819487E-2</v>
      </c>
      <c r="E6358" s="86"/>
      <c r="F6358" s="14"/>
    </row>
    <row r="6359" spans="1:6" x14ac:dyDescent="0.25">
      <c r="A6359" s="86">
        <v>6358</v>
      </c>
      <c r="B6359" s="87">
        <v>40.769162973781931</v>
      </c>
      <c r="C6359" s="14">
        <v>2</v>
      </c>
      <c r="D6359" s="86">
        <v>0.63514065167374412</v>
      </c>
      <c r="E6359" s="86"/>
      <c r="F6359" s="14"/>
    </row>
    <row r="6360" spans="1:6" x14ac:dyDescent="0.25">
      <c r="A6360" s="86">
        <v>6359</v>
      </c>
      <c r="B6360" s="87">
        <v>52.616405804990791</v>
      </c>
      <c r="C6360" s="14">
        <v>2</v>
      </c>
      <c r="D6360" s="86">
        <v>0.65870631551234093</v>
      </c>
      <c r="E6360" s="86"/>
      <c r="F6360" s="14"/>
    </row>
    <row r="6361" spans="1:6" x14ac:dyDescent="0.25">
      <c r="A6361" s="86">
        <v>6360</v>
      </c>
      <c r="B6361" s="87">
        <v>50.0473561208928</v>
      </c>
      <c r="C6361" s="14">
        <v>1</v>
      </c>
      <c r="D6361" s="86">
        <v>0.8715826578463407</v>
      </c>
      <c r="E6361" s="86"/>
      <c r="F6361" s="14"/>
    </row>
    <row r="6362" spans="1:6" x14ac:dyDescent="0.25">
      <c r="A6362" s="86">
        <v>6361</v>
      </c>
      <c r="B6362" s="87">
        <v>49.419691089831758</v>
      </c>
      <c r="C6362" s="14">
        <v>5</v>
      </c>
      <c r="D6362" s="86">
        <v>6.3986789515625309E-2</v>
      </c>
      <c r="E6362" s="86"/>
      <c r="F6362" s="14"/>
    </row>
    <row r="6363" spans="1:6" x14ac:dyDescent="0.25">
      <c r="A6363" s="86">
        <v>6362</v>
      </c>
      <c r="B6363" s="87">
        <v>43.940519839787157</v>
      </c>
      <c r="C6363" s="14">
        <v>5</v>
      </c>
      <c r="D6363" s="86">
        <v>0.58551718330194891</v>
      </c>
      <c r="E6363" s="86"/>
      <c r="F6363" s="14"/>
    </row>
    <row r="6364" spans="1:6" x14ac:dyDescent="0.25">
      <c r="A6364" s="86">
        <v>6363</v>
      </c>
      <c r="B6364" s="87">
        <v>51.813685781206004</v>
      </c>
      <c r="C6364" s="14">
        <v>4</v>
      </c>
      <c r="D6364" s="86">
        <v>0.12267065599999005</v>
      </c>
      <c r="E6364" s="86"/>
      <c r="F6364" s="14"/>
    </row>
    <row r="6365" spans="1:6" x14ac:dyDescent="0.25">
      <c r="A6365" s="86">
        <v>6364</v>
      </c>
      <c r="B6365" s="87">
        <v>40.747170255024685</v>
      </c>
      <c r="C6365" s="14">
        <v>2</v>
      </c>
      <c r="D6365" s="86">
        <v>0.84355311226160945</v>
      </c>
      <c r="E6365" s="86"/>
      <c r="F6365" s="14"/>
    </row>
    <row r="6366" spans="1:6" x14ac:dyDescent="0.25">
      <c r="A6366" s="86">
        <v>6365</v>
      </c>
      <c r="B6366" s="87">
        <v>49.49454250378767</v>
      </c>
      <c r="C6366" s="14">
        <v>4</v>
      </c>
      <c r="D6366" s="86">
        <v>0.48849142886214381</v>
      </c>
      <c r="E6366" s="86"/>
      <c r="F6366" s="14"/>
    </row>
    <row r="6367" spans="1:6" x14ac:dyDescent="0.25">
      <c r="A6367" s="86">
        <v>6366</v>
      </c>
      <c r="B6367" s="87">
        <v>49.987943379499484</v>
      </c>
      <c r="C6367" s="14">
        <v>2</v>
      </c>
      <c r="D6367" s="86">
        <v>0.65674983005409082</v>
      </c>
      <c r="E6367" s="86"/>
      <c r="F6367" s="14"/>
    </row>
    <row r="6368" spans="1:6" x14ac:dyDescent="0.25">
      <c r="A6368" s="86">
        <v>6367</v>
      </c>
      <c r="B6368" s="87">
        <v>48.024435267841909</v>
      </c>
      <c r="C6368" s="14">
        <v>4</v>
      </c>
      <c r="D6368" s="86">
        <v>0.61054377385545389</v>
      </c>
      <c r="E6368" s="86"/>
      <c r="F6368" s="14"/>
    </row>
    <row r="6369" spans="1:6" x14ac:dyDescent="0.25">
      <c r="A6369" s="86">
        <v>6368</v>
      </c>
      <c r="B6369" s="87">
        <v>33.322112353169359</v>
      </c>
      <c r="C6369" s="14">
        <v>2</v>
      </c>
      <c r="D6369" s="86">
        <v>7.4776756447488935E-2</v>
      </c>
      <c r="E6369" s="86"/>
      <c r="F6369" s="14"/>
    </row>
    <row r="6370" spans="1:6" x14ac:dyDescent="0.25">
      <c r="A6370" s="86">
        <v>6369</v>
      </c>
      <c r="B6370" s="87">
        <v>43.050295057008043</v>
      </c>
      <c r="C6370" s="14">
        <v>1</v>
      </c>
      <c r="D6370" s="86">
        <v>0.53403997645322032</v>
      </c>
      <c r="E6370" s="86"/>
      <c r="F6370" s="14"/>
    </row>
    <row r="6371" spans="1:6" x14ac:dyDescent="0.25">
      <c r="A6371" s="86">
        <v>6370</v>
      </c>
      <c r="B6371" s="87">
        <v>47.228525085636647</v>
      </c>
      <c r="C6371" s="14">
        <v>4</v>
      </c>
      <c r="D6371" s="86">
        <v>0.11638511942043495</v>
      </c>
      <c r="E6371" s="86"/>
      <c r="F6371" s="14"/>
    </row>
    <row r="6372" spans="1:6" x14ac:dyDescent="0.25">
      <c r="A6372" s="86">
        <v>6371</v>
      </c>
      <c r="B6372" s="87">
        <v>46.643867785285693</v>
      </c>
      <c r="C6372" s="14">
        <v>2</v>
      </c>
      <c r="D6372" s="86">
        <v>0.12861603127564658</v>
      </c>
      <c r="E6372" s="86"/>
      <c r="F6372" s="14"/>
    </row>
    <row r="6373" spans="1:6" x14ac:dyDescent="0.25">
      <c r="A6373" s="86">
        <v>6372</v>
      </c>
      <c r="B6373" s="87">
        <v>45.049318936769851</v>
      </c>
      <c r="C6373" s="14">
        <v>2</v>
      </c>
      <c r="D6373" s="86">
        <v>0.18616787302848392</v>
      </c>
      <c r="E6373" s="86"/>
      <c r="F6373" s="14"/>
    </row>
    <row r="6374" spans="1:6" x14ac:dyDescent="0.25">
      <c r="A6374" s="86">
        <v>6373</v>
      </c>
      <c r="B6374" s="87">
        <v>33.714468367514201</v>
      </c>
      <c r="C6374" s="14">
        <v>4</v>
      </c>
      <c r="D6374" s="86">
        <v>0.28908061679642594</v>
      </c>
      <c r="E6374" s="86"/>
      <c r="F6374" s="14"/>
    </row>
    <row r="6375" spans="1:6" x14ac:dyDescent="0.25">
      <c r="A6375" s="86">
        <v>6374</v>
      </c>
      <c r="B6375" s="87">
        <v>32.073785400250927</v>
      </c>
      <c r="C6375" s="14">
        <v>2</v>
      </c>
      <c r="D6375" s="86">
        <v>0.73573645952811884</v>
      </c>
      <c r="E6375" s="86"/>
      <c r="F6375" s="14"/>
    </row>
    <row r="6376" spans="1:6" x14ac:dyDescent="0.25">
      <c r="A6376" s="86">
        <v>6375</v>
      </c>
      <c r="B6376" s="87">
        <v>43.267681343757431</v>
      </c>
      <c r="C6376" s="14">
        <v>4</v>
      </c>
      <c r="D6376" s="86">
        <v>0.51277064620867929</v>
      </c>
      <c r="E6376" s="86"/>
      <c r="F6376" s="14"/>
    </row>
    <row r="6377" spans="1:6" x14ac:dyDescent="0.25">
      <c r="A6377" s="86">
        <v>6376</v>
      </c>
      <c r="B6377" s="87">
        <v>48.468154995469376</v>
      </c>
      <c r="C6377" s="14">
        <v>2</v>
      </c>
      <c r="D6377" s="86">
        <v>0.14321433380713999</v>
      </c>
      <c r="E6377" s="86"/>
      <c r="F6377" s="14"/>
    </row>
    <row r="6378" spans="1:6" x14ac:dyDescent="0.25">
      <c r="A6378" s="86">
        <v>6377</v>
      </c>
      <c r="B6378" s="87">
        <v>35.515199664921965</v>
      </c>
      <c r="C6378" s="14">
        <v>1</v>
      </c>
      <c r="D6378" s="86">
        <v>0.82973512746324929</v>
      </c>
      <c r="E6378" s="86"/>
      <c r="F6378" s="14"/>
    </row>
    <row r="6379" spans="1:6" x14ac:dyDescent="0.25">
      <c r="A6379" s="86">
        <v>6378</v>
      </c>
      <c r="B6379" s="87">
        <v>47.566982170217671</v>
      </c>
      <c r="C6379" s="14">
        <v>4</v>
      </c>
      <c r="D6379" s="86">
        <v>0.87360276253596802</v>
      </c>
      <c r="E6379" s="86"/>
      <c r="F6379" s="14"/>
    </row>
    <row r="6380" spans="1:6" x14ac:dyDescent="0.25">
      <c r="A6380" s="86">
        <v>6379</v>
      </c>
      <c r="B6380" s="87">
        <v>47.404535047797253</v>
      </c>
      <c r="C6380" s="14">
        <v>2</v>
      </c>
      <c r="D6380" s="86">
        <v>0.96374065003023379</v>
      </c>
      <c r="E6380" s="86"/>
      <c r="F6380" s="14"/>
    </row>
    <row r="6381" spans="1:6" x14ac:dyDescent="0.25">
      <c r="A6381" s="86">
        <v>6380</v>
      </c>
      <c r="B6381" s="87">
        <v>43.789094656283851</v>
      </c>
      <c r="C6381" s="14">
        <v>2</v>
      </c>
      <c r="D6381" s="86">
        <v>0.50371419812405926</v>
      </c>
      <c r="E6381" s="86"/>
      <c r="F6381" s="14"/>
    </row>
    <row r="6382" spans="1:6" x14ac:dyDescent="0.25">
      <c r="A6382" s="86">
        <v>6381</v>
      </c>
      <c r="B6382" s="87">
        <v>39.113865563529544</v>
      </c>
      <c r="C6382" s="14">
        <v>2</v>
      </c>
      <c r="D6382" s="86">
        <v>0.60061665069386105</v>
      </c>
      <c r="E6382" s="86"/>
      <c r="F6382" s="14"/>
    </row>
    <row r="6383" spans="1:6" x14ac:dyDescent="0.25">
      <c r="A6383" s="86">
        <v>6382</v>
      </c>
      <c r="B6383" s="87">
        <v>46.349794042151188</v>
      </c>
      <c r="C6383" s="14">
        <v>2</v>
      </c>
      <c r="D6383" s="86">
        <v>6.8517636488553135E-3</v>
      </c>
      <c r="E6383" s="86"/>
      <c r="F6383" s="14"/>
    </row>
    <row r="6384" spans="1:6" x14ac:dyDescent="0.25">
      <c r="A6384" s="86">
        <v>6383</v>
      </c>
      <c r="B6384" s="87">
        <v>42.626913904648973</v>
      </c>
      <c r="C6384" s="14">
        <v>5</v>
      </c>
      <c r="D6384" s="86">
        <v>0.79737053616956033</v>
      </c>
      <c r="E6384" s="86"/>
      <c r="F6384" s="14"/>
    </row>
    <row r="6385" spans="1:6" x14ac:dyDescent="0.25">
      <c r="A6385" s="86">
        <v>6384</v>
      </c>
      <c r="B6385" s="87">
        <v>42.461368815900641</v>
      </c>
      <c r="C6385" s="14">
        <v>2</v>
      </c>
      <c r="D6385" s="86">
        <v>0.98396990007420049</v>
      </c>
      <c r="E6385" s="86"/>
      <c r="F6385" s="14"/>
    </row>
    <row r="6386" spans="1:6" x14ac:dyDescent="0.25">
      <c r="A6386" s="86">
        <v>6385</v>
      </c>
      <c r="B6386" s="87">
        <v>40.060933765169466</v>
      </c>
      <c r="C6386" s="14">
        <v>2</v>
      </c>
      <c r="D6386" s="86">
        <v>0.59199477262341782</v>
      </c>
      <c r="E6386" s="86"/>
      <c r="F6386" s="14"/>
    </row>
    <row r="6387" spans="1:6" x14ac:dyDescent="0.25">
      <c r="A6387" s="86">
        <v>6386</v>
      </c>
      <c r="B6387" s="87">
        <v>39.720248418569099</v>
      </c>
      <c r="C6387" s="14">
        <v>2</v>
      </c>
      <c r="D6387" s="86">
        <v>0.10407789379692134</v>
      </c>
      <c r="E6387" s="86"/>
      <c r="F6387" s="14"/>
    </row>
    <row r="6388" spans="1:6" x14ac:dyDescent="0.25">
      <c r="A6388" s="86">
        <v>6387</v>
      </c>
      <c r="B6388" s="87">
        <v>37.58647153005586</v>
      </c>
      <c r="C6388" s="14">
        <v>3</v>
      </c>
      <c r="D6388" s="86">
        <v>0.24949052712192155</v>
      </c>
      <c r="E6388" s="86"/>
      <c r="F6388" s="14"/>
    </row>
    <row r="6389" spans="1:6" x14ac:dyDescent="0.25">
      <c r="A6389" s="86">
        <v>6388</v>
      </c>
      <c r="B6389" s="87">
        <v>37.112044987559784</v>
      </c>
      <c r="C6389" s="14">
        <v>4</v>
      </c>
      <c r="D6389" s="86">
        <v>0.98866153401001267</v>
      </c>
      <c r="E6389" s="86"/>
      <c r="F6389" s="14"/>
    </row>
    <row r="6390" spans="1:6" x14ac:dyDescent="0.25">
      <c r="A6390" s="86">
        <v>6389</v>
      </c>
      <c r="B6390" s="87">
        <v>43.612175199421472</v>
      </c>
      <c r="C6390" s="14">
        <v>5</v>
      </c>
      <c r="D6390" s="86">
        <v>0.49979548934519014</v>
      </c>
      <c r="E6390" s="86"/>
      <c r="F6390" s="14"/>
    </row>
    <row r="6391" spans="1:6" x14ac:dyDescent="0.25">
      <c r="A6391" s="86">
        <v>6390</v>
      </c>
      <c r="B6391" s="87">
        <v>48.623098786600167</v>
      </c>
      <c r="C6391" s="14">
        <v>4</v>
      </c>
      <c r="D6391" s="86">
        <v>0.94821953545621818</v>
      </c>
      <c r="E6391" s="86"/>
      <c r="F6391" s="14"/>
    </row>
    <row r="6392" spans="1:6" x14ac:dyDescent="0.25">
      <c r="A6392" s="86">
        <v>6391</v>
      </c>
      <c r="B6392" s="87">
        <v>42.145774154385435</v>
      </c>
      <c r="C6392" s="14">
        <v>4</v>
      </c>
      <c r="D6392" s="86">
        <v>0.83872738377760991</v>
      </c>
      <c r="E6392" s="86"/>
      <c r="F6392" s="14"/>
    </row>
    <row r="6393" spans="1:6" x14ac:dyDescent="0.25">
      <c r="A6393" s="86">
        <v>6392</v>
      </c>
      <c r="B6393" s="87">
        <v>44.467981292080367</v>
      </c>
      <c r="C6393" s="14">
        <v>2</v>
      </c>
      <c r="D6393" s="86">
        <v>0.66369558546717144</v>
      </c>
      <c r="E6393" s="86"/>
      <c r="F6393" s="14"/>
    </row>
    <row r="6394" spans="1:6" x14ac:dyDescent="0.25">
      <c r="A6394" s="86">
        <v>6393</v>
      </c>
      <c r="B6394" s="87">
        <v>44.429293661203701</v>
      </c>
      <c r="C6394" s="14">
        <v>5</v>
      </c>
      <c r="D6394" s="86">
        <v>0.26935249126412464</v>
      </c>
      <c r="E6394" s="86"/>
      <c r="F6394" s="14"/>
    </row>
    <row r="6395" spans="1:6" x14ac:dyDescent="0.25">
      <c r="A6395" s="86">
        <v>6394</v>
      </c>
      <c r="B6395" s="87">
        <v>28.277463565580547</v>
      </c>
      <c r="C6395" s="14">
        <v>4</v>
      </c>
      <c r="D6395" s="86">
        <v>0.32546469970469305</v>
      </c>
      <c r="E6395" s="86"/>
      <c r="F6395" s="14"/>
    </row>
    <row r="6396" spans="1:6" x14ac:dyDescent="0.25">
      <c r="A6396" s="86">
        <v>6395</v>
      </c>
      <c r="B6396" s="87">
        <v>37.377617440477479</v>
      </c>
      <c r="C6396" s="14">
        <v>2</v>
      </c>
      <c r="D6396" s="86">
        <v>0.57237974084556253</v>
      </c>
      <c r="E6396" s="86"/>
      <c r="F6396" s="14"/>
    </row>
    <row r="6397" spans="1:6" x14ac:dyDescent="0.25">
      <c r="A6397" s="86">
        <v>6396</v>
      </c>
      <c r="B6397" s="87">
        <v>34.501181284547783</v>
      </c>
      <c r="C6397" s="14">
        <v>5</v>
      </c>
      <c r="D6397" s="86">
        <v>0.15316357577933992</v>
      </c>
      <c r="E6397" s="86"/>
      <c r="F6397" s="14"/>
    </row>
    <row r="6398" spans="1:6" x14ac:dyDescent="0.25">
      <c r="A6398" s="86">
        <v>6397</v>
      </c>
      <c r="B6398" s="87">
        <v>40.849999999743886</v>
      </c>
      <c r="C6398" s="14">
        <v>4</v>
      </c>
      <c r="D6398" s="86">
        <v>0.64245918162584892</v>
      </c>
      <c r="E6398" s="86"/>
      <c r="F6398" s="14"/>
    </row>
    <row r="6399" spans="1:6" x14ac:dyDescent="0.25">
      <c r="A6399" s="86">
        <v>6398</v>
      </c>
      <c r="B6399" s="87">
        <v>35.714424479345325</v>
      </c>
      <c r="C6399" s="14">
        <v>4</v>
      </c>
      <c r="D6399" s="86">
        <v>0.40050163423200646</v>
      </c>
      <c r="E6399" s="86"/>
      <c r="F6399" s="14"/>
    </row>
    <row r="6400" spans="1:6" x14ac:dyDescent="0.25">
      <c r="A6400" s="86">
        <v>6399</v>
      </c>
      <c r="B6400" s="87">
        <v>42.191146571320132</v>
      </c>
      <c r="C6400" s="14">
        <v>2</v>
      </c>
      <c r="D6400" s="86">
        <v>0.26705771530386613</v>
      </c>
      <c r="E6400" s="86"/>
      <c r="F6400" s="14"/>
    </row>
    <row r="6401" spans="1:6" x14ac:dyDescent="0.25">
      <c r="A6401" s="86">
        <v>6400</v>
      </c>
      <c r="B6401" s="87">
        <v>49.771119842596818</v>
      </c>
      <c r="C6401" s="14">
        <v>5</v>
      </c>
      <c r="D6401" s="86">
        <v>0.56555977482300412</v>
      </c>
      <c r="E6401" s="86"/>
      <c r="F6401" s="14"/>
    </row>
    <row r="6402" spans="1:6" x14ac:dyDescent="0.25">
      <c r="A6402" s="86">
        <v>6401</v>
      </c>
      <c r="B6402" s="87">
        <v>41.297107595135458</v>
      </c>
      <c r="C6402" s="14">
        <v>2</v>
      </c>
      <c r="D6402" s="86">
        <v>0.85455748617357496</v>
      </c>
      <c r="E6402" s="86"/>
      <c r="F6402" s="14"/>
    </row>
    <row r="6403" spans="1:6" x14ac:dyDescent="0.25">
      <c r="A6403" s="86">
        <v>6402</v>
      </c>
      <c r="B6403" s="87">
        <v>36.785900187504012</v>
      </c>
      <c r="C6403" s="14">
        <v>2</v>
      </c>
      <c r="D6403" s="86">
        <v>0.37131337846101109</v>
      </c>
      <c r="E6403" s="86"/>
      <c r="F6403" s="14"/>
    </row>
    <row r="6404" spans="1:6" x14ac:dyDescent="0.25">
      <c r="A6404" s="86">
        <v>6403</v>
      </c>
      <c r="B6404" s="87">
        <v>47.355695182312047</v>
      </c>
      <c r="C6404" s="14">
        <v>2</v>
      </c>
      <c r="D6404" s="86">
        <v>0.60549080943060973</v>
      </c>
      <c r="E6404" s="86"/>
      <c r="F6404" s="14"/>
    </row>
    <row r="6405" spans="1:6" x14ac:dyDescent="0.25">
      <c r="A6405" s="86">
        <v>6404</v>
      </c>
      <c r="B6405" s="87">
        <v>46.170487161696656</v>
      </c>
      <c r="C6405" s="14">
        <v>1</v>
      </c>
      <c r="D6405" s="86">
        <v>0.73519605214594907</v>
      </c>
      <c r="E6405" s="86"/>
      <c r="F6405" s="14"/>
    </row>
    <row r="6406" spans="1:6" x14ac:dyDescent="0.25">
      <c r="A6406" s="86">
        <v>6405</v>
      </c>
      <c r="B6406" s="87">
        <v>51.660526873427443</v>
      </c>
      <c r="C6406" s="14">
        <v>1</v>
      </c>
      <c r="D6406" s="86">
        <v>0.17591475703552018</v>
      </c>
      <c r="E6406" s="86"/>
      <c r="F6406" s="14"/>
    </row>
    <row r="6407" spans="1:6" x14ac:dyDescent="0.25">
      <c r="A6407" s="86">
        <v>6406</v>
      </c>
      <c r="B6407" s="87">
        <v>42.443281240019132</v>
      </c>
      <c r="C6407" s="14">
        <v>2</v>
      </c>
      <c r="D6407" s="86">
        <v>0.36413755233581124</v>
      </c>
      <c r="E6407" s="86"/>
      <c r="F6407" s="14"/>
    </row>
    <row r="6408" spans="1:6" x14ac:dyDescent="0.25">
      <c r="A6408" s="86">
        <v>6407</v>
      </c>
      <c r="B6408" s="87">
        <v>42.045070353531628</v>
      </c>
      <c r="C6408" s="14">
        <v>5</v>
      </c>
      <c r="D6408" s="86">
        <v>0.2830221577084957</v>
      </c>
      <c r="E6408" s="86"/>
      <c r="F6408" s="14"/>
    </row>
    <row r="6409" spans="1:6" x14ac:dyDescent="0.25">
      <c r="A6409" s="86">
        <v>6408</v>
      </c>
      <c r="B6409" s="87">
        <v>47.250443907949375</v>
      </c>
      <c r="C6409" s="14">
        <v>2</v>
      </c>
      <c r="D6409" s="86">
        <v>0.40686755450882695</v>
      </c>
      <c r="E6409" s="86"/>
      <c r="F6409" s="14"/>
    </row>
    <row r="6410" spans="1:6" x14ac:dyDescent="0.25">
      <c r="A6410" s="86">
        <v>6409</v>
      </c>
      <c r="B6410" s="87">
        <v>40.661745965160662</v>
      </c>
      <c r="C6410" s="14">
        <v>4</v>
      </c>
      <c r="D6410" s="86">
        <v>0.22933325945888772</v>
      </c>
      <c r="E6410" s="86"/>
      <c r="F6410" s="14"/>
    </row>
    <row r="6411" spans="1:6" x14ac:dyDescent="0.25">
      <c r="A6411" s="86">
        <v>6410</v>
      </c>
      <c r="B6411" s="87">
        <v>47.229616479278775</v>
      </c>
      <c r="C6411" s="14">
        <v>4</v>
      </c>
      <c r="D6411" s="86">
        <v>0.21725848216805554</v>
      </c>
      <c r="E6411" s="86"/>
      <c r="F6411" s="14"/>
    </row>
    <row r="6412" spans="1:6" x14ac:dyDescent="0.25">
      <c r="A6412" s="86">
        <v>6411</v>
      </c>
      <c r="B6412" s="87">
        <v>46.960019512305735</v>
      </c>
      <c r="C6412" s="14">
        <v>5</v>
      </c>
      <c r="D6412" s="86">
        <v>0.73513816666495857</v>
      </c>
      <c r="E6412" s="86"/>
      <c r="F6412" s="14"/>
    </row>
    <row r="6413" spans="1:6" x14ac:dyDescent="0.25">
      <c r="A6413" s="86">
        <v>6412</v>
      </c>
      <c r="B6413" s="87">
        <v>42.43635202726</v>
      </c>
      <c r="C6413" s="14">
        <v>1</v>
      </c>
      <c r="D6413" s="86">
        <v>0.71282147864273304</v>
      </c>
      <c r="E6413" s="86"/>
      <c r="F6413" s="14"/>
    </row>
    <row r="6414" spans="1:6" x14ac:dyDescent="0.25">
      <c r="A6414" s="86">
        <v>6413</v>
      </c>
      <c r="B6414" s="87">
        <v>41.136911472101929</v>
      </c>
      <c r="C6414" s="14">
        <v>2</v>
      </c>
      <c r="D6414" s="86">
        <v>0.20422521818389416</v>
      </c>
      <c r="E6414" s="86"/>
      <c r="F6414" s="14"/>
    </row>
    <row r="6415" spans="1:6" x14ac:dyDescent="0.25">
      <c r="A6415" s="86">
        <v>6414</v>
      </c>
      <c r="B6415" s="87">
        <v>36.669985087763052</v>
      </c>
      <c r="C6415" s="14">
        <v>3</v>
      </c>
      <c r="D6415" s="86">
        <v>0.82091466178494343</v>
      </c>
      <c r="E6415" s="86"/>
      <c r="F6415" s="14"/>
    </row>
    <row r="6416" spans="1:6" x14ac:dyDescent="0.25">
      <c r="A6416" s="86">
        <v>6415</v>
      </c>
      <c r="B6416" s="87">
        <v>43.121838183986256</v>
      </c>
      <c r="C6416" s="14">
        <v>4</v>
      </c>
      <c r="D6416" s="86">
        <v>0.79614932061542742</v>
      </c>
      <c r="E6416" s="86"/>
      <c r="F6416" s="14"/>
    </row>
    <row r="6417" spans="1:6" x14ac:dyDescent="0.25">
      <c r="A6417" s="86">
        <v>6416</v>
      </c>
      <c r="B6417" s="87">
        <v>48.412152859207708</v>
      </c>
      <c r="C6417" s="14">
        <v>4</v>
      </c>
      <c r="D6417" s="86">
        <v>0.98323032551229606</v>
      </c>
      <c r="E6417" s="86"/>
      <c r="F6417" s="14"/>
    </row>
    <row r="6418" spans="1:6" x14ac:dyDescent="0.25">
      <c r="A6418" s="86">
        <v>6417</v>
      </c>
      <c r="B6418" s="87">
        <v>32.587331583607011</v>
      </c>
      <c r="C6418" s="14">
        <v>4</v>
      </c>
      <c r="D6418" s="86">
        <v>0.15796807271268276</v>
      </c>
      <c r="E6418" s="86"/>
      <c r="F6418" s="14"/>
    </row>
    <row r="6419" spans="1:6" x14ac:dyDescent="0.25">
      <c r="A6419" s="86">
        <v>6418</v>
      </c>
      <c r="B6419" s="87">
        <v>44.751209310896229</v>
      </c>
      <c r="C6419" s="14">
        <v>5</v>
      </c>
      <c r="D6419" s="86">
        <v>0.60599638088913788</v>
      </c>
      <c r="E6419" s="86"/>
      <c r="F6419" s="14"/>
    </row>
    <row r="6420" spans="1:6" x14ac:dyDescent="0.25">
      <c r="A6420" s="86">
        <v>6419</v>
      </c>
      <c r="B6420" s="87">
        <v>47.797664132638602</v>
      </c>
      <c r="C6420" s="14">
        <v>2</v>
      </c>
      <c r="D6420" s="86">
        <v>0.53002395930943724</v>
      </c>
      <c r="E6420" s="86"/>
      <c r="F6420" s="14"/>
    </row>
    <row r="6421" spans="1:6" x14ac:dyDescent="0.25">
      <c r="A6421" s="86">
        <v>6420</v>
      </c>
      <c r="B6421" s="87">
        <v>44.496755430707708</v>
      </c>
      <c r="C6421" s="14">
        <v>2</v>
      </c>
      <c r="D6421" s="86">
        <v>0.40536414061791937</v>
      </c>
      <c r="E6421" s="86"/>
      <c r="F6421" s="14"/>
    </row>
    <row r="6422" spans="1:6" x14ac:dyDescent="0.25">
      <c r="A6422" s="86">
        <v>6421</v>
      </c>
      <c r="B6422" s="87">
        <v>36.549658938718494</v>
      </c>
      <c r="C6422" s="14">
        <v>2</v>
      </c>
      <c r="D6422" s="86">
        <v>0.65832061981180623</v>
      </c>
      <c r="E6422" s="86"/>
      <c r="F6422" s="14"/>
    </row>
    <row r="6423" spans="1:6" x14ac:dyDescent="0.25">
      <c r="A6423" s="86">
        <v>6422</v>
      </c>
      <c r="B6423" s="87">
        <v>47.03425701733795</v>
      </c>
      <c r="C6423" s="14">
        <v>1</v>
      </c>
      <c r="D6423" s="86">
        <v>1.3699485035077452E-2</v>
      </c>
      <c r="E6423" s="86"/>
      <c r="F6423" s="14"/>
    </row>
    <row r="6424" spans="1:6" x14ac:dyDescent="0.25">
      <c r="A6424" s="86">
        <v>6423</v>
      </c>
      <c r="B6424" s="87">
        <v>48.213712483964628</v>
      </c>
      <c r="C6424" s="14">
        <v>5</v>
      </c>
      <c r="D6424" s="86">
        <v>0.48749274251751862</v>
      </c>
      <c r="E6424" s="86"/>
      <c r="F6424" s="14"/>
    </row>
    <row r="6425" spans="1:6" x14ac:dyDescent="0.25">
      <c r="A6425" s="86">
        <v>6424</v>
      </c>
      <c r="B6425" s="87">
        <v>37.675658854248468</v>
      </c>
      <c r="C6425" s="14">
        <v>5</v>
      </c>
      <c r="D6425" s="86">
        <v>0.6835182421045406</v>
      </c>
      <c r="E6425" s="86"/>
      <c r="F6425" s="14"/>
    </row>
    <row r="6426" spans="1:6" x14ac:dyDescent="0.25">
      <c r="A6426" s="86">
        <v>6425</v>
      </c>
      <c r="B6426" s="87">
        <v>45.427384515613085</v>
      </c>
      <c r="C6426" s="14">
        <v>5</v>
      </c>
      <c r="D6426" s="86">
        <v>0.80031475669890872</v>
      </c>
      <c r="E6426" s="86"/>
      <c r="F6426" s="14"/>
    </row>
    <row r="6427" spans="1:6" x14ac:dyDescent="0.25">
      <c r="A6427" s="86">
        <v>6426</v>
      </c>
      <c r="B6427" s="87">
        <v>46.525173042362439</v>
      </c>
      <c r="C6427" s="14">
        <v>4</v>
      </c>
      <c r="D6427" s="86">
        <v>0.3157504529606916</v>
      </c>
      <c r="E6427" s="86"/>
      <c r="F6427" s="14"/>
    </row>
    <row r="6428" spans="1:6" x14ac:dyDescent="0.25">
      <c r="A6428" s="86">
        <v>6427</v>
      </c>
      <c r="B6428" s="87">
        <v>35.184848451870494</v>
      </c>
      <c r="C6428" s="14">
        <v>2</v>
      </c>
      <c r="D6428" s="86">
        <v>9.0292838825130506E-2</v>
      </c>
      <c r="E6428" s="86"/>
      <c r="F6428" s="14"/>
    </row>
    <row r="6429" spans="1:6" x14ac:dyDescent="0.25">
      <c r="A6429" s="86">
        <v>6428</v>
      </c>
      <c r="B6429" s="87">
        <v>39.296509152671206</v>
      </c>
      <c r="C6429" s="14">
        <v>5</v>
      </c>
      <c r="D6429" s="86">
        <v>9.0322070690557199E-3</v>
      </c>
      <c r="E6429" s="86"/>
      <c r="F6429" s="14"/>
    </row>
    <row r="6430" spans="1:6" x14ac:dyDescent="0.25">
      <c r="A6430" s="86">
        <v>6429</v>
      </c>
      <c r="B6430" s="87">
        <v>37.427003002783749</v>
      </c>
      <c r="C6430" s="14">
        <v>4</v>
      </c>
      <c r="D6430" s="86">
        <v>0.14192873662577199</v>
      </c>
      <c r="E6430" s="86"/>
      <c r="F6430" s="14"/>
    </row>
    <row r="6431" spans="1:6" x14ac:dyDescent="0.25">
      <c r="A6431" s="86">
        <v>6430</v>
      </c>
      <c r="B6431" s="87">
        <v>47.549599452730035</v>
      </c>
      <c r="C6431" s="14">
        <v>5</v>
      </c>
      <c r="D6431" s="86">
        <v>0.85737934167452146</v>
      </c>
      <c r="E6431" s="86"/>
      <c r="F6431" s="14"/>
    </row>
    <row r="6432" spans="1:6" x14ac:dyDescent="0.25">
      <c r="A6432" s="86">
        <v>6431</v>
      </c>
      <c r="B6432" s="87">
        <v>38.033522282028571</v>
      </c>
      <c r="C6432" s="14">
        <v>2</v>
      </c>
      <c r="D6432" s="86">
        <v>0.46398163769799583</v>
      </c>
      <c r="E6432" s="86"/>
      <c r="F6432" s="14"/>
    </row>
    <row r="6433" spans="1:6" x14ac:dyDescent="0.25">
      <c r="A6433" s="86">
        <v>6432</v>
      </c>
      <c r="B6433" s="87">
        <v>45.32716956816148</v>
      </c>
      <c r="C6433" s="14">
        <v>5</v>
      </c>
      <c r="D6433" s="86">
        <v>0.84311401872246683</v>
      </c>
      <c r="E6433" s="86"/>
      <c r="F6433" s="14"/>
    </row>
    <row r="6434" spans="1:6" x14ac:dyDescent="0.25">
      <c r="A6434" s="86">
        <v>6433</v>
      </c>
      <c r="B6434" s="87">
        <v>46.517823188303737</v>
      </c>
      <c r="C6434" s="14">
        <v>4</v>
      </c>
      <c r="D6434" s="86">
        <v>0.99586888118464678</v>
      </c>
      <c r="E6434" s="86"/>
      <c r="F6434" s="14"/>
    </row>
    <row r="6435" spans="1:6" x14ac:dyDescent="0.25">
      <c r="A6435" s="86">
        <v>6434</v>
      </c>
      <c r="B6435" s="87">
        <v>40.409065599640599</v>
      </c>
      <c r="C6435" s="14">
        <v>5</v>
      </c>
      <c r="D6435" s="86">
        <v>0.44743441389442251</v>
      </c>
      <c r="E6435" s="86"/>
      <c r="F6435" s="14"/>
    </row>
    <row r="6436" spans="1:6" x14ac:dyDescent="0.25">
      <c r="A6436" s="86">
        <v>6435</v>
      </c>
      <c r="B6436" s="87">
        <v>46.308258555989596</v>
      </c>
      <c r="C6436" s="14">
        <v>2</v>
      </c>
      <c r="D6436" s="86">
        <v>0.23154097299132326</v>
      </c>
      <c r="E6436" s="86"/>
      <c r="F6436" s="14"/>
    </row>
    <row r="6437" spans="1:6" x14ac:dyDescent="0.25">
      <c r="A6437" s="86">
        <v>6436</v>
      </c>
      <c r="B6437" s="87">
        <v>42.144608864298789</v>
      </c>
      <c r="C6437" s="14">
        <v>1</v>
      </c>
      <c r="D6437" s="86">
        <v>0.974382645796664</v>
      </c>
      <c r="E6437" s="86"/>
      <c r="F6437" s="14"/>
    </row>
    <row r="6438" spans="1:6" x14ac:dyDescent="0.25">
      <c r="A6438" s="86">
        <v>6437</v>
      </c>
      <c r="B6438" s="87">
        <v>36.967276168405078</v>
      </c>
      <c r="C6438" s="14">
        <v>5</v>
      </c>
      <c r="D6438" s="86">
        <v>0.24388912420332143</v>
      </c>
      <c r="E6438" s="86"/>
      <c r="F6438" s="14"/>
    </row>
    <row r="6439" spans="1:6" x14ac:dyDescent="0.25">
      <c r="A6439" s="86">
        <v>6438</v>
      </c>
      <c r="B6439" s="87">
        <v>52.440100257052109</v>
      </c>
      <c r="C6439" s="14">
        <v>1</v>
      </c>
      <c r="D6439" s="86">
        <v>5.6577972100727014E-2</v>
      </c>
      <c r="E6439" s="86"/>
      <c r="F6439" s="14"/>
    </row>
    <row r="6440" spans="1:6" x14ac:dyDescent="0.25">
      <c r="A6440" s="86">
        <v>6439</v>
      </c>
      <c r="B6440" s="87">
        <v>47.7176627049339</v>
      </c>
      <c r="C6440" s="14">
        <v>4</v>
      </c>
      <c r="D6440" s="86">
        <v>0.22270892553969446</v>
      </c>
      <c r="E6440" s="86"/>
      <c r="F6440" s="14"/>
    </row>
    <row r="6441" spans="1:6" x14ac:dyDescent="0.25">
      <c r="A6441" s="86">
        <v>6440</v>
      </c>
      <c r="B6441" s="87">
        <v>35.956782080000266</v>
      </c>
      <c r="C6441" s="14">
        <v>1</v>
      </c>
      <c r="D6441" s="86">
        <v>0.57815527637038866</v>
      </c>
      <c r="E6441" s="86"/>
      <c r="F6441" s="14"/>
    </row>
    <row r="6442" spans="1:6" x14ac:dyDescent="0.25">
      <c r="A6442" s="86">
        <v>6441</v>
      </c>
      <c r="B6442" s="87">
        <v>34.57168986130273</v>
      </c>
      <c r="C6442" s="14">
        <v>5</v>
      </c>
      <c r="D6442" s="86">
        <v>0.58691939849273433</v>
      </c>
      <c r="E6442" s="86"/>
      <c r="F6442" s="14"/>
    </row>
    <row r="6443" spans="1:6" x14ac:dyDescent="0.25">
      <c r="A6443" s="86">
        <v>6442</v>
      </c>
      <c r="B6443" s="87">
        <v>49.538357411045581</v>
      </c>
      <c r="C6443" s="14">
        <v>5</v>
      </c>
      <c r="D6443" s="86">
        <v>0.38676160583647123</v>
      </c>
      <c r="E6443" s="86"/>
      <c r="F6443" s="14"/>
    </row>
    <row r="6444" spans="1:6" x14ac:dyDescent="0.25">
      <c r="A6444" s="86">
        <v>6443</v>
      </c>
      <c r="B6444" s="87">
        <v>46.745390131371096</v>
      </c>
      <c r="C6444" s="14">
        <v>1</v>
      </c>
      <c r="D6444" s="86">
        <v>0.28280550220704803</v>
      </c>
      <c r="E6444" s="86"/>
      <c r="F6444" s="14"/>
    </row>
    <row r="6445" spans="1:6" x14ac:dyDescent="0.25">
      <c r="A6445" s="86">
        <v>6444</v>
      </c>
      <c r="B6445" s="87">
        <v>38.419068454793887</v>
      </c>
      <c r="C6445" s="14">
        <v>5</v>
      </c>
      <c r="D6445" s="86">
        <v>0.6355535629795972</v>
      </c>
      <c r="E6445" s="86"/>
      <c r="F6445" s="14"/>
    </row>
    <row r="6446" spans="1:6" x14ac:dyDescent="0.25">
      <c r="A6446" s="86">
        <v>6445</v>
      </c>
      <c r="B6446" s="87">
        <v>41.56034946787986</v>
      </c>
      <c r="C6446" s="14">
        <v>5</v>
      </c>
      <c r="D6446" s="86">
        <v>0.32425625945086545</v>
      </c>
      <c r="E6446" s="86"/>
      <c r="F6446" s="14"/>
    </row>
    <row r="6447" spans="1:6" x14ac:dyDescent="0.25">
      <c r="A6447" s="86">
        <v>6446</v>
      </c>
      <c r="B6447" s="87">
        <v>44.161868112831144</v>
      </c>
      <c r="C6447" s="14">
        <v>5</v>
      </c>
      <c r="D6447" s="86">
        <v>0.24901823916363974</v>
      </c>
      <c r="E6447" s="86"/>
      <c r="F6447" s="14"/>
    </row>
    <row r="6448" spans="1:6" x14ac:dyDescent="0.25">
      <c r="A6448" s="86">
        <v>6447</v>
      </c>
      <c r="B6448" s="87">
        <v>45.306728674739134</v>
      </c>
      <c r="C6448" s="14">
        <v>4</v>
      </c>
      <c r="D6448" s="86">
        <v>0.93257355832731581</v>
      </c>
      <c r="E6448" s="86"/>
      <c r="F6448" s="14"/>
    </row>
    <row r="6449" spans="1:6" x14ac:dyDescent="0.25">
      <c r="A6449" s="86">
        <v>6448</v>
      </c>
      <c r="B6449" s="87">
        <v>40.065026491327444</v>
      </c>
      <c r="C6449" s="14">
        <v>2</v>
      </c>
      <c r="D6449" s="86">
        <v>0.92048055823744035</v>
      </c>
      <c r="E6449" s="86"/>
      <c r="F6449" s="14"/>
    </row>
    <row r="6450" spans="1:6" x14ac:dyDescent="0.25">
      <c r="A6450" s="86">
        <v>6449</v>
      </c>
      <c r="B6450" s="87">
        <v>43.168517999554751</v>
      </c>
      <c r="C6450" s="14">
        <v>3</v>
      </c>
      <c r="D6450" s="86">
        <v>0.88005971472382805</v>
      </c>
      <c r="E6450" s="86"/>
      <c r="F6450" s="14"/>
    </row>
    <row r="6451" spans="1:6" x14ac:dyDescent="0.25">
      <c r="A6451" s="86">
        <v>6450</v>
      </c>
      <c r="B6451" s="87">
        <v>41.181118598949979</v>
      </c>
      <c r="C6451" s="14">
        <v>4</v>
      </c>
      <c r="D6451" s="86">
        <v>0.30989666526736381</v>
      </c>
      <c r="E6451" s="86"/>
      <c r="F6451" s="14"/>
    </row>
    <row r="6452" spans="1:6" x14ac:dyDescent="0.25">
      <c r="A6452" s="86">
        <v>6451</v>
      </c>
      <c r="B6452" s="87">
        <v>45.51164351539046</v>
      </c>
      <c r="C6452" s="14">
        <v>2</v>
      </c>
      <c r="D6452" s="86">
        <v>0.86016434837781885</v>
      </c>
      <c r="E6452" s="86"/>
      <c r="F6452" s="14"/>
    </row>
    <row r="6453" spans="1:6" x14ac:dyDescent="0.25">
      <c r="A6453" s="86">
        <v>6452</v>
      </c>
      <c r="B6453" s="87">
        <v>34.259505804919172</v>
      </c>
      <c r="C6453" s="14">
        <v>2</v>
      </c>
      <c r="D6453" s="86">
        <v>0.27628329813815378</v>
      </c>
      <c r="E6453" s="86"/>
      <c r="F6453" s="14"/>
    </row>
    <row r="6454" spans="1:6" x14ac:dyDescent="0.25">
      <c r="A6454" s="86">
        <v>6453</v>
      </c>
      <c r="B6454" s="87">
        <v>44.013813744066283</v>
      </c>
      <c r="C6454" s="14">
        <v>2</v>
      </c>
      <c r="D6454" s="86">
        <v>7.6883557842729267E-2</v>
      </c>
      <c r="E6454" s="86"/>
      <c r="F6454" s="14"/>
    </row>
    <row r="6455" spans="1:6" x14ac:dyDescent="0.25">
      <c r="A6455" s="86">
        <v>6454</v>
      </c>
      <c r="B6455" s="87">
        <v>47.197431735519785</v>
      </c>
      <c r="C6455" s="14">
        <v>2</v>
      </c>
      <c r="D6455" s="86">
        <v>0.80948102500692598</v>
      </c>
      <c r="E6455" s="86"/>
      <c r="F6455" s="14"/>
    </row>
    <row r="6456" spans="1:6" x14ac:dyDescent="0.25">
      <c r="A6456" s="86">
        <v>6455</v>
      </c>
      <c r="B6456" s="87">
        <v>41.073622009542305</v>
      </c>
      <c r="C6456" s="14">
        <v>5</v>
      </c>
      <c r="D6456" s="86">
        <v>0.8802791234899755</v>
      </c>
      <c r="E6456" s="86"/>
      <c r="F6456" s="14"/>
    </row>
    <row r="6457" spans="1:6" x14ac:dyDescent="0.25">
      <c r="A6457" s="86">
        <v>6456</v>
      </c>
      <c r="B6457" s="87">
        <v>41.689054336864501</v>
      </c>
      <c r="C6457" s="14">
        <v>4</v>
      </c>
      <c r="D6457" s="86">
        <v>0.76200541520414922</v>
      </c>
      <c r="E6457" s="86"/>
      <c r="F6457" s="14"/>
    </row>
    <row r="6458" spans="1:6" x14ac:dyDescent="0.25">
      <c r="A6458" s="86">
        <v>6457</v>
      </c>
      <c r="B6458" s="87">
        <v>45.569089474491193</v>
      </c>
      <c r="C6458" s="14">
        <v>2</v>
      </c>
      <c r="D6458" s="86">
        <v>0.71808785469376202</v>
      </c>
      <c r="E6458" s="86"/>
      <c r="F6458" s="14"/>
    </row>
    <row r="6459" spans="1:6" x14ac:dyDescent="0.25">
      <c r="A6459" s="86">
        <v>6458</v>
      </c>
      <c r="B6459" s="87">
        <v>41.407355406015995</v>
      </c>
      <c r="C6459" s="14">
        <v>4</v>
      </c>
      <c r="D6459" s="86">
        <v>0.50720889069480579</v>
      </c>
      <c r="E6459" s="86"/>
      <c r="F6459" s="14"/>
    </row>
    <row r="6460" spans="1:6" x14ac:dyDescent="0.25">
      <c r="A6460" s="86">
        <v>6459</v>
      </c>
      <c r="B6460" s="87">
        <v>41.952972646293347</v>
      </c>
      <c r="C6460" s="14">
        <v>5</v>
      </c>
      <c r="D6460" s="86">
        <v>0.97476099026271512</v>
      </c>
      <c r="E6460" s="86"/>
      <c r="F6460" s="14"/>
    </row>
    <row r="6461" spans="1:6" x14ac:dyDescent="0.25">
      <c r="A6461" s="86">
        <v>6460</v>
      </c>
      <c r="B6461" s="87">
        <v>37.130371305800509</v>
      </c>
      <c r="C6461" s="14">
        <v>2</v>
      </c>
      <c r="D6461" s="86">
        <v>0.85834821700198183</v>
      </c>
      <c r="E6461" s="86"/>
      <c r="F6461" s="14"/>
    </row>
    <row r="6462" spans="1:6" x14ac:dyDescent="0.25">
      <c r="A6462" s="86">
        <v>6461</v>
      </c>
      <c r="B6462" s="87">
        <v>47.795845143235056</v>
      </c>
      <c r="C6462" s="14">
        <v>4</v>
      </c>
      <c r="D6462" s="86">
        <v>0.70650765745878208</v>
      </c>
      <c r="E6462" s="86"/>
      <c r="F6462" s="14"/>
    </row>
    <row r="6463" spans="1:6" x14ac:dyDescent="0.25">
      <c r="A6463" s="86">
        <v>6462</v>
      </c>
      <c r="B6463" s="87">
        <v>47.432791911312961</v>
      </c>
      <c r="C6463" s="14">
        <v>2</v>
      </c>
      <c r="D6463" s="86">
        <v>0.44120984724419432</v>
      </c>
      <c r="E6463" s="86"/>
      <c r="F6463" s="14"/>
    </row>
    <row r="6464" spans="1:6" x14ac:dyDescent="0.25">
      <c r="A6464" s="86">
        <v>6463</v>
      </c>
      <c r="B6464" s="87">
        <v>40.372248117244453</v>
      </c>
      <c r="C6464" s="14">
        <v>2</v>
      </c>
      <c r="D6464" s="86">
        <v>1.5752112278632491E-2</v>
      </c>
      <c r="E6464" s="86"/>
      <c r="F6464" s="14"/>
    </row>
    <row r="6465" spans="1:6" x14ac:dyDescent="0.25">
      <c r="A6465" s="86">
        <v>6464</v>
      </c>
      <c r="B6465" s="87">
        <v>46.022671535291011</v>
      </c>
      <c r="C6465" s="14">
        <v>2</v>
      </c>
      <c r="D6465" s="86">
        <v>0.17635906392921552</v>
      </c>
      <c r="E6465" s="86"/>
      <c r="F6465" s="14"/>
    </row>
    <row r="6466" spans="1:6" x14ac:dyDescent="0.25">
      <c r="A6466" s="86">
        <v>6465</v>
      </c>
      <c r="B6466" s="87">
        <v>46.099256673522177</v>
      </c>
      <c r="C6466" s="14">
        <v>2</v>
      </c>
      <c r="D6466" s="86">
        <v>0.40843603882436341</v>
      </c>
      <c r="E6466" s="86"/>
      <c r="F6466" s="14"/>
    </row>
    <row r="6467" spans="1:6" x14ac:dyDescent="0.25">
      <c r="A6467" s="86">
        <v>6466</v>
      </c>
      <c r="B6467" s="87">
        <v>42.793971028339001</v>
      </c>
      <c r="C6467" s="14">
        <v>4</v>
      </c>
      <c r="D6467" s="86">
        <v>0.91068465493885198</v>
      </c>
      <c r="E6467" s="86"/>
      <c r="F6467" s="14"/>
    </row>
    <row r="6468" spans="1:6" x14ac:dyDescent="0.25">
      <c r="A6468" s="86">
        <v>6467</v>
      </c>
      <c r="B6468" s="87">
        <v>43.494412688567536</v>
      </c>
      <c r="C6468" s="14">
        <v>3</v>
      </c>
      <c r="D6468" s="86">
        <v>0.37558930951416247</v>
      </c>
      <c r="E6468" s="86"/>
      <c r="F6468" s="14"/>
    </row>
    <row r="6469" spans="1:6" x14ac:dyDescent="0.25">
      <c r="A6469" s="86">
        <v>6468</v>
      </c>
      <c r="B6469" s="87">
        <v>37.038728345913114</v>
      </c>
      <c r="C6469" s="14">
        <v>5</v>
      </c>
      <c r="D6469" s="86">
        <v>0.6560208308091332</v>
      </c>
      <c r="E6469" s="86"/>
      <c r="F6469" s="14"/>
    </row>
    <row r="6470" spans="1:6" x14ac:dyDescent="0.25">
      <c r="A6470" s="86">
        <v>6469</v>
      </c>
      <c r="B6470" s="87">
        <v>44.67293023878301</v>
      </c>
      <c r="C6470" s="14">
        <v>3</v>
      </c>
      <c r="D6470" s="86">
        <v>0.96093010770838982</v>
      </c>
      <c r="E6470" s="86"/>
      <c r="F6470" s="14"/>
    </row>
    <row r="6471" spans="1:6" x14ac:dyDescent="0.25">
      <c r="A6471" s="86">
        <v>6470</v>
      </c>
      <c r="B6471" s="87">
        <v>41.857379068795126</v>
      </c>
      <c r="C6471" s="14">
        <v>2</v>
      </c>
      <c r="D6471" s="86">
        <v>0.56394979365368925</v>
      </c>
      <c r="E6471" s="86"/>
      <c r="F6471" s="14"/>
    </row>
    <row r="6472" spans="1:6" x14ac:dyDescent="0.25">
      <c r="A6472" s="86">
        <v>6471</v>
      </c>
      <c r="B6472" s="87">
        <v>42.090607616381021</v>
      </c>
      <c r="C6472" s="14">
        <v>2</v>
      </c>
      <c r="D6472" s="86">
        <v>0.72787313158406652</v>
      </c>
      <c r="E6472" s="86"/>
      <c r="F6472" s="14"/>
    </row>
    <row r="6473" spans="1:6" x14ac:dyDescent="0.25">
      <c r="A6473" s="86">
        <v>6472</v>
      </c>
      <c r="B6473" s="87">
        <v>48.220965704211267</v>
      </c>
      <c r="C6473" s="14">
        <v>5</v>
      </c>
      <c r="D6473" s="86">
        <v>0.87880707310814721</v>
      </c>
      <c r="E6473" s="86"/>
      <c r="F6473" s="14"/>
    </row>
    <row r="6474" spans="1:6" x14ac:dyDescent="0.25">
      <c r="A6474" s="86">
        <v>6473</v>
      </c>
      <c r="B6474" s="87">
        <v>32.987372828181833</v>
      </c>
      <c r="C6474" s="14">
        <v>4</v>
      </c>
      <c r="D6474" s="86">
        <v>0.79488375599611139</v>
      </c>
      <c r="E6474" s="86"/>
      <c r="F6474" s="14"/>
    </row>
    <row r="6475" spans="1:6" x14ac:dyDescent="0.25">
      <c r="A6475" s="86">
        <v>6474</v>
      </c>
      <c r="B6475" s="87">
        <v>34.606318872072734</v>
      </c>
      <c r="C6475" s="14">
        <v>2</v>
      </c>
      <c r="D6475" s="86">
        <v>0.21506348971224909</v>
      </c>
      <c r="E6475" s="86"/>
      <c r="F6475" s="14"/>
    </row>
    <row r="6476" spans="1:6" x14ac:dyDescent="0.25">
      <c r="A6476" s="86">
        <v>6475</v>
      </c>
      <c r="B6476" s="87">
        <v>39.950646163895726</v>
      </c>
      <c r="C6476" s="14">
        <v>2</v>
      </c>
      <c r="D6476" s="86">
        <v>5.8418933594682643E-2</v>
      </c>
      <c r="E6476" s="86"/>
      <c r="F6476" s="14"/>
    </row>
    <row r="6477" spans="1:6" x14ac:dyDescent="0.25">
      <c r="A6477" s="86">
        <v>6476</v>
      </c>
      <c r="B6477" s="87">
        <v>42.897676161708659</v>
      </c>
      <c r="C6477" s="14">
        <v>2</v>
      </c>
      <c r="D6477" s="86">
        <v>0.21270079244552587</v>
      </c>
      <c r="E6477" s="86"/>
      <c r="F6477" s="14"/>
    </row>
    <row r="6478" spans="1:6" x14ac:dyDescent="0.25">
      <c r="A6478" s="86">
        <v>6477</v>
      </c>
      <c r="B6478" s="87">
        <v>40.365216586331371</v>
      </c>
      <c r="C6478" s="14">
        <v>2</v>
      </c>
      <c r="D6478" s="86">
        <v>0.9987575905159799</v>
      </c>
      <c r="E6478" s="86"/>
      <c r="F6478" s="14"/>
    </row>
    <row r="6479" spans="1:6" x14ac:dyDescent="0.25">
      <c r="A6479" s="86">
        <v>6478</v>
      </c>
      <c r="B6479" s="87">
        <v>43.150532741827192</v>
      </c>
      <c r="C6479" s="14">
        <v>2</v>
      </c>
      <c r="D6479" s="86">
        <v>0.60393743240754461</v>
      </c>
      <c r="E6479" s="86"/>
      <c r="F6479" s="14"/>
    </row>
    <row r="6480" spans="1:6" x14ac:dyDescent="0.25">
      <c r="A6480" s="86">
        <v>6479</v>
      </c>
      <c r="B6480" s="87">
        <v>40.880587443432887</v>
      </c>
      <c r="C6480" s="14">
        <v>1</v>
      </c>
      <c r="D6480" s="86">
        <v>0.40666646084964064</v>
      </c>
      <c r="E6480" s="86"/>
      <c r="F6480" s="14"/>
    </row>
    <row r="6481" spans="1:6" x14ac:dyDescent="0.25">
      <c r="A6481" s="86">
        <v>6480</v>
      </c>
      <c r="B6481" s="87">
        <v>48.797107860416872</v>
      </c>
      <c r="C6481" s="14">
        <v>4</v>
      </c>
      <c r="D6481" s="86">
        <v>0.9060656207359713</v>
      </c>
      <c r="E6481" s="86"/>
      <c r="F6481" s="14"/>
    </row>
    <row r="6482" spans="1:6" x14ac:dyDescent="0.25">
      <c r="A6482" s="86">
        <v>6481</v>
      </c>
      <c r="B6482" s="87">
        <v>43.211389306059573</v>
      </c>
      <c r="C6482" s="14">
        <v>3</v>
      </c>
      <c r="D6482" s="86">
        <v>0.96056984421583835</v>
      </c>
      <c r="E6482" s="86"/>
      <c r="F6482" s="14"/>
    </row>
    <row r="6483" spans="1:6" x14ac:dyDescent="0.25">
      <c r="A6483" s="86">
        <v>6482</v>
      </c>
      <c r="B6483" s="87">
        <v>41.820834434809512</v>
      </c>
      <c r="C6483" s="14">
        <v>2</v>
      </c>
      <c r="D6483" s="86">
        <v>7.8595948704262453E-2</v>
      </c>
      <c r="E6483" s="86"/>
      <c r="F6483" s="14"/>
    </row>
    <row r="6484" spans="1:6" x14ac:dyDescent="0.25">
      <c r="A6484" s="86">
        <v>6483</v>
      </c>
      <c r="B6484" s="87">
        <v>31.300442055333406</v>
      </c>
      <c r="C6484" s="14">
        <v>5</v>
      </c>
      <c r="D6484" s="86">
        <v>0.14642961457847536</v>
      </c>
      <c r="E6484" s="86"/>
      <c r="F6484" s="14"/>
    </row>
    <row r="6485" spans="1:6" x14ac:dyDescent="0.25">
      <c r="A6485" s="86">
        <v>6484</v>
      </c>
      <c r="B6485" s="87">
        <v>46.778382051677909</v>
      </c>
      <c r="C6485" s="14">
        <v>5</v>
      </c>
      <c r="D6485" s="86">
        <v>0.87513637669595246</v>
      </c>
      <c r="E6485" s="86"/>
      <c r="F6485" s="14"/>
    </row>
    <row r="6486" spans="1:6" x14ac:dyDescent="0.25">
      <c r="A6486" s="86">
        <v>6485</v>
      </c>
      <c r="B6486" s="87">
        <v>35.985544849943835</v>
      </c>
      <c r="C6486" s="14">
        <v>2</v>
      </c>
      <c r="D6486" s="86">
        <v>0.29955028844001086</v>
      </c>
      <c r="E6486" s="86"/>
      <c r="F6486" s="14"/>
    </row>
    <row r="6487" spans="1:6" x14ac:dyDescent="0.25">
      <c r="A6487" s="86">
        <v>6486</v>
      </c>
      <c r="B6487" s="87">
        <v>49.105437933001667</v>
      </c>
      <c r="C6487" s="14">
        <v>4</v>
      </c>
      <c r="D6487" s="86">
        <v>0.76006557264967201</v>
      </c>
      <c r="E6487" s="86"/>
      <c r="F6487" s="14"/>
    </row>
    <row r="6488" spans="1:6" x14ac:dyDescent="0.25">
      <c r="A6488" s="86">
        <v>6487</v>
      </c>
      <c r="B6488" s="87">
        <v>38.85403429591679</v>
      </c>
      <c r="C6488" s="14">
        <v>4</v>
      </c>
      <c r="D6488" s="86">
        <v>1.4086973495182176E-2</v>
      </c>
      <c r="E6488" s="86"/>
      <c r="F6488" s="14"/>
    </row>
    <row r="6489" spans="1:6" x14ac:dyDescent="0.25">
      <c r="A6489" s="86">
        <v>6488</v>
      </c>
      <c r="B6489" s="87">
        <v>47.169203293713508</v>
      </c>
      <c r="C6489" s="14">
        <v>2</v>
      </c>
      <c r="D6489" s="86">
        <v>0.22488076162409465</v>
      </c>
      <c r="E6489" s="86"/>
      <c r="F6489" s="14"/>
    </row>
    <row r="6490" spans="1:6" x14ac:dyDescent="0.25">
      <c r="A6490" s="86">
        <v>6489</v>
      </c>
      <c r="B6490" s="87">
        <v>44.56892383529339</v>
      </c>
      <c r="C6490" s="14">
        <v>2</v>
      </c>
      <c r="D6490" s="86">
        <v>3.0826461394968252E-3</v>
      </c>
      <c r="E6490" s="86"/>
      <c r="F6490" s="14"/>
    </row>
    <row r="6491" spans="1:6" x14ac:dyDescent="0.25">
      <c r="A6491" s="86">
        <v>6490</v>
      </c>
      <c r="B6491" s="87">
        <v>37.942504599748645</v>
      </c>
      <c r="C6491" s="14">
        <v>2</v>
      </c>
      <c r="D6491" s="86">
        <v>0.5489132493217741</v>
      </c>
      <c r="E6491" s="86"/>
      <c r="F6491" s="14"/>
    </row>
    <row r="6492" spans="1:6" x14ac:dyDescent="0.25">
      <c r="A6492" s="86">
        <v>6491</v>
      </c>
      <c r="B6492" s="87">
        <v>43.387660747946938</v>
      </c>
      <c r="C6492" s="14">
        <v>2</v>
      </c>
      <c r="D6492" s="86">
        <v>0.97056795041810306</v>
      </c>
      <c r="E6492" s="86"/>
      <c r="F6492" s="14"/>
    </row>
    <row r="6493" spans="1:6" x14ac:dyDescent="0.25">
      <c r="A6493" s="86">
        <v>6492</v>
      </c>
      <c r="B6493" s="87">
        <v>54.233532859478146</v>
      </c>
      <c r="C6493" s="14">
        <v>1</v>
      </c>
      <c r="D6493" s="86">
        <v>0.1047116418408679</v>
      </c>
      <c r="E6493" s="86"/>
      <c r="F6493" s="14"/>
    </row>
    <row r="6494" spans="1:6" x14ac:dyDescent="0.25">
      <c r="A6494" s="86">
        <v>6493</v>
      </c>
      <c r="B6494" s="87">
        <v>48.574418082687771</v>
      </c>
      <c r="C6494" s="14">
        <v>1</v>
      </c>
      <c r="D6494" s="86">
        <v>0.55589458828826765</v>
      </c>
      <c r="E6494" s="86"/>
      <c r="F6494" s="14"/>
    </row>
    <row r="6495" spans="1:6" x14ac:dyDescent="0.25">
      <c r="A6495" s="86">
        <v>6494</v>
      </c>
      <c r="B6495" s="87">
        <v>54.765587260015309</v>
      </c>
      <c r="C6495" s="14">
        <v>4</v>
      </c>
      <c r="D6495" s="86">
        <v>0.26097771377659096</v>
      </c>
      <c r="E6495" s="86"/>
      <c r="F6495" s="14"/>
    </row>
    <row r="6496" spans="1:6" x14ac:dyDescent="0.25">
      <c r="A6496" s="86">
        <v>6495</v>
      </c>
      <c r="B6496" s="87">
        <v>40.283123320812592</v>
      </c>
      <c r="C6496" s="14">
        <v>4</v>
      </c>
      <c r="D6496" s="86">
        <v>3.9564396084580844E-2</v>
      </c>
      <c r="E6496" s="86"/>
      <c r="F6496" s="14"/>
    </row>
    <row r="6497" spans="1:6" x14ac:dyDescent="0.25">
      <c r="A6497" s="86">
        <v>6496</v>
      </c>
      <c r="B6497" s="87">
        <v>54.172323866048828</v>
      </c>
      <c r="C6497" s="14">
        <v>2</v>
      </c>
      <c r="D6497" s="86">
        <v>0.15609749562750108</v>
      </c>
      <c r="E6497" s="86"/>
      <c r="F6497" s="14"/>
    </row>
    <row r="6498" spans="1:6" x14ac:dyDescent="0.25">
      <c r="A6498" s="86">
        <v>6497</v>
      </c>
      <c r="B6498" s="87">
        <v>46.271691184636438</v>
      </c>
      <c r="C6498" s="14">
        <v>2</v>
      </c>
      <c r="D6498" s="86">
        <v>0.43349219882135814</v>
      </c>
      <c r="E6498" s="86"/>
      <c r="F6498" s="14"/>
    </row>
    <row r="6499" spans="1:6" x14ac:dyDescent="0.25">
      <c r="A6499" s="86">
        <v>6498</v>
      </c>
      <c r="B6499" s="87">
        <v>43.368868313671555</v>
      </c>
      <c r="C6499" s="14">
        <v>2</v>
      </c>
      <c r="D6499" s="86">
        <v>0.9295618442232394</v>
      </c>
      <c r="E6499" s="86"/>
      <c r="F6499" s="14"/>
    </row>
    <row r="6500" spans="1:6" x14ac:dyDescent="0.25">
      <c r="A6500" s="86">
        <v>6499</v>
      </c>
      <c r="B6500" s="87">
        <v>47.281821475160541</v>
      </c>
      <c r="C6500" s="14">
        <v>4</v>
      </c>
      <c r="D6500" s="86">
        <v>0.53646228036853094</v>
      </c>
      <c r="E6500" s="86"/>
      <c r="F6500" s="14"/>
    </row>
    <row r="6501" spans="1:6" x14ac:dyDescent="0.25">
      <c r="A6501" s="86">
        <v>6500</v>
      </c>
      <c r="B6501" s="87">
        <v>38.684970599540975</v>
      </c>
      <c r="C6501" s="14">
        <v>2</v>
      </c>
      <c r="D6501" s="86">
        <v>0.58236784743940961</v>
      </c>
      <c r="E6501" s="86"/>
      <c r="F6501" s="14"/>
    </row>
    <row r="6502" spans="1:6" x14ac:dyDescent="0.25">
      <c r="A6502" s="86">
        <v>6501</v>
      </c>
      <c r="B6502" s="87">
        <v>43.620269702267251</v>
      </c>
      <c r="C6502" s="14">
        <v>5</v>
      </c>
      <c r="D6502" s="86">
        <v>0.12424116341586144</v>
      </c>
      <c r="E6502" s="86"/>
      <c r="F6502" s="14"/>
    </row>
    <row r="6503" spans="1:6" x14ac:dyDescent="0.25">
      <c r="A6503" s="86">
        <v>6502</v>
      </c>
      <c r="B6503" s="87">
        <v>49.56091287964955</v>
      </c>
      <c r="C6503" s="14">
        <v>4</v>
      </c>
      <c r="D6503" s="86">
        <v>0.84220145689171921</v>
      </c>
      <c r="E6503" s="86"/>
      <c r="F6503" s="14"/>
    </row>
    <row r="6504" spans="1:6" x14ac:dyDescent="0.25">
      <c r="A6504" s="86">
        <v>6503</v>
      </c>
      <c r="B6504" s="87">
        <v>35.963989825511817</v>
      </c>
      <c r="C6504" s="14">
        <v>4</v>
      </c>
      <c r="D6504" s="86">
        <v>0.27033371031850995</v>
      </c>
      <c r="E6504" s="86"/>
      <c r="F6504" s="14"/>
    </row>
    <row r="6505" spans="1:6" x14ac:dyDescent="0.25">
      <c r="A6505" s="86">
        <v>6504</v>
      </c>
      <c r="B6505" s="87">
        <v>47.353455551608931</v>
      </c>
      <c r="C6505" s="14">
        <v>2</v>
      </c>
      <c r="D6505" s="86">
        <v>0.6032545181097102</v>
      </c>
      <c r="E6505" s="86"/>
      <c r="F6505" s="14"/>
    </row>
    <row r="6506" spans="1:6" x14ac:dyDescent="0.25">
      <c r="A6506" s="86">
        <v>6505</v>
      </c>
      <c r="B6506" s="87">
        <v>42.16788624432229</v>
      </c>
      <c r="C6506" s="14">
        <v>2</v>
      </c>
      <c r="D6506" s="86">
        <v>0.23392797793130904</v>
      </c>
      <c r="E6506" s="86"/>
      <c r="F6506" s="14"/>
    </row>
    <row r="6507" spans="1:6" x14ac:dyDescent="0.25">
      <c r="A6507" s="86">
        <v>6506</v>
      </c>
      <c r="B6507" s="87">
        <v>50.232893040054478</v>
      </c>
      <c r="C6507" s="14">
        <v>4</v>
      </c>
      <c r="D6507" s="86">
        <v>0.32059669283934045</v>
      </c>
      <c r="E6507" s="86"/>
      <c r="F6507" s="14"/>
    </row>
    <row r="6508" spans="1:6" x14ac:dyDescent="0.25">
      <c r="A6508" s="86">
        <v>6507</v>
      </c>
      <c r="B6508" s="87">
        <v>42.168664999160683</v>
      </c>
      <c r="C6508" s="14">
        <v>5</v>
      </c>
      <c r="D6508" s="86">
        <v>4.3765780318715586E-2</v>
      </c>
      <c r="E6508" s="86"/>
      <c r="F6508" s="14"/>
    </row>
    <row r="6509" spans="1:6" x14ac:dyDescent="0.25">
      <c r="A6509" s="86">
        <v>6508</v>
      </c>
      <c r="B6509" s="87">
        <v>38.378175299265422</v>
      </c>
      <c r="C6509" s="14">
        <v>1</v>
      </c>
      <c r="D6509" s="86">
        <v>0.23991864563772525</v>
      </c>
      <c r="E6509" s="86"/>
      <c r="F6509" s="14"/>
    </row>
    <row r="6510" spans="1:6" x14ac:dyDescent="0.25">
      <c r="A6510" s="86">
        <v>6509</v>
      </c>
      <c r="B6510" s="87">
        <v>53.578878573141992</v>
      </c>
      <c r="C6510" s="14">
        <v>5</v>
      </c>
      <c r="D6510" s="86">
        <v>0.13970373737156727</v>
      </c>
      <c r="E6510" s="86"/>
      <c r="F6510" s="14"/>
    </row>
    <row r="6511" spans="1:6" x14ac:dyDescent="0.25">
      <c r="A6511" s="86">
        <v>6510</v>
      </c>
      <c r="B6511" s="87">
        <v>42.252702309604501</v>
      </c>
      <c r="C6511" s="14">
        <v>2</v>
      </c>
      <c r="D6511" s="86">
        <v>0.77220078991130692</v>
      </c>
      <c r="E6511" s="86"/>
      <c r="F6511" s="14"/>
    </row>
    <row r="6512" spans="1:6" x14ac:dyDescent="0.25">
      <c r="A6512" s="86">
        <v>6511</v>
      </c>
      <c r="B6512" s="87">
        <v>28.470640240237117</v>
      </c>
      <c r="C6512" s="14">
        <v>2</v>
      </c>
      <c r="D6512" s="86">
        <v>0.7169049728680712</v>
      </c>
      <c r="E6512" s="86"/>
      <c r="F6512" s="14"/>
    </row>
    <row r="6513" spans="1:6" x14ac:dyDescent="0.25">
      <c r="A6513" s="86">
        <v>6512</v>
      </c>
      <c r="B6513" s="87">
        <v>41.095438513701083</v>
      </c>
      <c r="C6513" s="14">
        <v>1</v>
      </c>
      <c r="D6513" s="86">
        <v>6.9983181304164477E-2</v>
      </c>
      <c r="E6513" s="86"/>
      <c r="F6513" s="14"/>
    </row>
    <row r="6514" spans="1:6" x14ac:dyDescent="0.25">
      <c r="A6514" s="86">
        <v>6513</v>
      </c>
      <c r="B6514" s="87">
        <v>38.597158886084799</v>
      </c>
      <c r="C6514" s="14">
        <v>1</v>
      </c>
      <c r="D6514" s="86">
        <v>0.50618465059620876</v>
      </c>
      <c r="E6514" s="86"/>
      <c r="F6514" s="14"/>
    </row>
    <row r="6515" spans="1:6" x14ac:dyDescent="0.25">
      <c r="A6515" s="86">
        <v>6514</v>
      </c>
      <c r="B6515" s="87">
        <v>43.6538186880789</v>
      </c>
      <c r="C6515" s="14">
        <v>3</v>
      </c>
      <c r="D6515" s="86">
        <v>0.81202188890334936</v>
      </c>
      <c r="E6515" s="86"/>
      <c r="F6515" s="14"/>
    </row>
    <row r="6516" spans="1:6" x14ac:dyDescent="0.25">
      <c r="A6516" s="86">
        <v>6515</v>
      </c>
      <c r="B6516" s="87">
        <v>46.02038074551092</v>
      </c>
      <c r="C6516" s="14">
        <v>2</v>
      </c>
      <c r="D6516" s="86">
        <v>3.6757098337515948E-2</v>
      </c>
      <c r="E6516" s="86"/>
      <c r="F6516" s="14"/>
    </row>
    <row r="6517" spans="1:6" x14ac:dyDescent="0.25">
      <c r="A6517" s="86">
        <v>6516</v>
      </c>
      <c r="B6517" s="87">
        <v>39.491482079363777</v>
      </c>
      <c r="C6517" s="14">
        <v>2</v>
      </c>
      <c r="D6517" s="86">
        <v>0.8925822437059171</v>
      </c>
      <c r="E6517" s="86"/>
      <c r="F6517" s="14"/>
    </row>
    <row r="6518" spans="1:6" x14ac:dyDescent="0.25">
      <c r="A6518" s="86">
        <v>6517</v>
      </c>
      <c r="B6518" s="87">
        <v>44.149294348579133</v>
      </c>
      <c r="C6518" s="14">
        <v>2</v>
      </c>
      <c r="D6518" s="86">
        <v>0.53584425320878548</v>
      </c>
      <c r="E6518" s="86"/>
      <c r="F6518" s="14"/>
    </row>
    <row r="6519" spans="1:6" x14ac:dyDescent="0.25">
      <c r="A6519" s="86">
        <v>6518</v>
      </c>
      <c r="B6519" s="87">
        <v>40.82059489916719</v>
      </c>
      <c r="C6519" s="14">
        <v>1</v>
      </c>
      <c r="D6519" s="86">
        <v>0.96652710135502495</v>
      </c>
      <c r="E6519" s="86"/>
      <c r="F6519" s="14"/>
    </row>
    <row r="6520" spans="1:6" x14ac:dyDescent="0.25">
      <c r="A6520" s="86">
        <v>6519</v>
      </c>
      <c r="B6520" s="87">
        <v>48.051128937338945</v>
      </c>
      <c r="C6520" s="14">
        <v>2</v>
      </c>
      <c r="D6520" s="86">
        <v>0.42632287695633597</v>
      </c>
      <c r="E6520" s="86"/>
      <c r="F6520" s="14"/>
    </row>
    <row r="6521" spans="1:6" x14ac:dyDescent="0.25">
      <c r="A6521" s="86">
        <v>6520</v>
      </c>
      <c r="B6521" s="87">
        <v>40.400311713136034</v>
      </c>
      <c r="C6521" s="14">
        <v>4</v>
      </c>
      <c r="D6521" s="86">
        <v>0.15536607188201834</v>
      </c>
      <c r="E6521" s="86"/>
      <c r="F6521" s="14"/>
    </row>
    <row r="6522" spans="1:6" x14ac:dyDescent="0.25">
      <c r="A6522" s="86">
        <v>6521</v>
      </c>
      <c r="B6522" s="87">
        <v>48.266042535367887</v>
      </c>
      <c r="C6522" s="14">
        <v>2</v>
      </c>
      <c r="D6522" s="86">
        <v>0.95560550502934427</v>
      </c>
      <c r="E6522" s="86"/>
      <c r="F6522" s="14"/>
    </row>
    <row r="6523" spans="1:6" x14ac:dyDescent="0.25">
      <c r="A6523" s="86">
        <v>6522</v>
      </c>
      <c r="B6523" s="87">
        <v>38.63256096735131</v>
      </c>
      <c r="C6523" s="14">
        <v>4</v>
      </c>
      <c r="D6523" s="86">
        <v>0.20566123987906837</v>
      </c>
      <c r="E6523" s="86"/>
      <c r="F6523" s="14"/>
    </row>
    <row r="6524" spans="1:6" x14ac:dyDescent="0.25">
      <c r="A6524" s="86">
        <v>6523</v>
      </c>
      <c r="B6524" s="87">
        <v>41.515238530671922</v>
      </c>
      <c r="C6524" s="14">
        <v>5</v>
      </c>
      <c r="D6524" s="86">
        <v>0.71936795426330147</v>
      </c>
      <c r="E6524" s="86"/>
      <c r="F6524" s="14"/>
    </row>
    <row r="6525" spans="1:6" x14ac:dyDescent="0.25">
      <c r="A6525" s="86">
        <v>6524</v>
      </c>
      <c r="B6525" s="87">
        <v>37.456106833240483</v>
      </c>
      <c r="C6525" s="14">
        <v>4</v>
      </c>
      <c r="D6525" s="86">
        <v>0.82556003793710986</v>
      </c>
      <c r="E6525" s="86"/>
      <c r="F6525" s="14"/>
    </row>
    <row r="6526" spans="1:6" x14ac:dyDescent="0.25">
      <c r="A6526" s="86">
        <v>6525</v>
      </c>
      <c r="B6526" s="87">
        <v>44.078717559721554</v>
      </c>
      <c r="C6526" s="14">
        <v>5</v>
      </c>
      <c r="D6526" s="86">
        <v>0.20821236082485772</v>
      </c>
      <c r="E6526" s="86"/>
      <c r="F6526" s="14"/>
    </row>
    <row r="6527" spans="1:6" x14ac:dyDescent="0.25">
      <c r="A6527" s="86">
        <v>6526</v>
      </c>
      <c r="B6527" s="87">
        <v>43.902394958757213</v>
      </c>
      <c r="C6527" s="14">
        <v>5</v>
      </c>
      <c r="D6527" s="86">
        <v>0.91029475037885244</v>
      </c>
      <c r="E6527" s="86"/>
      <c r="F6527" s="14"/>
    </row>
    <row r="6528" spans="1:6" x14ac:dyDescent="0.25">
      <c r="A6528" s="86">
        <v>6527</v>
      </c>
      <c r="B6528" s="87">
        <v>46.181719421263551</v>
      </c>
      <c r="C6528" s="14">
        <v>5</v>
      </c>
      <c r="D6528" s="86">
        <v>0.73147331277622818</v>
      </c>
      <c r="E6528" s="86"/>
      <c r="F6528" s="14"/>
    </row>
    <row r="6529" spans="1:6" x14ac:dyDescent="0.25">
      <c r="A6529" s="86">
        <v>6528</v>
      </c>
      <c r="B6529" s="87">
        <v>50.071184882079251</v>
      </c>
      <c r="C6529" s="14">
        <v>4</v>
      </c>
      <c r="D6529" s="86">
        <v>0.26736822623528145</v>
      </c>
      <c r="E6529" s="86"/>
      <c r="F6529" s="14"/>
    </row>
    <row r="6530" spans="1:6" x14ac:dyDescent="0.25">
      <c r="A6530" s="86">
        <v>6529</v>
      </c>
      <c r="B6530" s="87">
        <v>45.012353661484667</v>
      </c>
      <c r="C6530" s="14">
        <v>2</v>
      </c>
      <c r="D6530" s="86">
        <v>0.36620014555158054</v>
      </c>
      <c r="E6530" s="86"/>
      <c r="F6530" s="14"/>
    </row>
    <row r="6531" spans="1:6" x14ac:dyDescent="0.25">
      <c r="A6531" s="86">
        <v>6530</v>
      </c>
      <c r="B6531" s="87">
        <v>36.56457465182757</v>
      </c>
      <c r="C6531" s="14">
        <v>2</v>
      </c>
      <c r="D6531" s="86">
        <v>0.25954985038010547</v>
      </c>
      <c r="E6531" s="86"/>
      <c r="F6531" s="14"/>
    </row>
    <row r="6532" spans="1:6" x14ac:dyDescent="0.25">
      <c r="A6532" s="86">
        <v>6531</v>
      </c>
      <c r="B6532" s="87">
        <v>47.421474386617774</v>
      </c>
      <c r="C6532" s="14">
        <v>5</v>
      </c>
      <c r="D6532" s="86">
        <v>0.29356666185035241</v>
      </c>
      <c r="E6532" s="86"/>
      <c r="F6532" s="14"/>
    </row>
    <row r="6533" spans="1:6" x14ac:dyDescent="0.25">
      <c r="A6533" s="86">
        <v>6532</v>
      </c>
      <c r="B6533" s="87">
        <v>36.574192558298819</v>
      </c>
      <c r="C6533" s="14">
        <v>2</v>
      </c>
      <c r="D6533" s="86">
        <v>0.2695093915888036</v>
      </c>
      <c r="E6533" s="86"/>
      <c r="F6533" s="14"/>
    </row>
    <row r="6534" spans="1:6" x14ac:dyDescent="0.25">
      <c r="A6534" s="86">
        <v>6533</v>
      </c>
      <c r="B6534" s="87">
        <v>47.47031425210298</v>
      </c>
      <c r="C6534" s="14">
        <v>5</v>
      </c>
      <c r="D6534" s="86">
        <v>0.44124011934830432</v>
      </c>
      <c r="E6534" s="86"/>
      <c r="F6534" s="14"/>
    </row>
    <row r="6535" spans="1:6" x14ac:dyDescent="0.25">
      <c r="A6535" s="86">
        <v>6534</v>
      </c>
      <c r="B6535" s="87">
        <v>48.647643774864264</v>
      </c>
      <c r="C6535" s="14">
        <v>5</v>
      </c>
      <c r="D6535" s="86">
        <v>0.31550032100554759</v>
      </c>
      <c r="E6535" s="86"/>
      <c r="F6535" s="14"/>
    </row>
    <row r="6536" spans="1:6" x14ac:dyDescent="0.25">
      <c r="A6536" s="86">
        <v>6535</v>
      </c>
      <c r="B6536" s="87">
        <v>47.083176463609561</v>
      </c>
      <c r="C6536" s="14">
        <v>1</v>
      </c>
      <c r="D6536" s="86">
        <v>7.8762435460374425E-2</v>
      </c>
      <c r="E6536" s="86"/>
      <c r="F6536" s="14"/>
    </row>
    <row r="6537" spans="1:6" x14ac:dyDescent="0.25">
      <c r="A6537" s="86">
        <v>6536</v>
      </c>
      <c r="B6537" s="87">
        <v>38.192627011419972</v>
      </c>
      <c r="C6537" s="14">
        <v>4</v>
      </c>
      <c r="D6537" s="86">
        <v>0.8030653221478522</v>
      </c>
      <c r="E6537" s="86"/>
      <c r="F6537" s="14"/>
    </row>
    <row r="6538" spans="1:6" x14ac:dyDescent="0.25">
      <c r="A6538" s="86">
        <v>6537</v>
      </c>
      <c r="B6538" s="87">
        <v>48.628862709272653</v>
      </c>
      <c r="C6538" s="14">
        <v>5</v>
      </c>
      <c r="D6538" s="86">
        <v>0.765284196754907</v>
      </c>
      <c r="E6538" s="86"/>
      <c r="F6538" s="14"/>
    </row>
    <row r="6539" spans="1:6" x14ac:dyDescent="0.25">
      <c r="A6539" s="86">
        <v>6538</v>
      </c>
      <c r="B6539" s="87">
        <v>32.961679602856748</v>
      </c>
      <c r="C6539" s="14">
        <v>5</v>
      </c>
      <c r="D6539" s="86">
        <v>0.41654700275068557</v>
      </c>
      <c r="E6539" s="86"/>
      <c r="F6539" s="14"/>
    </row>
    <row r="6540" spans="1:6" x14ac:dyDescent="0.25">
      <c r="A6540" s="86">
        <v>6539</v>
      </c>
      <c r="B6540" s="87">
        <v>35.726566233613994</v>
      </c>
      <c r="C6540" s="14">
        <v>4</v>
      </c>
      <c r="D6540" s="86">
        <v>1.3678742026519641E-2</v>
      </c>
      <c r="E6540" s="86"/>
      <c r="F6540" s="14"/>
    </row>
    <row r="6541" spans="1:6" x14ac:dyDescent="0.25">
      <c r="A6541" s="86">
        <v>6540</v>
      </c>
      <c r="B6541" s="87">
        <v>35.003290572029073</v>
      </c>
      <c r="C6541" s="14">
        <v>5</v>
      </c>
      <c r="D6541" s="86">
        <v>0.80407702015243998</v>
      </c>
      <c r="E6541" s="86"/>
      <c r="F6541" s="14"/>
    </row>
    <row r="6542" spans="1:6" x14ac:dyDescent="0.25">
      <c r="A6542" s="86">
        <v>6541</v>
      </c>
      <c r="B6542" s="87">
        <v>39.385997746983776</v>
      </c>
      <c r="C6542" s="14">
        <v>5</v>
      </c>
      <c r="D6542" s="86">
        <v>0.92821038950255952</v>
      </c>
      <c r="E6542" s="86"/>
      <c r="F6542" s="14"/>
    </row>
    <row r="6543" spans="1:6" x14ac:dyDescent="0.25">
      <c r="A6543" s="86">
        <v>6542</v>
      </c>
      <c r="B6543" s="87">
        <v>39.407314029056579</v>
      </c>
      <c r="C6543" s="14">
        <v>2</v>
      </c>
      <c r="D6543" s="86">
        <v>7.9500444054479535E-2</v>
      </c>
      <c r="E6543" s="86"/>
      <c r="F6543" s="14"/>
    </row>
    <row r="6544" spans="1:6" x14ac:dyDescent="0.25">
      <c r="A6544" s="86">
        <v>6543</v>
      </c>
      <c r="B6544" s="87">
        <v>41.071973550395342</v>
      </c>
      <c r="C6544" s="14">
        <v>5</v>
      </c>
      <c r="D6544" s="86">
        <v>0.39883655335100798</v>
      </c>
      <c r="E6544" s="86"/>
      <c r="F6544" s="14"/>
    </row>
    <row r="6545" spans="1:6" x14ac:dyDescent="0.25">
      <c r="A6545" s="86">
        <v>6544</v>
      </c>
      <c r="B6545" s="87">
        <v>50.41172243579058</v>
      </c>
      <c r="C6545" s="14">
        <v>2</v>
      </c>
      <c r="D6545" s="86">
        <v>7.3472632818052164E-2</v>
      </c>
      <c r="E6545" s="86"/>
      <c r="F6545" s="14"/>
    </row>
    <row r="6546" spans="1:6" x14ac:dyDescent="0.25">
      <c r="A6546" s="86">
        <v>6545</v>
      </c>
      <c r="B6546" s="87">
        <v>36.516121321590617</v>
      </c>
      <c r="C6546" s="14">
        <v>2</v>
      </c>
      <c r="D6546" s="86">
        <v>8.9777047217040051E-2</v>
      </c>
      <c r="E6546" s="86"/>
      <c r="F6546" s="14"/>
    </row>
    <row r="6547" spans="1:6" x14ac:dyDescent="0.25">
      <c r="A6547" s="86">
        <v>6546</v>
      </c>
      <c r="B6547" s="87">
        <v>40.988891209388385</v>
      </c>
      <c r="C6547" s="14">
        <v>2</v>
      </c>
      <c r="D6547" s="86">
        <v>0.72153942488780909</v>
      </c>
      <c r="E6547" s="86"/>
      <c r="F6547" s="14"/>
    </row>
    <row r="6548" spans="1:6" x14ac:dyDescent="0.25">
      <c r="A6548" s="86">
        <v>6547</v>
      </c>
      <c r="B6548" s="87">
        <v>42.301405750884442</v>
      </c>
      <c r="C6548" s="14">
        <v>2</v>
      </c>
      <c r="D6548" s="86">
        <v>0.69546679987868709</v>
      </c>
      <c r="E6548" s="86"/>
      <c r="F6548" s="14"/>
    </row>
    <row r="6549" spans="1:6" x14ac:dyDescent="0.25">
      <c r="A6549" s="86">
        <v>6548</v>
      </c>
      <c r="B6549" s="87">
        <v>49.124832907516975</v>
      </c>
      <c r="C6549" s="14">
        <v>2</v>
      </c>
      <c r="D6549" s="86">
        <v>0.64415674396057843</v>
      </c>
      <c r="E6549" s="86"/>
      <c r="F6549" s="14"/>
    </row>
    <row r="6550" spans="1:6" x14ac:dyDescent="0.25">
      <c r="A6550" s="86">
        <v>6549</v>
      </c>
      <c r="B6550" s="87">
        <v>31.503259373828769</v>
      </c>
      <c r="C6550" s="14">
        <v>4</v>
      </c>
      <c r="D6550" s="86">
        <v>0.91378242635117024</v>
      </c>
      <c r="E6550" s="86"/>
      <c r="F6550" s="14"/>
    </row>
    <row r="6551" spans="1:6" x14ac:dyDescent="0.25">
      <c r="A6551" s="86">
        <v>6550</v>
      </c>
      <c r="B6551" s="87">
        <v>45.351487182750134</v>
      </c>
      <c r="C6551" s="14">
        <v>5</v>
      </c>
      <c r="D6551" s="86">
        <v>0.41375000890391012</v>
      </c>
      <c r="E6551" s="86"/>
      <c r="F6551" s="14"/>
    </row>
    <row r="6552" spans="1:6" x14ac:dyDescent="0.25">
      <c r="A6552" s="86">
        <v>6551</v>
      </c>
      <c r="B6552" s="87">
        <v>48.379968115448719</v>
      </c>
      <c r="C6552" s="14">
        <v>4</v>
      </c>
      <c r="D6552" s="86">
        <v>0.44437801041415992</v>
      </c>
      <c r="E6552" s="86"/>
      <c r="F6552" s="14"/>
    </row>
    <row r="6553" spans="1:6" x14ac:dyDescent="0.25">
      <c r="A6553" s="86">
        <v>6552</v>
      </c>
      <c r="B6553" s="87">
        <v>41.647047050326364</v>
      </c>
      <c r="C6553" s="14">
        <v>4</v>
      </c>
      <c r="D6553" s="86">
        <v>0.81161870446077888</v>
      </c>
      <c r="E6553" s="86"/>
      <c r="F6553" s="14"/>
    </row>
    <row r="6554" spans="1:6" x14ac:dyDescent="0.25">
      <c r="A6554" s="86">
        <v>6553</v>
      </c>
      <c r="B6554" s="87">
        <v>38.453879364504246</v>
      </c>
      <c r="C6554" s="14">
        <v>2</v>
      </c>
      <c r="D6554" s="86">
        <v>0.69938065333348676</v>
      </c>
      <c r="E6554" s="86"/>
      <c r="F6554" s="14"/>
    </row>
    <row r="6555" spans="1:6" x14ac:dyDescent="0.25">
      <c r="A6555" s="86">
        <v>6554</v>
      </c>
      <c r="B6555" s="87">
        <v>41.092147279749042</v>
      </c>
      <c r="C6555" s="14">
        <v>2</v>
      </c>
      <c r="D6555" s="86">
        <v>0.64526180973057445</v>
      </c>
      <c r="E6555" s="86"/>
      <c r="F6555" s="14"/>
    </row>
    <row r="6556" spans="1:6" x14ac:dyDescent="0.25">
      <c r="A6556" s="86">
        <v>6555</v>
      </c>
      <c r="B6556" s="87">
        <v>44.435665808457998</v>
      </c>
      <c r="C6556" s="14">
        <v>2</v>
      </c>
      <c r="D6556" s="86">
        <v>2.8137671049719426E-2</v>
      </c>
      <c r="E6556" s="86"/>
      <c r="F6556" s="14"/>
    </row>
    <row r="6557" spans="1:6" x14ac:dyDescent="0.25">
      <c r="A6557" s="86">
        <v>6556</v>
      </c>
      <c r="B6557" s="87">
        <v>49.181926437420771</v>
      </c>
      <c r="C6557" s="14">
        <v>2</v>
      </c>
      <c r="D6557" s="86">
        <v>0.99884900117955133</v>
      </c>
      <c r="E6557" s="86"/>
      <c r="F6557" s="14"/>
    </row>
    <row r="6558" spans="1:6" x14ac:dyDescent="0.25">
      <c r="A6558" s="86">
        <v>6557</v>
      </c>
      <c r="B6558" s="87">
        <v>39.388476120046107</v>
      </c>
      <c r="C6558" s="14">
        <v>1</v>
      </c>
      <c r="D6558" s="86">
        <v>0.76482687123696314</v>
      </c>
      <c r="E6558" s="86"/>
      <c r="F6558" s="14"/>
    </row>
    <row r="6559" spans="1:6" x14ac:dyDescent="0.25">
      <c r="A6559" s="86">
        <v>6558</v>
      </c>
      <c r="B6559" s="87">
        <v>34.982599567563739</v>
      </c>
      <c r="C6559" s="14">
        <v>2</v>
      </c>
      <c r="D6559" s="86">
        <v>0.83790199017437672</v>
      </c>
      <c r="E6559" s="86"/>
      <c r="F6559" s="14"/>
    </row>
    <row r="6560" spans="1:6" x14ac:dyDescent="0.25">
      <c r="A6560" s="86">
        <v>6559</v>
      </c>
      <c r="B6560" s="87">
        <v>41.532814515783684</v>
      </c>
      <c r="C6560" s="14">
        <v>5</v>
      </c>
      <c r="D6560" s="86">
        <v>0.45285024455624856</v>
      </c>
      <c r="E6560" s="86"/>
      <c r="F6560" s="14"/>
    </row>
    <row r="6561" spans="1:6" x14ac:dyDescent="0.25">
      <c r="A6561" s="86">
        <v>6560</v>
      </c>
      <c r="B6561" s="87">
        <v>43.287599277726258</v>
      </c>
      <c r="C6561" s="14">
        <v>2</v>
      </c>
      <c r="D6561" s="86">
        <v>0.25551690047826525</v>
      </c>
      <c r="E6561" s="86"/>
      <c r="F6561" s="14"/>
    </row>
    <row r="6562" spans="1:6" x14ac:dyDescent="0.25">
      <c r="A6562" s="86">
        <v>6561</v>
      </c>
      <c r="B6562" s="87">
        <v>46.223510702810017</v>
      </c>
      <c r="C6562" s="14">
        <v>4</v>
      </c>
      <c r="D6562" s="86">
        <v>0.34662450872544903</v>
      </c>
      <c r="E6562" s="86"/>
      <c r="F6562" s="14"/>
    </row>
    <row r="6563" spans="1:6" x14ac:dyDescent="0.25">
      <c r="A6563" s="86">
        <v>6562</v>
      </c>
      <c r="B6563" s="87">
        <v>44.702085228316719</v>
      </c>
      <c r="C6563" s="14">
        <v>1</v>
      </c>
      <c r="D6563" s="86">
        <v>0.56929892918749825</v>
      </c>
      <c r="E6563" s="86"/>
      <c r="F6563" s="14"/>
    </row>
    <row r="6564" spans="1:6" x14ac:dyDescent="0.25">
      <c r="A6564" s="86">
        <v>6563</v>
      </c>
      <c r="B6564" s="87">
        <v>42.878548351261998</v>
      </c>
      <c r="C6564" s="14">
        <v>5</v>
      </c>
      <c r="D6564" s="86">
        <v>6.6962369222712148E-2</v>
      </c>
      <c r="E6564" s="86"/>
      <c r="F6564" s="14"/>
    </row>
    <row r="6565" spans="1:6" x14ac:dyDescent="0.25">
      <c r="A6565" s="86">
        <v>6564</v>
      </c>
      <c r="B6565" s="87">
        <v>40.357303982425947</v>
      </c>
      <c r="C6565" s="14">
        <v>4</v>
      </c>
      <c r="D6565" s="86">
        <v>0.55846434181100046</v>
      </c>
      <c r="E6565" s="86"/>
      <c r="F6565" s="14"/>
    </row>
    <row r="6566" spans="1:6" x14ac:dyDescent="0.25">
      <c r="A6566" s="86">
        <v>6565</v>
      </c>
      <c r="B6566" s="87">
        <v>40.053203060204396</v>
      </c>
      <c r="C6566" s="14">
        <v>3</v>
      </c>
      <c r="D6566" s="86">
        <v>0.92224817699514416</v>
      </c>
      <c r="E6566" s="86"/>
      <c r="F6566" s="14"/>
    </row>
    <row r="6567" spans="1:6" x14ac:dyDescent="0.25">
      <c r="A6567" s="86">
        <v>6566</v>
      </c>
      <c r="B6567" s="87">
        <v>26.326415531337261</v>
      </c>
      <c r="C6567" s="14">
        <v>2</v>
      </c>
      <c r="D6567" s="86">
        <v>7.0709931401816584E-2</v>
      </c>
      <c r="E6567" s="86"/>
      <c r="F6567" s="14"/>
    </row>
    <row r="6568" spans="1:6" x14ac:dyDescent="0.25">
      <c r="A6568" s="86">
        <v>6567</v>
      </c>
      <c r="B6568" s="87">
        <v>46.121067493339069</v>
      </c>
      <c r="C6568" s="14">
        <v>2</v>
      </c>
      <c r="D6568" s="86">
        <v>0.17597992117091499</v>
      </c>
      <c r="E6568" s="86"/>
      <c r="F6568" s="14"/>
    </row>
    <row r="6569" spans="1:6" x14ac:dyDescent="0.25">
      <c r="A6569" s="86">
        <v>6568</v>
      </c>
      <c r="B6569" s="87">
        <v>45.386150299571455</v>
      </c>
      <c r="C6569" s="14">
        <v>5</v>
      </c>
      <c r="D6569" s="86">
        <v>0.75930034779361932</v>
      </c>
      <c r="E6569" s="86"/>
      <c r="F6569" s="14"/>
    </row>
    <row r="6570" spans="1:6" x14ac:dyDescent="0.25">
      <c r="A6570" s="86">
        <v>6569</v>
      </c>
      <c r="B6570" s="87">
        <v>40.756060565734515</v>
      </c>
      <c r="C6570" s="14">
        <v>2</v>
      </c>
      <c r="D6570" s="86">
        <v>0.41137197072470533</v>
      </c>
      <c r="E6570" s="86"/>
      <c r="F6570" s="14"/>
    </row>
    <row r="6571" spans="1:6" x14ac:dyDescent="0.25">
      <c r="A6571" s="86">
        <v>6570</v>
      </c>
      <c r="B6571" s="87">
        <v>44.224441348313121</v>
      </c>
      <c r="C6571" s="14">
        <v>1</v>
      </c>
      <c r="D6571" s="86">
        <v>3.2255089497074674E-2</v>
      </c>
      <c r="E6571" s="86"/>
      <c r="F6571" s="14"/>
    </row>
    <row r="6572" spans="1:6" x14ac:dyDescent="0.25">
      <c r="A6572" s="86">
        <v>6571</v>
      </c>
      <c r="B6572" s="87">
        <v>44.990804321394535</v>
      </c>
      <c r="C6572" s="14">
        <v>5</v>
      </c>
      <c r="D6572" s="86">
        <v>0.54863611195495754</v>
      </c>
      <c r="E6572" s="86"/>
      <c r="F6572" s="14"/>
    </row>
    <row r="6573" spans="1:6" x14ac:dyDescent="0.25">
      <c r="A6573" s="86">
        <v>6572</v>
      </c>
      <c r="B6573" s="87">
        <v>52.584982763044536</v>
      </c>
      <c r="C6573" s="14">
        <v>5</v>
      </c>
      <c r="D6573" s="86">
        <v>0.75757934449663444</v>
      </c>
      <c r="E6573" s="86"/>
      <c r="F6573" s="14"/>
    </row>
    <row r="6574" spans="1:6" x14ac:dyDescent="0.25">
      <c r="A6574" s="86">
        <v>6573</v>
      </c>
      <c r="B6574" s="87">
        <v>46.511456725391326</v>
      </c>
      <c r="C6574" s="14">
        <v>2</v>
      </c>
      <c r="D6574" s="86">
        <v>0.17753546567702261</v>
      </c>
      <c r="E6574" s="86"/>
      <c r="F6574" s="14"/>
    </row>
    <row r="6575" spans="1:6" x14ac:dyDescent="0.25">
      <c r="A6575" s="86">
        <v>6574</v>
      </c>
      <c r="B6575" s="87">
        <v>34.177242009143811</v>
      </c>
      <c r="C6575" s="14">
        <v>4</v>
      </c>
      <c r="D6575" s="86">
        <v>0.4397876465216517</v>
      </c>
      <c r="E6575" s="86"/>
      <c r="F6575" s="14"/>
    </row>
    <row r="6576" spans="1:6" x14ac:dyDescent="0.25">
      <c r="A6576" s="86">
        <v>6575</v>
      </c>
      <c r="B6576" s="87">
        <v>38.972092392548802</v>
      </c>
      <c r="C6576" s="14">
        <v>1</v>
      </c>
      <c r="D6576" s="86">
        <v>0.78360937274670683</v>
      </c>
      <c r="E6576" s="86"/>
      <c r="F6576" s="14"/>
    </row>
    <row r="6577" spans="1:6" x14ac:dyDescent="0.25">
      <c r="A6577" s="86">
        <v>6576</v>
      </c>
      <c r="B6577" s="87">
        <v>41.386817878781585</v>
      </c>
      <c r="C6577" s="14">
        <v>5</v>
      </c>
      <c r="D6577" s="86">
        <v>0.2606500629902615</v>
      </c>
      <c r="E6577" s="86"/>
      <c r="F6577" s="14"/>
    </row>
    <row r="6578" spans="1:6" x14ac:dyDescent="0.25">
      <c r="A6578" s="86">
        <v>6577</v>
      </c>
      <c r="B6578" s="87">
        <v>39.036831362289377</v>
      </c>
      <c r="C6578" s="14">
        <v>2</v>
      </c>
      <c r="D6578" s="86">
        <v>2.1928706354385485E-2</v>
      </c>
      <c r="E6578" s="86"/>
      <c r="F6578" s="14"/>
    </row>
    <row r="6579" spans="1:6" x14ac:dyDescent="0.25">
      <c r="A6579" s="86">
        <v>6578</v>
      </c>
      <c r="B6579" s="87">
        <v>36.954577348631574</v>
      </c>
      <c r="C6579" s="14">
        <v>2</v>
      </c>
      <c r="D6579" s="86">
        <v>0.21470313710547473</v>
      </c>
      <c r="E6579" s="86"/>
      <c r="F6579" s="14"/>
    </row>
    <row r="6580" spans="1:6" x14ac:dyDescent="0.25">
      <c r="A6580" s="86">
        <v>6579</v>
      </c>
      <c r="B6580" s="87">
        <v>41.962357494747266</v>
      </c>
      <c r="C6580" s="14">
        <v>2</v>
      </c>
      <c r="D6580" s="86">
        <v>0.51295167944148456</v>
      </c>
      <c r="E6580" s="86"/>
      <c r="F6580" s="14"/>
    </row>
    <row r="6581" spans="1:6" x14ac:dyDescent="0.25">
      <c r="A6581" s="86">
        <v>6580</v>
      </c>
      <c r="B6581" s="87">
        <v>38.820496678788913</v>
      </c>
      <c r="C6581" s="14">
        <v>5</v>
      </c>
      <c r="D6581" s="86">
        <v>0.92435585285716915</v>
      </c>
      <c r="E6581" s="86"/>
      <c r="F6581" s="14"/>
    </row>
    <row r="6582" spans="1:6" x14ac:dyDescent="0.25">
      <c r="A6582" s="86">
        <v>6581</v>
      </c>
      <c r="B6582" s="87">
        <v>37.705899553082418</v>
      </c>
      <c r="C6582" s="14">
        <v>4</v>
      </c>
      <c r="D6582" s="86">
        <v>0.23078021618589772</v>
      </c>
      <c r="E6582" s="86"/>
      <c r="F6582" s="14"/>
    </row>
    <row r="6583" spans="1:6" x14ac:dyDescent="0.25">
      <c r="A6583" s="86">
        <v>6582</v>
      </c>
      <c r="B6583" s="87">
        <v>46.735772224899847</v>
      </c>
      <c r="C6583" s="14">
        <v>5</v>
      </c>
      <c r="D6583" s="86">
        <v>0.50645178570134097</v>
      </c>
      <c r="E6583" s="86"/>
      <c r="F6583" s="14"/>
    </row>
    <row r="6584" spans="1:6" x14ac:dyDescent="0.25">
      <c r="A6584" s="86">
        <v>6583</v>
      </c>
      <c r="B6584" s="87">
        <v>55.435521057341248</v>
      </c>
      <c r="C6584" s="14">
        <v>4</v>
      </c>
      <c r="D6584" s="86">
        <v>0.38655308950900613</v>
      </c>
      <c r="E6584" s="86"/>
      <c r="F6584" s="14"/>
    </row>
    <row r="6585" spans="1:6" x14ac:dyDescent="0.25">
      <c r="A6585" s="86">
        <v>6584</v>
      </c>
      <c r="B6585" s="87">
        <v>36.299957168346737</v>
      </c>
      <c r="C6585" s="14">
        <v>2</v>
      </c>
      <c r="D6585" s="86">
        <v>0.88362410704636629</v>
      </c>
      <c r="E6585" s="86"/>
      <c r="F6585" s="14"/>
    </row>
    <row r="6586" spans="1:6" x14ac:dyDescent="0.25">
      <c r="A6586" s="86">
        <v>6585</v>
      </c>
      <c r="B6586" s="87">
        <v>47.314472334954189</v>
      </c>
      <c r="C6586" s="14">
        <v>5</v>
      </c>
      <c r="D6586" s="86">
        <v>0.51808041329015642</v>
      </c>
      <c r="E6586" s="86"/>
      <c r="F6586" s="14"/>
    </row>
    <row r="6587" spans="1:6" x14ac:dyDescent="0.25">
      <c r="A6587" s="86">
        <v>6586</v>
      </c>
      <c r="B6587" s="87">
        <v>40.204309920562082</v>
      </c>
      <c r="C6587" s="14">
        <v>4</v>
      </c>
      <c r="D6587" s="86">
        <v>0.6806122595645544</v>
      </c>
      <c r="E6587" s="86"/>
      <c r="F6587" s="14"/>
    </row>
    <row r="6588" spans="1:6" x14ac:dyDescent="0.25">
      <c r="A6588" s="86">
        <v>6587</v>
      </c>
      <c r="B6588" s="87">
        <v>43.191869276022771</v>
      </c>
      <c r="C6588" s="14">
        <v>2</v>
      </c>
      <c r="D6588" s="86">
        <v>0.40217824573887706</v>
      </c>
      <c r="E6588" s="86"/>
      <c r="F6588" s="14"/>
    </row>
    <row r="6589" spans="1:6" x14ac:dyDescent="0.25">
      <c r="A6589" s="86">
        <v>6588</v>
      </c>
      <c r="B6589" s="87">
        <v>44.610362687642919</v>
      </c>
      <c r="C6589" s="14">
        <v>3</v>
      </c>
      <c r="D6589" s="86">
        <v>0.78594475860447666</v>
      </c>
      <c r="E6589" s="86"/>
      <c r="F6589" s="14"/>
    </row>
    <row r="6590" spans="1:6" x14ac:dyDescent="0.25">
      <c r="A6590" s="86">
        <v>6589</v>
      </c>
      <c r="B6590" s="87">
        <v>52.63591446634382</v>
      </c>
      <c r="C6590" s="14">
        <v>2</v>
      </c>
      <c r="D6590" s="86">
        <v>0.52550367692656397</v>
      </c>
      <c r="E6590" s="86"/>
      <c r="F6590" s="14"/>
    </row>
    <row r="6591" spans="1:6" x14ac:dyDescent="0.25">
      <c r="A6591" s="86">
        <v>6590</v>
      </c>
      <c r="B6591" s="87">
        <v>39.131953139411053</v>
      </c>
      <c r="C6591" s="14">
        <v>1</v>
      </c>
      <c r="D6591" s="86">
        <v>0.14964498722768282</v>
      </c>
      <c r="E6591" s="86"/>
      <c r="F6591" s="14"/>
    </row>
    <row r="6592" spans="1:6" x14ac:dyDescent="0.25">
      <c r="A6592" s="86">
        <v>6591</v>
      </c>
      <c r="B6592" s="87">
        <v>37.655377122398932</v>
      </c>
      <c r="C6592" s="14">
        <v>2</v>
      </c>
      <c r="D6592" s="86">
        <v>0.34168981515187424</v>
      </c>
      <c r="E6592" s="86"/>
      <c r="F6592" s="14"/>
    </row>
    <row r="6593" spans="1:6" x14ac:dyDescent="0.25">
      <c r="A6593" s="86">
        <v>6592</v>
      </c>
      <c r="B6593" s="87">
        <v>40.614702351711458</v>
      </c>
      <c r="C6593" s="14">
        <v>5</v>
      </c>
      <c r="D6593" s="86">
        <v>0.72545012444568302</v>
      </c>
      <c r="E6593" s="86"/>
      <c r="F6593" s="14"/>
    </row>
    <row r="6594" spans="1:6" x14ac:dyDescent="0.25">
      <c r="A6594" s="86">
        <v>6593</v>
      </c>
      <c r="B6594" s="87">
        <v>45.226192918897141</v>
      </c>
      <c r="C6594" s="14">
        <v>2</v>
      </c>
      <c r="D6594" s="86">
        <v>0.7427339069245521</v>
      </c>
      <c r="E6594" s="86"/>
      <c r="F6594" s="14"/>
    </row>
    <row r="6595" spans="1:6" x14ac:dyDescent="0.25">
      <c r="A6595" s="86">
        <v>6594</v>
      </c>
      <c r="B6595" s="87">
        <v>41.125019828876248</v>
      </c>
      <c r="C6595" s="14">
        <v>2</v>
      </c>
      <c r="D6595" s="86">
        <v>0.1145223859907355</v>
      </c>
      <c r="E6595" s="86"/>
      <c r="F6595" s="14"/>
    </row>
    <row r="6596" spans="1:6" x14ac:dyDescent="0.25">
      <c r="A6596" s="86">
        <v>6595</v>
      </c>
      <c r="B6596" s="87">
        <v>42.041955334178056</v>
      </c>
      <c r="C6596" s="14">
        <v>1</v>
      </c>
      <c r="D6596" s="86">
        <v>0.26271471017140269</v>
      </c>
      <c r="E6596" s="86"/>
      <c r="F6596" s="14"/>
    </row>
    <row r="6597" spans="1:6" x14ac:dyDescent="0.25">
      <c r="A6597" s="86">
        <v>6596</v>
      </c>
      <c r="B6597" s="87">
        <v>40.217270220062346</v>
      </c>
      <c r="C6597" s="14">
        <v>5</v>
      </c>
      <c r="D6597" s="86">
        <v>0.1786101917780305</v>
      </c>
      <c r="E6597" s="86"/>
      <c r="F6597" s="14"/>
    </row>
    <row r="6598" spans="1:6" x14ac:dyDescent="0.25">
      <c r="A6598" s="86">
        <v>6597</v>
      </c>
      <c r="B6598" s="87">
        <v>45.590502390376059</v>
      </c>
      <c r="C6598" s="14">
        <v>2</v>
      </c>
      <c r="D6598" s="86">
        <v>0.31094823257209536</v>
      </c>
      <c r="E6598" s="86"/>
      <c r="F6598" s="14"/>
    </row>
    <row r="6599" spans="1:6" x14ac:dyDescent="0.25">
      <c r="A6599" s="86">
        <v>6598</v>
      </c>
      <c r="B6599" s="87">
        <v>39.942352709083934</v>
      </c>
      <c r="C6599" s="14">
        <v>4</v>
      </c>
      <c r="D6599" s="86">
        <v>0.69292279377875976</v>
      </c>
      <c r="E6599" s="86"/>
      <c r="F6599" s="14"/>
    </row>
    <row r="6600" spans="1:6" x14ac:dyDescent="0.25">
      <c r="A6600" s="86">
        <v>6599</v>
      </c>
      <c r="B6600" s="87">
        <v>39.21703636876191</v>
      </c>
      <c r="C6600" s="14">
        <v>2</v>
      </c>
      <c r="D6600" s="86">
        <v>0.43344117793978365</v>
      </c>
      <c r="E6600" s="86"/>
      <c r="F6600" s="14"/>
    </row>
    <row r="6601" spans="1:6" x14ac:dyDescent="0.25">
      <c r="A6601" s="86">
        <v>6600</v>
      </c>
      <c r="B6601" s="87">
        <v>44.741858568493626</v>
      </c>
      <c r="C6601" s="14">
        <v>4</v>
      </c>
      <c r="D6601" s="86">
        <v>0.60471649909782599</v>
      </c>
      <c r="E6601" s="86"/>
      <c r="F6601" s="14"/>
    </row>
    <row r="6602" spans="1:6" x14ac:dyDescent="0.25">
      <c r="A6602" s="86">
        <v>6601</v>
      </c>
      <c r="B6602" s="87">
        <v>38.921086792804999</v>
      </c>
      <c r="C6602" s="14">
        <v>2</v>
      </c>
      <c r="D6602" s="86">
        <v>0.82637738271684436</v>
      </c>
      <c r="E6602" s="86"/>
      <c r="F6602" s="14"/>
    </row>
    <row r="6603" spans="1:6" x14ac:dyDescent="0.25">
      <c r="A6603" s="86">
        <v>6602</v>
      </c>
      <c r="B6603" s="87">
        <v>45.498200046829879</v>
      </c>
      <c r="C6603" s="14">
        <v>2</v>
      </c>
      <c r="D6603" s="86">
        <v>0.92389295516395953</v>
      </c>
      <c r="E6603" s="86"/>
      <c r="F6603" s="14"/>
    </row>
    <row r="6604" spans="1:6" x14ac:dyDescent="0.25">
      <c r="A6604" s="86">
        <v>6603</v>
      </c>
      <c r="B6604" s="87">
        <v>40.419115516095189</v>
      </c>
      <c r="C6604" s="14">
        <v>4</v>
      </c>
      <c r="D6604" s="86">
        <v>0.32568161917949401</v>
      </c>
      <c r="E6604" s="86"/>
      <c r="F6604" s="14"/>
    </row>
    <row r="6605" spans="1:6" x14ac:dyDescent="0.25">
      <c r="A6605" s="86">
        <v>6604</v>
      </c>
      <c r="B6605" s="87">
        <v>47.394394181872485</v>
      </c>
      <c r="C6605" s="14">
        <v>5</v>
      </c>
      <c r="D6605" s="86">
        <v>0.91270679920568454</v>
      </c>
      <c r="E6605" s="86"/>
      <c r="F6605" s="14"/>
    </row>
    <row r="6606" spans="1:6" x14ac:dyDescent="0.25">
      <c r="A6606" s="86">
        <v>6605</v>
      </c>
      <c r="B6606" s="87">
        <v>38.108760231232736</v>
      </c>
      <c r="C6606" s="14">
        <v>5</v>
      </c>
      <c r="D6606" s="86">
        <v>0.18031023681818192</v>
      </c>
      <c r="E6606" s="86"/>
      <c r="F6606" s="14"/>
    </row>
    <row r="6607" spans="1:6" x14ac:dyDescent="0.25">
      <c r="A6607" s="86">
        <v>6606</v>
      </c>
      <c r="B6607" s="87">
        <v>39.928511336591328</v>
      </c>
      <c r="C6607" s="14">
        <v>1</v>
      </c>
      <c r="D6607" s="86">
        <v>0.93590413850740672</v>
      </c>
      <c r="E6607" s="86"/>
      <c r="F6607" s="14"/>
    </row>
    <row r="6608" spans="1:6" x14ac:dyDescent="0.25">
      <c r="A6608" s="86">
        <v>6607</v>
      </c>
      <c r="B6608" s="87">
        <v>43.87558191808057</v>
      </c>
      <c r="C6608" s="14">
        <v>1</v>
      </c>
      <c r="D6608" s="86">
        <v>8.3822246008667278E-2</v>
      </c>
      <c r="E6608" s="86"/>
      <c r="F6608" s="14"/>
    </row>
    <row r="6609" spans="1:6" x14ac:dyDescent="0.25">
      <c r="A6609" s="86">
        <v>6608</v>
      </c>
      <c r="B6609" s="87">
        <v>52.392806532559916</v>
      </c>
      <c r="C6609" s="14">
        <v>1</v>
      </c>
      <c r="D6609" s="86">
        <v>0.42483436950600684</v>
      </c>
      <c r="E6609" s="86"/>
      <c r="F6609" s="14"/>
    </row>
    <row r="6610" spans="1:6" x14ac:dyDescent="0.25">
      <c r="A6610" s="86">
        <v>6609</v>
      </c>
      <c r="B6610" s="87">
        <v>49.971731636440381</v>
      </c>
      <c r="C6610" s="14">
        <v>4</v>
      </c>
      <c r="D6610" s="86">
        <v>0.61542055766923764</v>
      </c>
      <c r="E6610" s="86"/>
      <c r="F6610" s="14"/>
    </row>
    <row r="6611" spans="1:6" x14ac:dyDescent="0.25">
      <c r="A6611" s="86">
        <v>6610</v>
      </c>
      <c r="B6611" s="87">
        <v>52.658060662331991</v>
      </c>
      <c r="C6611" s="14">
        <v>5</v>
      </c>
      <c r="D6611" s="86">
        <v>3.6037319916283339E-3</v>
      </c>
      <c r="E6611" s="86"/>
      <c r="F6611" s="14"/>
    </row>
    <row r="6612" spans="1:6" x14ac:dyDescent="0.25">
      <c r="A6612" s="86">
        <v>6611</v>
      </c>
      <c r="B6612" s="87">
        <v>43.748843831388513</v>
      </c>
      <c r="C6612" s="14">
        <v>5</v>
      </c>
      <c r="D6612" s="86">
        <v>0.9780600257422073</v>
      </c>
      <c r="E6612" s="86"/>
      <c r="F6612" s="14"/>
    </row>
    <row r="6613" spans="1:6" x14ac:dyDescent="0.25">
      <c r="A6613" s="86">
        <v>6612</v>
      </c>
      <c r="B6613" s="87">
        <v>45.480453531461535</v>
      </c>
      <c r="C6613" s="14">
        <v>4</v>
      </c>
      <c r="D6613" s="86">
        <v>0.3881452242577913</v>
      </c>
      <c r="E6613" s="86"/>
      <c r="F6613" s="14"/>
    </row>
    <row r="6614" spans="1:6" x14ac:dyDescent="0.25">
      <c r="A6614" s="86">
        <v>6613</v>
      </c>
      <c r="B6614" s="87">
        <v>45.684134869923582</v>
      </c>
      <c r="C6614" s="14">
        <v>2</v>
      </c>
      <c r="D6614" s="86">
        <v>0.91730020045117822</v>
      </c>
      <c r="E6614" s="86"/>
      <c r="F6614" s="14"/>
    </row>
    <row r="6615" spans="1:6" x14ac:dyDescent="0.25">
      <c r="A6615" s="86">
        <v>6614</v>
      </c>
      <c r="B6615" s="87">
        <v>45.95408426609356</v>
      </c>
      <c r="C6615" s="14">
        <v>5</v>
      </c>
      <c r="D6615" s="86">
        <v>0.90781649659935471</v>
      </c>
      <c r="E6615" s="86"/>
      <c r="F6615" s="14"/>
    </row>
    <row r="6616" spans="1:6" x14ac:dyDescent="0.25">
      <c r="A6616" s="86">
        <v>6615</v>
      </c>
      <c r="B6616" s="87">
        <v>37.775066625152249</v>
      </c>
      <c r="C6616" s="14">
        <v>2</v>
      </c>
      <c r="D6616" s="86">
        <v>0.34771314373735818</v>
      </c>
      <c r="E6616" s="86"/>
      <c r="F6616" s="14"/>
    </row>
    <row r="6617" spans="1:6" x14ac:dyDescent="0.25">
      <c r="A6617" s="86">
        <v>6616</v>
      </c>
      <c r="B6617" s="87">
        <v>50.771336640871596</v>
      </c>
      <c r="C6617" s="14">
        <v>5</v>
      </c>
      <c r="D6617" s="86">
        <v>0.41281833013018376</v>
      </c>
      <c r="E6617" s="86"/>
      <c r="F6617" s="14"/>
    </row>
    <row r="6618" spans="1:6" x14ac:dyDescent="0.25">
      <c r="A6618" s="86">
        <v>6617</v>
      </c>
      <c r="B6618" s="87">
        <v>40.833629095111974</v>
      </c>
      <c r="C6618" s="14">
        <v>4</v>
      </c>
      <c r="D6618" s="86">
        <v>0.91621913051432291</v>
      </c>
      <c r="E6618" s="86"/>
      <c r="F6618" s="14"/>
    </row>
    <row r="6619" spans="1:6" x14ac:dyDescent="0.25">
      <c r="A6619" s="86">
        <v>6618</v>
      </c>
      <c r="B6619" s="87">
        <v>42.169051534408936</v>
      </c>
      <c r="C6619" s="14">
        <v>2</v>
      </c>
      <c r="D6619" s="86">
        <v>0.7295563458055766</v>
      </c>
      <c r="E6619" s="86"/>
      <c r="F6619" s="14"/>
    </row>
    <row r="6620" spans="1:6" x14ac:dyDescent="0.25">
      <c r="A6620" s="86">
        <v>6619</v>
      </c>
      <c r="B6620" s="87">
        <v>34.337745086639188</v>
      </c>
      <c r="C6620" s="14">
        <v>2</v>
      </c>
      <c r="D6620" s="86">
        <v>0.87703439599463684</v>
      </c>
      <c r="E6620" s="86"/>
      <c r="F6620" s="14"/>
    </row>
    <row r="6621" spans="1:6" x14ac:dyDescent="0.25">
      <c r="A6621" s="86">
        <v>6620</v>
      </c>
      <c r="B6621" s="87">
        <v>46.108993951173034</v>
      </c>
      <c r="C6621" s="14">
        <v>5</v>
      </c>
      <c r="D6621" s="86">
        <v>0.15290527220133077</v>
      </c>
      <c r="E6621" s="86"/>
      <c r="F6621" s="14"/>
    </row>
    <row r="6622" spans="1:6" x14ac:dyDescent="0.25">
      <c r="A6622" s="86">
        <v>6621</v>
      </c>
      <c r="B6622" s="87">
        <v>48.447327566798776</v>
      </c>
      <c r="C6622" s="14">
        <v>4</v>
      </c>
      <c r="D6622" s="86">
        <v>0.63901994663153183</v>
      </c>
      <c r="E6622" s="86"/>
      <c r="F6622" s="14"/>
    </row>
    <row r="6623" spans="1:6" x14ac:dyDescent="0.25">
      <c r="A6623" s="86">
        <v>6622</v>
      </c>
      <c r="B6623" s="87">
        <v>37.342215359210968</v>
      </c>
      <c r="C6623" s="14">
        <v>1</v>
      </c>
      <c r="D6623" s="86">
        <v>0.71580114153228824</v>
      </c>
      <c r="E6623" s="86"/>
      <c r="F6623" s="14"/>
    </row>
    <row r="6624" spans="1:6" x14ac:dyDescent="0.25">
      <c r="A6624" s="86">
        <v>6623</v>
      </c>
      <c r="B6624" s="87">
        <v>35.84782461472787</v>
      </c>
      <c r="C6624" s="14">
        <v>2</v>
      </c>
      <c r="D6624" s="86">
        <v>6.0840121089998811E-2</v>
      </c>
      <c r="E6624" s="86"/>
      <c r="F6624" s="14"/>
    </row>
    <row r="6625" spans="1:6" x14ac:dyDescent="0.25">
      <c r="A6625" s="86">
        <v>6624</v>
      </c>
      <c r="B6625" s="87">
        <v>41.187246319503174</v>
      </c>
      <c r="C6625" s="14">
        <v>4</v>
      </c>
      <c r="D6625" s="86">
        <v>0.17986541096595154</v>
      </c>
      <c r="E6625" s="86"/>
      <c r="F6625" s="14"/>
    </row>
    <row r="6626" spans="1:6" x14ac:dyDescent="0.25">
      <c r="A6626" s="86">
        <v>6625</v>
      </c>
      <c r="B6626" s="87">
        <v>43.414524947700556</v>
      </c>
      <c r="C6626" s="14">
        <v>4</v>
      </c>
      <c r="D6626" s="86">
        <v>0.3136708503857053</v>
      </c>
      <c r="E6626" s="86"/>
      <c r="F6626" s="14"/>
    </row>
    <row r="6627" spans="1:6" x14ac:dyDescent="0.25">
      <c r="A6627" s="86">
        <v>6626</v>
      </c>
      <c r="B6627" s="87">
        <v>39.845394889533054</v>
      </c>
      <c r="C6627" s="14">
        <v>2</v>
      </c>
      <c r="D6627" s="86">
        <v>0.11414277482809343</v>
      </c>
      <c r="E6627" s="86"/>
      <c r="F6627" s="14"/>
    </row>
    <row r="6628" spans="1:6" x14ac:dyDescent="0.25">
      <c r="A6628" s="86">
        <v>6627</v>
      </c>
      <c r="B6628" s="87">
        <v>48.255401447357144</v>
      </c>
      <c r="C6628" s="14">
        <v>2</v>
      </c>
      <c r="D6628" s="86">
        <v>0.16074421554158791</v>
      </c>
      <c r="E6628" s="86"/>
      <c r="F6628" s="14"/>
    </row>
    <row r="6629" spans="1:6" x14ac:dyDescent="0.25">
      <c r="A6629" s="86">
        <v>6628</v>
      </c>
      <c r="B6629" s="87">
        <v>44.254420567420311</v>
      </c>
      <c r="C6629" s="14">
        <v>2</v>
      </c>
      <c r="D6629" s="86">
        <v>0.11880976634455453</v>
      </c>
      <c r="E6629" s="86"/>
      <c r="F6629" s="14"/>
    </row>
    <row r="6630" spans="1:6" x14ac:dyDescent="0.25">
      <c r="A6630" s="86">
        <v>6629</v>
      </c>
      <c r="B6630" s="87">
        <v>46.195316367055057</v>
      </c>
      <c r="C6630" s="14">
        <v>2</v>
      </c>
      <c r="D6630" s="86">
        <v>0.26045191295309</v>
      </c>
      <c r="E6630" s="86"/>
      <c r="F6630" s="14"/>
    </row>
    <row r="6631" spans="1:6" x14ac:dyDescent="0.25">
      <c r="A6631" s="86">
        <v>6630</v>
      </c>
      <c r="B6631" s="87">
        <v>50.679227564949542</v>
      </c>
      <c r="C6631" s="14">
        <v>2</v>
      </c>
      <c r="D6631" s="86">
        <v>0.22273106420238775</v>
      </c>
      <c r="E6631" s="86"/>
      <c r="F6631" s="14"/>
    </row>
    <row r="6632" spans="1:6" x14ac:dyDescent="0.25">
      <c r="A6632" s="86">
        <v>6631</v>
      </c>
      <c r="B6632" s="87">
        <v>46.285441607658868</v>
      </c>
      <c r="C6632" s="14">
        <v>2</v>
      </c>
      <c r="D6632" s="86">
        <v>3.6526180517987172E-2</v>
      </c>
      <c r="E6632" s="86"/>
      <c r="F6632" s="14"/>
    </row>
    <row r="6633" spans="1:6" x14ac:dyDescent="0.25">
      <c r="A6633" s="86">
        <v>6632</v>
      </c>
      <c r="B6633" s="87">
        <v>47.979017376172123</v>
      </c>
      <c r="C6633" s="14">
        <v>2</v>
      </c>
      <c r="D6633" s="86">
        <v>0.34919800986152039</v>
      </c>
      <c r="E6633" s="86"/>
      <c r="F6633" s="14"/>
    </row>
    <row r="6634" spans="1:6" x14ac:dyDescent="0.25">
      <c r="A6634" s="86">
        <v>6633</v>
      </c>
      <c r="B6634" s="87">
        <v>40.665582895933767</v>
      </c>
      <c r="C6634" s="14">
        <v>4</v>
      </c>
      <c r="D6634" s="86">
        <v>0.59721871326056031</v>
      </c>
      <c r="E6634" s="86"/>
      <c r="F6634" s="14"/>
    </row>
    <row r="6635" spans="1:6" x14ac:dyDescent="0.25">
      <c r="A6635" s="86">
        <v>6634</v>
      </c>
      <c r="B6635" s="87">
        <v>37.360314303776249</v>
      </c>
      <c r="C6635" s="14">
        <v>5</v>
      </c>
      <c r="D6635" s="86">
        <v>0.84144037666604743</v>
      </c>
      <c r="E6635" s="86"/>
      <c r="F6635" s="14"/>
    </row>
    <row r="6636" spans="1:6" x14ac:dyDescent="0.25">
      <c r="A6636" s="86">
        <v>6635</v>
      </c>
      <c r="B6636" s="87">
        <v>47.150820132053923</v>
      </c>
      <c r="C6636" s="14">
        <v>5</v>
      </c>
      <c r="D6636" s="86">
        <v>0.98699931388809603</v>
      </c>
      <c r="E6636" s="86"/>
      <c r="F6636" s="14"/>
    </row>
    <row r="6637" spans="1:6" x14ac:dyDescent="0.25">
      <c r="A6637" s="86">
        <v>6636</v>
      </c>
      <c r="B6637" s="87">
        <v>42.748405343780178</v>
      </c>
      <c r="C6637" s="14">
        <v>4</v>
      </c>
      <c r="D6637" s="86">
        <v>0.53364863094711601</v>
      </c>
      <c r="E6637" s="86"/>
      <c r="F6637" s="14"/>
    </row>
    <row r="6638" spans="1:6" x14ac:dyDescent="0.25">
      <c r="A6638" s="86">
        <v>6637</v>
      </c>
      <c r="B6638" s="87">
        <v>52.159793989965692</v>
      </c>
      <c r="C6638" s="14">
        <v>4</v>
      </c>
      <c r="D6638" s="86">
        <v>0.55103120333771138</v>
      </c>
      <c r="E6638" s="86"/>
      <c r="F6638" s="14"/>
    </row>
    <row r="6639" spans="1:6" x14ac:dyDescent="0.25">
      <c r="A6639" s="86">
        <v>6638</v>
      </c>
      <c r="B6639" s="87">
        <v>44.668888671702007</v>
      </c>
      <c r="C6639" s="14">
        <v>2</v>
      </c>
      <c r="D6639" s="86">
        <v>0.21582585861133752</v>
      </c>
      <c r="E6639" s="86"/>
      <c r="F6639" s="14"/>
    </row>
    <row r="6640" spans="1:6" x14ac:dyDescent="0.25">
      <c r="A6640" s="86">
        <v>6639</v>
      </c>
      <c r="B6640" s="87">
        <v>43.888013573785429</v>
      </c>
      <c r="C6640" s="14">
        <v>2</v>
      </c>
      <c r="D6640" s="86">
        <v>0.55888906660636872</v>
      </c>
      <c r="E6640" s="86"/>
      <c r="F6640" s="14"/>
    </row>
    <row r="6641" spans="1:6" x14ac:dyDescent="0.25">
      <c r="A6641" s="86">
        <v>6640</v>
      </c>
      <c r="B6641" s="87">
        <v>43.519787590747001</v>
      </c>
      <c r="C6641" s="14">
        <v>4</v>
      </c>
      <c r="D6641" s="86">
        <v>0.84577991665876784</v>
      </c>
      <c r="E6641" s="86"/>
      <c r="F6641" s="14"/>
    </row>
    <row r="6642" spans="1:6" x14ac:dyDescent="0.25">
      <c r="A6642" s="86">
        <v>6641</v>
      </c>
      <c r="B6642" s="87">
        <v>56.210410543251783</v>
      </c>
      <c r="C6642" s="14">
        <v>2</v>
      </c>
      <c r="D6642" s="86">
        <v>0.73185588613749331</v>
      </c>
      <c r="E6642" s="86"/>
      <c r="F6642" s="14"/>
    </row>
    <row r="6643" spans="1:6" x14ac:dyDescent="0.25">
      <c r="A6643" s="86">
        <v>6642</v>
      </c>
      <c r="B6643" s="87">
        <v>47.527078090177383</v>
      </c>
      <c r="C6643" s="14">
        <v>3</v>
      </c>
      <c r="D6643" s="86">
        <v>0.12613565684156491</v>
      </c>
      <c r="E6643" s="86"/>
      <c r="F6643" s="14"/>
    </row>
    <row r="6644" spans="1:6" x14ac:dyDescent="0.25">
      <c r="A6644" s="86">
        <v>6643</v>
      </c>
      <c r="B6644" s="87">
        <v>42.222131918941159</v>
      </c>
      <c r="C6644" s="14">
        <v>4</v>
      </c>
      <c r="D6644" s="86">
        <v>0.37694082922284977</v>
      </c>
      <c r="E6644" s="86"/>
      <c r="F6644" s="14"/>
    </row>
    <row r="6645" spans="1:6" x14ac:dyDescent="0.25">
      <c r="A6645" s="86">
        <v>6644</v>
      </c>
      <c r="B6645" s="87">
        <v>49.387551820807857</v>
      </c>
      <c r="C6645" s="14">
        <v>5</v>
      </c>
      <c r="D6645" s="86">
        <v>0.84140100744648749</v>
      </c>
      <c r="E6645" s="86"/>
      <c r="F6645" s="14"/>
    </row>
    <row r="6646" spans="1:6" x14ac:dyDescent="0.25">
      <c r="A6646" s="86">
        <v>6645</v>
      </c>
      <c r="B6646" s="87">
        <v>40.472286850097589</v>
      </c>
      <c r="C6646" s="14">
        <v>3</v>
      </c>
      <c r="D6646" s="86">
        <v>9.5485223086194115E-2</v>
      </c>
      <c r="E6646" s="86"/>
      <c r="F6646" s="14"/>
    </row>
    <row r="6647" spans="1:6" x14ac:dyDescent="0.25">
      <c r="A6647" s="86">
        <v>6646</v>
      </c>
      <c r="B6647" s="87">
        <v>50.345806807279587</v>
      </c>
      <c r="C6647" s="14">
        <v>2</v>
      </c>
      <c r="D6647" s="86">
        <v>0.81393000117894276</v>
      </c>
      <c r="E6647" s="86"/>
      <c r="F6647" s="14"/>
    </row>
    <row r="6648" spans="1:6" x14ac:dyDescent="0.25">
      <c r="A6648" s="86">
        <v>6647</v>
      </c>
      <c r="B6648" s="87">
        <v>41.463994188568904</v>
      </c>
      <c r="C6648" s="14">
        <v>2</v>
      </c>
      <c r="D6648" s="86">
        <v>6.1138179101292156E-2</v>
      </c>
      <c r="E6648" s="86"/>
      <c r="F6648" s="14"/>
    </row>
    <row r="6649" spans="1:6" x14ac:dyDescent="0.25">
      <c r="A6649" s="86">
        <v>6648</v>
      </c>
      <c r="B6649" s="87">
        <v>32.935713529121131</v>
      </c>
      <c r="C6649" s="14">
        <v>2</v>
      </c>
      <c r="D6649" s="86">
        <v>0.63052436659342004</v>
      </c>
      <c r="E6649" s="86"/>
      <c r="F6649" s="14"/>
    </row>
    <row r="6650" spans="1:6" x14ac:dyDescent="0.25">
      <c r="A6650" s="86">
        <v>6649</v>
      </c>
      <c r="B6650" s="87">
        <v>46.745390131371096</v>
      </c>
      <c r="C6650" s="14">
        <v>2</v>
      </c>
      <c r="D6650" s="86">
        <v>0.22648697940187601</v>
      </c>
      <c r="E6650" s="86"/>
      <c r="F6650" s="14"/>
    </row>
    <row r="6651" spans="1:6" x14ac:dyDescent="0.25">
      <c r="A6651" s="86">
        <v>6650</v>
      </c>
      <c r="B6651" s="87">
        <v>29.461443768348545</v>
      </c>
      <c r="C6651" s="14">
        <v>4</v>
      </c>
      <c r="D6651" s="86">
        <v>2.0014487295595185E-2</v>
      </c>
      <c r="E6651" s="86"/>
      <c r="F6651" s="14"/>
    </row>
    <row r="6652" spans="1:6" x14ac:dyDescent="0.25">
      <c r="A6652" s="86">
        <v>6651</v>
      </c>
      <c r="B6652" s="87">
        <v>47.200694547762396</v>
      </c>
      <c r="C6652" s="14">
        <v>4</v>
      </c>
      <c r="D6652" s="86">
        <v>0.441442975189002</v>
      </c>
      <c r="E6652" s="86"/>
      <c r="F6652" s="14"/>
    </row>
    <row r="6653" spans="1:6" x14ac:dyDescent="0.25">
      <c r="A6653" s="86">
        <v>6652</v>
      </c>
      <c r="B6653" s="87">
        <v>44.77603851625463</v>
      </c>
      <c r="C6653" s="14">
        <v>4</v>
      </c>
      <c r="D6653" s="86">
        <v>0.75670245228560917</v>
      </c>
      <c r="E6653" s="86"/>
      <c r="F6653" s="14"/>
    </row>
    <row r="6654" spans="1:6" x14ac:dyDescent="0.25">
      <c r="A6654" s="86">
        <v>6653</v>
      </c>
      <c r="B6654" s="87">
        <v>48.657068413711386</v>
      </c>
      <c r="C6654" s="14">
        <v>5</v>
      </c>
      <c r="D6654" s="86">
        <v>0.90319470854631601</v>
      </c>
      <c r="E6654" s="86"/>
      <c r="F6654" s="14"/>
    </row>
    <row r="6655" spans="1:6" x14ac:dyDescent="0.25">
      <c r="A6655" s="86">
        <v>6654</v>
      </c>
      <c r="B6655" s="87">
        <v>37.25723444801406</v>
      </c>
      <c r="C6655" s="14">
        <v>4</v>
      </c>
      <c r="D6655" s="86">
        <v>0.18565208381226117</v>
      </c>
      <c r="E6655" s="86"/>
      <c r="F6655" s="14"/>
    </row>
    <row r="6656" spans="1:6" x14ac:dyDescent="0.25">
      <c r="A6656" s="86">
        <v>6655</v>
      </c>
      <c r="B6656" s="87">
        <v>41.820442215219373</v>
      </c>
      <c r="C6656" s="14">
        <v>4</v>
      </c>
      <c r="D6656" s="86">
        <v>0.31251717912078292</v>
      </c>
      <c r="E6656" s="86"/>
      <c r="F6656" s="14"/>
    </row>
    <row r="6657" spans="1:6" x14ac:dyDescent="0.25">
      <c r="A6657" s="86">
        <v>6656</v>
      </c>
      <c r="B6657" s="87">
        <v>39.395422385830898</v>
      </c>
      <c r="C6657" s="14">
        <v>1</v>
      </c>
      <c r="D6657" s="86">
        <v>7.6527154987810264E-2</v>
      </c>
      <c r="E6657" s="86"/>
      <c r="F6657" s="14"/>
    </row>
    <row r="6658" spans="1:6" x14ac:dyDescent="0.25">
      <c r="A6658" s="86">
        <v>6657</v>
      </c>
      <c r="B6658" s="87">
        <v>47.432229161466239</v>
      </c>
      <c r="C6658" s="14">
        <v>2</v>
      </c>
      <c r="D6658" s="86">
        <v>7.460034004882643E-2</v>
      </c>
      <c r="E6658" s="86"/>
      <c r="F6658" s="14"/>
    </row>
    <row r="6659" spans="1:6" x14ac:dyDescent="0.25">
      <c r="A6659" s="86">
        <v>6658</v>
      </c>
      <c r="B6659" s="87">
        <v>37.781012446765089</v>
      </c>
      <c r="C6659" s="14">
        <v>4</v>
      </c>
      <c r="D6659" s="86">
        <v>0.88946712736023814</v>
      </c>
      <c r="E6659" s="86"/>
      <c r="F6659" s="14"/>
    </row>
    <row r="6660" spans="1:6" x14ac:dyDescent="0.25">
      <c r="A6660" s="86">
        <v>6659</v>
      </c>
      <c r="B6660" s="87">
        <v>45.269774768137722</v>
      </c>
      <c r="C6660" s="14">
        <v>4</v>
      </c>
      <c r="D6660" s="86">
        <v>0.67867389225433761</v>
      </c>
      <c r="E6660" s="86"/>
      <c r="F6660" s="14"/>
    </row>
    <row r="6661" spans="1:6" x14ac:dyDescent="0.25">
      <c r="A6661" s="86">
        <v>6660</v>
      </c>
      <c r="B6661" s="87">
        <v>47.009939402749296</v>
      </c>
      <c r="C6661" s="14">
        <v>2</v>
      </c>
      <c r="D6661" s="86">
        <v>0.31246457744837952</v>
      </c>
      <c r="E6661" s="86"/>
      <c r="F6661" s="14"/>
    </row>
    <row r="6662" spans="1:6" x14ac:dyDescent="0.25">
      <c r="A6662" s="86">
        <v>6661</v>
      </c>
      <c r="B6662" s="87">
        <v>52.46524778555613</v>
      </c>
      <c r="C6662" s="14">
        <v>2</v>
      </c>
      <c r="D6662" s="86">
        <v>0.92053185243581637</v>
      </c>
      <c r="E6662" s="86"/>
      <c r="F6662" s="14"/>
    </row>
    <row r="6663" spans="1:6" x14ac:dyDescent="0.25">
      <c r="A6663" s="86">
        <v>6662</v>
      </c>
      <c r="B6663" s="87">
        <v>43.509402298121131</v>
      </c>
      <c r="C6663" s="14">
        <v>5</v>
      </c>
      <c r="D6663" s="86">
        <v>0.27423332677182466</v>
      </c>
      <c r="E6663" s="86"/>
      <c r="F6663" s="14"/>
    </row>
    <row r="6664" spans="1:6" x14ac:dyDescent="0.25">
      <c r="A6664" s="86">
        <v>6663</v>
      </c>
      <c r="B6664" s="87">
        <v>50.308869953703834</v>
      </c>
      <c r="C6664" s="14">
        <v>4</v>
      </c>
      <c r="D6664" s="86">
        <v>0.22530316513100568</v>
      </c>
      <c r="E6664" s="86"/>
      <c r="F6664" s="14"/>
    </row>
    <row r="6665" spans="1:6" x14ac:dyDescent="0.25">
      <c r="A6665" s="86">
        <v>6664</v>
      </c>
      <c r="B6665" s="87">
        <v>44.801731741579715</v>
      </c>
      <c r="C6665" s="14">
        <v>4</v>
      </c>
      <c r="D6665" s="86">
        <v>0.63350762883721989</v>
      </c>
      <c r="E6665" s="86"/>
      <c r="F6665" s="14"/>
    </row>
    <row r="6666" spans="1:6" x14ac:dyDescent="0.25">
      <c r="A6666" s="86">
        <v>6665</v>
      </c>
      <c r="B6666" s="87">
        <v>48.894844434806146</v>
      </c>
      <c r="C6666" s="14">
        <v>4</v>
      </c>
      <c r="D6666" s="86">
        <v>0.55005363181266631</v>
      </c>
      <c r="E6666" s="86"/>
      <c r="F6666" s="14"/>
    </row>
    <row r="6667" spans="1:6" x14ac:dyDescent="0.25">
      <c r="A6667" s="86">
        <v>6666</v>
      </c>
      <c r="B6667" s="87">
        <v>43.206409822567366</v>
      </c>
      <c r="C6667" s="14">
        <v>5</v>
      </c>
      <c r="D6667" s="86">
        <v>0.84471241866538438</v>
      </c>
      <c r="E6667" s="86"/>
      <c r="F6667" s="14"/>
    </row>
    <row r="6668" spans="1:6" x14ac:dyDescent="0.25">
      <c r="A6668" s="86">
        <v>6667</v>
      </c>
      <c r="B6668" s="87">
        <v>43.910949893295765</v>
      </c>
      <c r="C6668" s="14">
        <v>4</v>
      </c>
      <c r="D6668" s="86">
        <v>0.11151938108651038</v>
      </c>
      <c r="E6668" s="86"/>
      <c r="F6668" s="14"/>
    </row>
    <row r="6669" spans="1:6" x14ac:dyDescent="0.25">
      <c r="A6669" s="86">
        <v>6668</v>
      </c>
      <c r="B6669" s="87">
        <v>50.162816473282874</v>
      </c>
      <c r="C6669" s="14">
        <v>5</v>
      </c>
      <c r="D6669" s="86">
        <v>0.24030592802605233</v>
      </c>
      <c r="E6669" s="86"/>
      <c r="F6669" s="14"/>
    </row>
    <row r="6670" spans="1:6" x14ac:dyDescent="0.25">
      <c r="A6670" s="86">
        <v>6669</v>
      </c>
      <c r="B6670" s="87">
        <v>44.11672306957189</v>
      </c>
      <c r="C6670" s="14">
        <v>5</v>
      </c>
      <c r="D6670" s="86">
        <v>0.69287332307924709</v>
      </c>
      <c r="E6670" s="86"/>
      <c r="F6670" s="14"/>
    </row>
    <row r="6671" spans="1:6" x14ac:dyDescent="0.25">
      <c r="A6671" s="86">
        <v>6670</v>
      </c>
      <c r="B6671" s="87">
        <v>36.760161487443838</v>
      </c>
      <c r="C6671" s="14">
        <v>5</v>
      </c>
      <c r="D6671" s="86">
        <v>0.87713954222543644</v>
      </c>
      <c r="E6671" s="86"/>
      <c r="F6671" s="14"/>
    </row>
    <row r="6672" spans="1:6" x14ac:dyDescent="0.25">
      <c r="A6672" s="86">
        <v>6671</v>
      </c>
      <c r="B6672" s="87">
        <v>43.153210066855536</v>
      </c>
      <c r="C6672" s="14">
        <v>4</v>
      </c>
      <c r="D6672" s="86">
        <v>0.21211554146336953</v>
      </c>
      <c r="E6672" s="86"/>
      <c r="F6672" s="14"/>
    </row>
    <row r="6673" spans="1:6" x14ac:dyDescent="0.25">
      <c r="A6673" s="86">
        <v>6672</v>
      </c>
      <c r="B6673" s="87">
        <v>42.257346416925429</v>
      </c>
      <c r="C6673" s="14">
        <v>5</v>
      </c>
      <c r="D6673" s="86">
        <v>0.97980566139648329</v>
      </c>
      <c r="E6673" s="86"/>
      <c r="F6673" s="14"/>
    </row>
    <row r="6674" spans="1:6" x14ac:dyDescent="0.25">
      <c r="A6674" s="86">
        <v>6673</v>
      </c>
      <c r="B6674" s="87">
        <v>44.767079993442167</v>
      </c>
      <c r="C6674" s="14">
        <v>4</v>
      </c>
      <c r="D6674" s="86">
        <v>0.72124437963810606</v>
      </c>
      <c r="E6674" s="86"/>
      <c r="F6674" s="14"/>
    </row>
    <row r="6675" spans="1:6" x14ac:dyDescent="0.25">
      <c r="A6675" s="86">
        <v>6674</v>
      </c>
      <c r="B6675" s="87">
        <v>40.671125129272696</v>
      </c>
      <c r="C6675" s="14">
        <v>4</v>
      </c>
      <c r="D6675" s="86">
        <v>5.3777617779824816E-2</v>
      </c>
      <c r="E6675" s="86"/>
      <c r="F6675" s="14"/>
    </row>
    <row r="6676" spans="1:6" x14ac:dyDescent="0.25">
      <c r="A6676" s="86">
        <v>6675</v>
      </c>
      <c r="B6676" s="87">
        <v>40.065935986029217</v>
      </c>
      <c r="C6676" s="14">
        <v>4</v>
      </c>
      <c r="D6676" s="86">
        <v>0.46017735193340414</v>
      </c>
      <c r="E6676" s="86"/>
      <c r="F6676" s="14"/>
    </row>
    <row r="6677" spans="1:6" x14ac:dyDescent="0.25">
      <c r="A6677" s="86">
        <v>6676</v>
      </c>
      <c r="B6677" s="87">
        <v>41.793680333619704</v>
      </c>
      <c r="C6677" s="14">
        <v>2</v>
      </c>
      <c r="D6677" s="86">
        <v>0.85543369967630756</v>
      </c>
      <c r="E6677" s="86"/>
      <c r="F6677" s="14"/>
    </row>
    <row r="6678" spans="1:6" x14ac:dyDescent="0.25">
      <c r="A6678" s="86">
        <v>6677</v>
      </c>
      <c r="B6678" s="87">
        <v>42.691323182560154</v>
      </c>
      <c r="C6678" s="14">
        <v>2</v>
      </c>
      <c r="D6678" s="86">
        <v>0.79502701012493238</v>
      </c>
      <c r="E6678" s="86"/>
      <c r="F6678" s="14"/>
    </row>
    <row r="6679" spans="1:6" x14ac:dyDescent="0.25">
      <c r="A6679" s="86">
        <v>6678</v>
      </c>
      <c r="B6679" s="87">
        <v>35.649691193946637</v>
      </c>
      <c r="C6679" s="14">
        <v>2</v>
      </c>
      <c r="D6679" s="86">
        <v>0.73568917258710276</v>
      </c>
      <c r="E6679" s="86"/>
      <c r="F6679" s="14"/>
    </row>
    <row r="6680" spans="1:6" x14ac:dyDescent="0.25">
      <c r="A6680" s="86">
        <v>6679</v>
      </c>
      <c r="B6680" s="87">
        <v>49.426671461667866</v>
      </c>
      <c r="C6680" s="14">
        <v>2</v>
      </c>
      <c r="D6680" s="86">
        <v>0.967643255252155</v>
      </c>
      <c r="E6680" s="86"/>
      <c r="F6680" s="14"/>
    </row>
    <row r="6681" spans="1:6" x14ac:dyDescent="0.25">
      <c r="A6681" s="86">
        <v>6680</v>
      </c>
      <c r="B6681" s="87">
        <v>51.093002179521136</v>
      </c>
      <c r="C6681" s="14">
        <v>5</v>
      </c>
      <c r="D6681" s="86">
        <v>0.97155181540013946</v>
      </c>
      <c r="E6681" s="86"/>
      <c r="F6681" s="14"/>
    </row>
    <row r="6682" spans="1:6" x14ac:dyDescent="0.25">
      <c r="A6682" s="86">
        <v>6681</v>
      </c>
      <c r="B6682" s="87">
        <v>43.580587311560521</v>
      </c>
      <c r="C6682" s="14">
        <v>1</v>
      </c>
      <c r="D6682" s="86">
        <v>0.71271088180835795</v>
      </c>
      <c r="E6682" s="86"/>
      <c r="F6682" s="14"/>
    </row>
    <row r="6683" spans="1:6" x14ac:dyDescent="0.25">
      <c r="A6683" s="86">
        <v>6682</v>
      </c>
      <c r="B6683" s="87">
        <v>54.956944945268333</v>
      </c>
      <c r="C6683" s="14">
        <v>4</v>
      </c>
      <c r="D6683" s="86">
        <v>0.27256318274948699</v>
      </c>
      <c r="E6683" s="86"/>
      <c r="F6683" s="14"/>
    </row>
    <row r="6684" spans="1:6" x14ac:dyDescent="0.25">
      <c r="A6684" s="86">
        <v>6683</v>
      </c>
      <c r="B6684" s="87">
        <v>34.922550179879181</v>
      </c>
      <c r="C6684" s="14">
        <v>5</v>
      </c>
      <c r="D6684" s="86">
        <v>0.44982415722560654</v>
      </c>
      <c r="E6684" s="86"/>
      <c r="F6684" s="14"/>
    </row>
    <row r="6685" spans="1:6" x14ac:dyDescent="0.25">
      <c r="A6685" s="86">
        <v>6684</v>
      </c>
      <c r="B6685" s="87">
        <v>47.244407136866357</v>
      </c>
      <c r="C6685" s="14">
        <v>4</v>
      </c>
      <c r="D6685" s="86">
        <v>0.82463261008725541</v>
      </c>
      <c r="E6685" s="86"/>
      <c r="F6685" s="14"/>
    </row>
    <row r="6686" spans="1:6" x14ac:dyDescent="0.25">
      <c r="A6686" s="86">
        <v>6685</v>
      </c>
      <c r="B6686" s="87">
        <v>48.760557542089373</v>
      </c>
      <c r="C6686" s="14">
        <v>2</v>
      </c>
      <c r="D6686" s="86">
        <v>0.66900582554833798</v>
      </c>
      <c r="E6686" s="86"/>
      <c r="F6686" s="14"/>
    </row>
    <row r="6687" spans="1:6" x14ac:dyDescent="0.25">
      <c r="A6687" s="86">
        <v>6686</v>
      </c>
      <c r="B6687" s="87">
        <v>47.836601874558255</v>
      </c>
      <c r="C6687" s="14">
        <v>5</v>
      </c>
      <c r="D6687" s="86">
        <v>4.2007266870608406E-3</v>
      </c>
      <c r="E6687" s="86"/>
      <c r="F6687" s="14"/>
    </row>
    <row r="6688" spans="1:6" x14ac:dyDescent="0.25">
      <c r="A6688" s="86">
        <v>6687</v>
      </c>
      <c r="B6688" s="87">
        <v>43.139817757371929</v>
      </c>
      <c r="C6688" s="14">
        <v>5</v>
      </c>
      <c r="D6688" s="86">
        <v>0.493346791710361</v>
      </c>
      <c r="E6688" s="86"/>
      <c r="F6688" s="14"/>
    </row>
    <row r="6689" spans="1:6" x14ac:dyDescent="0.25">
      <c r="A6689" s="86">
        <v>6688</v>
      </c>
      <c r="B6689" s="87">
        <v>35.47388586809393</v>
      </c>
      <c r="C6689" s="14">
        <v>4</v>
      </c>
      <c r="D6689" s="86">
        <v>0.83508097168507534</v>
      </c>
      <c r="E6689" s="86"/>
      <c r="F6689" s="14"/>
    </row>
    <row r="6690" spans="1:6" x14ac:dyDescent="0.25">
      <c r="A6690" s="86">
        <v>6689</v>
      </c>
      <c r="B6690" s="87">
        <v>41.791315647395095</v>
      </c>
      <c r="C6690" s="14">
        <v>2</v>
      </c>
      <c r="D6690" s="86">
        <v>0.6119743091148464</v>
      </c>
      <c r="E6690" s="86"/>
      <c r="F6690" s="14"/>
    </row>
    <row r="6691" spans="1:6" x14ac:dyDescent="0.25">
      <c r="A6691" s="86">
        <v>6690</v>
      </c>
      <c r="B6691" s="87">
        <v>43.910563358047511</v>
      </c>
      <c r="C6691" s="14">
        <v>2</v>
      </c>
      <c r="D6691" s="86">
        <v>0.79508492941726694</v>
      </c>
      <c r="E6691" s="86"/>
      <c r="F6691" s="14"/>
    </row>
    <row r="6692" spans="1:6" x14ac:dyDescent="0.25">
      <c r="A6692" s="86">
        <v>6691</v>
      </c>
      <c r="B6692" s="87">
        <v>42.272040440700948</v>
      </c>
      <c r="C6692" s="14">
        <v>2</v>
      </c>
      <c r="D6692" s="86">
        <v>0.84426425273449413</v>
      </c>
      <c r="E6692" s="86"/>
      <c r="F6692" s="14"/>
    </row>
    <row r="6693" spans="1:6" x14ac:dyDescent="0.25">
      <c r="A6693" s="86">
        <v>6692</v>
      </c>
      <c r="B6693" s="87">
        <v>42.359295088652289</v>
      </c>
      <c r="C6693" s="14">
        <v>2</v>
      </c>
      <c r="D6693" s="86">
        <v>0.19747342046195437</v>
      </c>
      <c r="E6693" s="86"/>
      <c r="F6693" s="14"/>
    </row>
    <row r="6694" spans="1:6" x14ac:dyDescent="0.25">
      <c r="A6694" s="86">
        <v>6693</v>
      </c>
      <c r="B6694" s="87">
        <v>48.660695023834705</v>
      </c>
      <c r="C6694" s="14">
        <v>4</v>
      </c>
      <c r="D6694" s="86">
        <v>0.56278510694487782</v>
      </c>
      <c r="E6694" s="86"/>
      <c r="F6694" s="14"/>
    </row>
    <row r="6695" spans="1:6" x14ac:dyDescent="0.25">
      <c r="A6695" s="86">
        <v>6694</v>
      </c>
      <c r="B6695" s="87">
        <v>49.369430138875032</v>
      </c>
      <c r="C6695" s="14">
        <v>2</v>
      </c>
      <c r="D6695" s="86">
        <v>0.32189088724886872</v>
      </c>
      <c r="E6695" s="86"/>
      <c r="F6695" s="14"/>
    </row>
    <row r="6696" spans="1:6" x14ac:dyDescent="0.25">
      <c r="A6696" s="86">
        <v>6695</v>
      </c>
      <c r="B6696" s="87">
        <v>43.841811242935364</v>
      </c>
      <c r="C6696" s="14">
        <v>3</v>
      </c>
      <c r="D6696" s="86">
        <v>0.51225744263110506</v>
      </c>
      <c r="E6696" s="86"/>
      <c r="F6696" s="14"/>
    </row>
    <row r="6697" spans="1:6" x14ac:dyDescent="0.25">
      <c r="A6697" s="86">
        <v>6696</v>
      </c>
      <c r="B6697" s="87">
        <v>49.815412234573159</v>
      </c>
      <c r="C6697" s="14">
        <v>2</v>
      </c>
      <c r="D6697" s="86">
        <v>0.7619558351095882</v>
      </c>
      <c r="E6697" s="86"/>
      <c r="F6697" s="14"/>
    </row>
    <row r="6698" spans="1:6" x14ac:dyDescent="0.25">
      <c r="A6698" s="86">
        <v>6697</v>
      </c>
      <c r="B6698" s="87">
        <v>43.126806298794691</v>
      </c>
      <c r="C6698" s="14">
        <v>4</v>
      </c>
      <c r="D6698" s="86">
        <v>0.16316969623891886</v>
      </c>
      <c r="E6698" s="86"/>
      <c r="F6698" s="14"/>
    </row>
    <row r="6699" spans="1:6" x14ac:dyDescent="0.25">
      <c r="A6699" s="86">
        <v>6698</v>
      </c>
      <c r="B6699" s="87">
        <v>39.431540694175055</v>
      </c>
      <c r="C6699" s="14">
        <v>5</v>
      </c>
      <c r="D6699" s="86">
        <v>0.84883009887399385</v>
      </c>
      <c r="E6699" s="86"/>
      <c r="F6699" s="14"/>
    </row>
    <row r="6700" spans="1:6" x14ac:dyDescent="0.25">
      <c r="A6700" s="86">
        <v>6699</v>
      </c>
      <c r="B6700" s="87">
        <v>45.934973508672556</v>
      </c>
      <c r="C6700" s="14">
        <v>4</v>
      </c>
      <c r="D6700" s="86">
        <v>0.45815018859712497</v>
      </c>
      <c r="E6700" s="86"/>
      <c r="F6700" s="14"/>
    </row>
    <row r="6701" spans="1:6" x14ac:dyDescent="0.25">
      <c r="A6701" s="86">
        <v>6700</v>
      </c>
      <c r="B6701" s="87">
        <v>37.03171386802569</v>
      </c>
      <c r="C6701" s="14">
        <v>5</v>
      </c>
      <c r="D6701" s="86">
        <v>0.92825726320991186</v>
      </c>
      <c r="E6701" s="86"/>
      <c r="F6701" s="14"/>
    </row>
    <row r="6702" spans="1:6" x14ac:dyDescent="0.25">
      <c r="A6702" s="86">
        <v>6701</v>
      </c>
      <c r="B6702" s="87">
        <v>41.180709326334181</v>
      </c>
      <c r="C6702" s="14">
        <v>4</v>
      </c>
      <c r="D6702" s="86">
        <v>0.58460860684281468</v>
      </c>
      <c r="E6702" s="86"/>
      <c r="F6702" s="14"/>
    </row>
    <row r="6703" spans="1:6" x14ac:dyDescent="0.25">
      <c r="A6703" s="86">
        <v>6702</v>
      </c>
      <c r="B6703" s="87">
        <v>51.777760740485974</v>
      </c>
      <c r="C6703" s="14">
        <v>2</v>
      </c>
      <c r="D6703" s="86">
        <v>1.9389902481198429E-2</v>
      </c>
      <c r="E6703" s="86"/>
      <c r="F6703" s="14"/>
    </row>
    <row r="6704" spans="1:6" x14ac:dyDescent="0.25">
      <c r="A6704" s="86">
        <v>6703</v>
      </c>
      <c r="B6704" s="87">
        <v>48.184824658499565</v>
      </c>
      <c r="C6704" s="14">
        <v>3</v>
      </c>
      <c r="D6704" s="86">
        <v>0.77865921733680554</v>
      </c>
      <c r="E6704" s="86"/>
      <c r="F6704" s="14"/>
    </row>
    <row r="6705" spans="1:6" x14ac:dyDescent="0.25">
      <c r="A6705" s="86">
        <v>6704</v>
      </c>
      <c r="B6705" s="87">
        <v>43.661532340018312</v>
      </c>
      <c r="C6705" s="14">
        <v>2</v>
      </c>
      <c r="D6705" s="86">
        <v>0.53838833288821075</v>
      </c>
      <c r="E6705" s="86"/>
      <c r="F6705" s="14"/>
    </row>
    <row r="6706" spans="1:6" x14ac:dyDescent="0.25">
      <c r="A6706" s="86">
        <v>6705</v>
      </c>
      <c r="B6706" s="87">
        <v>42.283636498148553</v>
      </c>
      <c r="C6706" s="14">
        <v>5</v>
      </c>
      <c r="D6706" s="86">
        <v>0.92937595751250501</v>
      </c>
      <c r="E6706" s="86"/>
      <c r="F6706" s="14"/>
    </row>
    <row r="6707" spans="1:6" x14ac:dyDescent="0.25">
      <c r="A6707" s="86">
        <v>6706</v>
      </c>
      <c r="B6707" s="87">
        <v>50.753465069981758</v>
      </c>
      <c r="C6707" s="14">
        <v>2</v>
      </c>
      <c r="D6707" s="86">
        <v>0.90558414982191837</v>
      </c>
      <c r="E6707" s="86"/>
      <c r="F6707" s="14"/>
    </row>
    <row r="6708" spans="1:6" x14ac:dyDescent="0.25">
      <c r="A6708" s="86">
        <v>6707</v>
      </c>
      <c r="B6708" s="87">
        <v>51.877714208210818</v>
      </c>
      <c r="C6708" s="14">
        <v>2</v>
      </c>
      <c r="D6708" s="86">
        <v>0.53340203255605378</v>
      </c>
      <c r="E6708" s="86"/>
      <c r="F6708" s="14"/>
    </row>
    <row r="6709" spans="1:6" x14ac:dyDescent="0.25">
      <c r="A6709" s="86">
        <v>6708</v>
      </c>
      <c r="B6709" s="87">
        <v>47.4447006075643</v>
      </c>
      <c r="C6709" s="14">
        <v>2</v>
      </c>
      <c r="D6709" s="86">
        <v>0.87966592149907052</v>
      </c>
      <c r="E6709" s="86"/>
      <c r="F6709" s="14"/>
    </row>
    <row r="6710" spans="1:6" x14ac:dyDescent="0.25">
      <c r="A6710" s="86">
        <v>6709</v>
      </c>
      <c r="B6710" s="87">
        <v>44.80091319634812</v>
      </c>
      <c r="C6710" s="14">
        <v>2</v>
      </c>
      <c r="D6710" s="86">
        <v>0.37983845019209161</v>
      </c>
      <c r="E6710" s="86"/>
      <c r="F6710" s="14"/>
    </row>
    <row r="6711" spans="1:6" x14ac:dyDescent="0.25">
      <c r="A6711" s="86">
        <v>6710</v>
      </c>
      <c r="B6711" s="87">
        <v>36.811491094675148</v>
      </c>
      <c r="C6711" s="14">
        <v>5</v>
      </c>
      <c r="D6711" s="86">
        <v>0.64699452741757413</v>
      </c>
      <c r="E6711" s="86"/>
      <c r="F6711" s="14"/>
    </row>
    <row r="6712" spans="1:6" x14ac:dyDescent="0.25">
      <c r="A6712" s="86">
        <v>6711</v>
      </c>
      <c r="B6712" s="87">
        <v>36.0171270534629</v>
      </c>
      <c r="C6712" s="14">
        <v>4</v>
      </c>
      <c r="D6712" s="86">
        <v>0.39124226148949592</v>
      </c>
      <c r="E6712" s="86"/>
      <c r="F6712" s="14"/>
    </row>
    <row r="6713" spans="1:6" x14ac:dyDescent="0.25">
      <c r="A6713" s="86">
        <v>6712</v>
      </c>
      <c r="B6713" s="87">
        <v>48.33921138412552</v>
      </c>
      <c r="C6713" s="14">
        <v>2</v>
      </c>
      <c r="D6713" s="86">
        <v>0.27514176405165303</v>
      </c>
      <c r="E6713" s="86"/>
      <c r="F6713" s="14"/>
    </row>
    <row r="6714" spans="1:6" x14ac:dyDescent="0.25">
      <c r="A6714" s="86">
        <v>6713</v>
      </c>
      <c r="B6714" s="87">
        <v>42.701287833886454</v>
      </c>
      <c r="C6714" s="14">
        <v>5</v>
      </c>
      <c r="D6714" s="86">
        <v>0.2596630385350821</v>
      </c>
      <c r="E6714" s="86"/>
      <c r="F6714" s="14"/>
    </row>
    <row r="6715" spans="1:6" x14ac:dyDescent="0.25">
      <c r="A6715" s="86">
        <v>6714</v>
      </c>
      <c r="B6715" s="87">
        <v>38.330472302157432</v>
      </c>
      <c r="C6715" s="14">
        <v>2</v>
      </c>
      <c r="D6715" s="86">
        <v>0.28174821734043221</v>
      </c>
      <c r="E6715" s="86"/>
      <c r="F6715" s="14"/>
    </row>
    <row r="6716" spans="1:6" x14ac:dyDescent="0.25">
      <c r="A6716" s="86">
        <v>6715</v>
      </c>
      <c r="B6716" s="87">
        <v>45.949525423900923</v>
      </c>
      <c r="C6716" s="14">
        <v>4</v>
      </c>
      <c r="D6716" s="86">
        <v>0.36586577266879283</v>
      </c>
      <c r="E6716" s="86"/>
      <c r="F6716" s="14"/>
    </row>
    <row r="6717" spans="1:6" x14ac:dyDescent="0.25">
      <c r="A6717" s="86">
        <v>6716</v>
      </c>
      <c r="B6717" s="87">
        <v>45.799720277835149</v>
      </c>
      <c r="C6717" s="14">
        <v>4</v>
      </c>
      <c r="D6717" s="86">
        <v>0.96550721933626971</v>
      </c>
      <c r="E6717" s="86"/>
      <c r="F6717" s="14"/>
    </row>
    <row r="6718" spans="1:6" x14ac:dyDescent="0.25">
      <c r="A6718" s="86">
        <v>6717</v>
      </c>
      <c r="B6718" s="87">
        <v>45.014007804973517</v>
      </c>
      <c r="C6718" s="14">
        <v>2</v>
      </c>
      <c r="D6718" s="86">
        <v>0.72193622812924396</v>
      </c>
      <c r="E6718" s="86"/>
      <c r="F6718" s="14"/>
    </row>
    <row r="6719" spans="1:6" x14ac:dyDescent="0.25">
      <c r="A6719" s="86">
        <v>6718</v>
      </c>
      <c r="B6719" s="87">
        <v>37.989480001095217</v>
      </c>
      <c r="C6719" s="14">
        <v>3</v>
      </c>
      <c r="D6719" s="86">
        <v>0.45076552682822646</v>
      </c>
      <c r="E6719" s="86"/>
      <c r="F6719" s="14"/>
    </row>
    <row r="6720" spans="1:6" x14ac:dyDescent="0.25">
      <c r="A6720" s="86">
        <v>6719</v>
      </c>
      <c r="B6720" s="87">
        <v>50.124617695808411</v>
      </c>
      <c r="C6720" s="14">
        <v>4</v>
      </c>
      <c r="D6720" s="86">
        <v>0.43974929137282637</v>
      </c>
      <c r="E6720" s="86"/>
      <c r="F6720" s="14"/>
    </row>
    <row r="6721" spans="1:6" x14ac:dyDescent="0.25">
      <c r="A6721" s="86">
        <v>6720</v>
      </c>
      <c r="B6721" s="87">
        <v>43.001341504685115</v>
      </c>
      <c r="C6721" s="14">
        <v>2</v>
      </c>
      <c r="D6721" s="86">
        <v>0.34699624129057893</v>
      </c>
      <c r="E6721" s="86"/>
      <c r="F6721" s="14"/>
    </row>
    <row r="6722" spans="1:6" x14ac:dyDescent="0.25">
      <c r="A6722" s="86">
        <v>6721</v>
      </c>
      <c r="B6722" s="87">
        <v>44.405396687914617</v>
      </c>
      <c r="C6722" s="14">
        <v>4</v>
      </c>
      <c r="D6722" s="86">
        <v>0.88892941055393648</v>
      </c>
      <c r="E6722" s="86"/>
      <c r="F6722" s="14"/>
    </row>
    <row r="6723" spans="1:6" x14ac:dyDescent="0.25">
      <c r="A6723" s="86">
        <v>6722</v>
      </c>
      <c r="B6723" s="87">
        <v>48.946503733866848</v>
      </c>
      <c r="C6723" s="14">
        <v>1</v>
      </c>
      <c r="D6723" s="86">
        <v>0.76387371144929894</v>
      </c>
      <c r="E6723" s="86"/>
      <c r="F6723" s="14"/>
    </row>
    <row r="6724" spans="1:6" x14ac:dyDescent="0.25">
      <c r="A6724" s="86">
        <v>6723</v>
      </c>
      <c r="B6724" s="87">
        <v>41.257328570616664</v>
      </c>
      <c r="C6724" s="14">
        <v>5</v>
      </c>
      <c r="D6724" s="86">
        <v>0.63042079282698549</v>
      </c>
      <c r="E6724" s="86"/>
      <c r="F6724" s="14"/>
    </row>
    <row r="6725" spans="1:6" x14ac:dyDescent="0.25">
      <c r="A6725" s="86">
        <v>6724</v>
      </c>
      <c r="B6725" s="87">
        <v>38.832422428065911</v>
      </c>
      <c r="C6725" s="14">
        <v>4</v>
      </c>
      <c r="D6725" s="86">
        <v>0.91432349652352873</v>
      </c>
      <c r="E6725" s="86"/>
      <c r="F6725" s="14"/>
    </row>
    <row r="6726" spans="1:6" x14ac:dyDescent="0.25">
      <c r="A6726" s="86">
        <v>6725</v>
      </c>
      <c r="B6726" s="87">
        <v>47.631215233530384</v>
      </c>
      <c r="C6726" s="14">
        <v>2</v>
      </c>
      <c r="D6726" s="86">
        <v>0.33245895486771671</v>
      </c>
      <c r="E6726" s="86"/>
      <c r="F6726" s="14"/>
    </row>
    <row r="6727" spans="1:6" x14ac:dyDescent="0.25">
      <c r="A6727" s="86">
        <v>6726</v>
      </c>
      <c r="B6727" s="87">
        <v>36.938649822666775</v>
      </c>
      <c r="C6727" s="14">
        <v>2</v>
      </c>
      <c r="D6727" s="86">
        <v>0.21455106732093698</v>
      </c>
      <c r="E6727" s="86"/>
      <c r="F6727" s="14"/>
    </row>
    <row r="6728" spans="1:6" x14ac:dyDescent="0.25">
      <c r="A6728" s="86">
        <v>6727</v>
      </c>
      <c r="B6728" s="87">
        <v>44.374388602926047</v>
      </c>
      <c r="C6728" s="14">
        <v>4</v>
      </c>
      <c r="D6728" s="86">
        <v>0.99792634810800307</v>
      </c>
      <c r="E6728" s="86"/>
      <c r="F6728" s="14"/>
    </row>
    <row r="6729" spans="1:6" x14ac:dyDescent="0.25">
      <c r="A6729" s="86">
        <v>6728</v>
      </c>
      <c r="B6729" s="87">
        <v>35.483390087727457</v>
      </c>
      <c r="C6729" s="14">
        <v>4</v>
      </c>
      <c r="D6729" s="86">
        <v>0.88975708954232524</v>
      </c>
      <c r="E6729" s="86"/>
      <c r="F6729" s="14"/>
    </row>
    <row r="6730" spans="1:6" x14ac:dyDescent="0.25">
      <c r="A6730" s="86">
        <v>6729</v>
      </c>
      <c r="B6730" s="87">
        <v>39.402368651615689</v>
      </c>
      <c r="C6730" s="14">
        <v>2</v>
      </c>
      <c r="D6730" s="86">
        <v>0.28338453916803863</v>
      </c>
      <c r="E6730" s="86"/>
      <c r="F6730" s="14"/>
    </row>
    <row r="6731" spans="1:6" x14ac:dyDescent="0.25">
      <c r="A6731" s="86">
        <v>6730</v>
      </c>
      <c r="B6731" s="87">
        <v>42.505587311432464</v>
      </c>
      <c r="C6731" s="14">
        <v>4</v>
      </c>
      <c r="D6731" s="86">
        <v>0.78522809997635301</v>
      </c>
      <c r="E6731" s="86"/>
      <c r="F6731" s="14"/>
    </row>
    <row r="6732" spans="1:6" x14ac:dyDescent="0.25">
      <c r="A6732" s="86">
        <v>6731</v>
      </c>
      <c r="B6732" s="87">
        <v>55.1381162898615</v>
      </c>
      <c r="C6732" s="14">
        <v>4</v>
      </c>
      <c r="D6732" s="86">
        <v>0.40111830165154949</v>
      </c>
      <c r="E6732" s="86"/>
      <c r="F6732" s="14"/>
    </row>
    <row r="6733" spans="1:6" x14ac:dyDescent="0.25">
      <c r="A6733" s="86">
        <v>6732</v>
      </c>
      <c r="B6733" s="87">
        <v>35.310813468066044</v>
      </c>
      <c r="C6733" s="14">
        <v>2</v>
      </c>
      <c r="D6733" s="86">
        <v>0.20774504563831409</v>
      </c>
      <c r="E6733" s="86"/>
      <c r="F6733" s="14"/>
    </row>
    <row r="6734" spans="1:6" x14ac:dyDescent="0.25">
      <c r="A6734" s="86">
        <v>6733</v>
      </c>
      <c r="B6734" s="87">
        <v>43.124896359920967</v>
      </c>
      <c r="C6734" s="14">
        <v>2</v>
      </c>
      <c r="D6734" s="86">
        <v>6.8362781971923137E-2</v>
      </c>
      <c r="E6734" s="86"/>
      <c r="F6734" s="14"/>
    </row>
    <row r="6735" spans="1:6" x14ac:dyDescent="0.25">
      <c r="A6735" s="86">
        <v>6734</v>
      </c>
      <c r="B6735" s="87">
        <v>46.215984634152846</v>
      </c>
      <c r="C6735" s="14">
        <v>2</v>
      </c>
      <c r="D6735" s="86">
        <v>0.70972937158443172</v>
      </c>
      <c r="E6735" s="86"/>
      <c r="F6735" s="14"/>
    </row>
    <row r="6736" spans="1:6" x14ac:dyDescent="0.25">
      <c r="A6736" s="86">
        <v>6735</v>
      </c>
      <c r="B6736" s="87">
        <v>38.71376747553586</v>
      </c>
      <c r="C6736" s="14">
        <v>1</v>
      </c>
      <c r="D6736" s="86">
        <v>0.22213382499892431</v>
      </c>
      <c r="E6736" s="86"/>
      <c r="F6736" s="14"/>
    </row>
    <row r="6737" spans="1:6" x14ac:dyDescent="0.25">
      <c r="A6737" s="86">
        <v>6736</v>
      </c>
      <c r="B6737" s="87">
        <v>40.256480810392532</v>
      </c>
      <c r="C6737" s="14">
        <v>2</v>
      </c>
      <c r="D6737" s="86">
        <v>0.55144378461120425</v>
      </c>
      <c r="E6737" s="86"/>
      <c r="F6737" s="14"/>
    </row>
    <row r="6738" spans="1:6" x14ac:dyDescent="0.25">
      <c r="A6738" s="86">
        <v>6737</v>
      </c>
      <c r="B6738" s="87">
        <v>41.923635757819284</v>
      </c>
      <c r="C6738" s="14">
        <v>4</v>
      </c>
      <c r="D6738" s="86">
        <v>7.9909909584819472E-2</v>
      </c>
      <c r="E6738" s="86"/>
      <c r="F6738" s="14"/>
    </row>
    <row r="6739" spans="1:6" x14ac:dyDescent="0.25">
      <c r="A6739" s="86">
        <v>6738</v>
      </c>
      <c r="B6739" s="87">
        <v>49.747291081410367</v>
      </c>
      <c r="C6739" s="14">
        <v>4</v>
      </c>
      <c r="D6739" s="86">
        <v>0.19833596845014556</v>
      </c>
      <c r="E6739" s="86"/>
      <c r="F6739" s="14"/>
    </row>
    <row r="6740" spans="1:6" x14ac:dyDescent="0.25">
      <c r="A6740" s="86">
        <v>6739</v>
      </c>
      <c r="B6740" s="87">
        <v>33.264177540666424</v>
      </c>
      <c r="C6740" s="14">
        <v>2</v>
      </c>
      <c r="D6740" s="86">
        <v>0.23074018949474784</v>
      </c>
      <c r="E6740" s="86"/>
      <c r="F6740" s="14"/>
    </row>
    <row r="6741" spans="1:6" x14ac:dyDescent="0.25">
      <c r="A6741" s="86">
        <v>6740</v>
      </c>
      <c r="B6741" s="87">
        <v>46.565008910300094</v>
      </c>
      <c r="C6741" s="14">
        <v>5</v>
      </c>
      <c r="D6741" s="86">
        <v>0.51013641177090252</v>
      </c>
      <c r="E6741" s="86"/>
      <c r="F6741" s="14"/>
    </row>
    <row r="6742" spans="1:6" x14ac:dyDescent="0.25">
      <c r="A6742" s="86">
        <v>6741</v>
      </c>
      <c r="B6742" s="87">
        <v>37.564427652221639</v>
      </c>
      <c r="C6742" s="14">
        <v>2</v>
      </c>
      <c r="D6742" s="86">
        <v>1.7156487843172474E-2</v>
      </c>
      <c r="E6742" s="86"/>
      <c r="F6742" s="14"/>
    </row>
    <row r="6743" spans="1:6" x14ac:dyDescent="0.25">
      <c r="A6743" s="86">
        <v>6742</v>
      </c>
      <c r="B6743" s="87">
        <v>40.114866800984601</v>
      </c>
      <c r="C6743" s="14">
        <v>4</v>
      </c>
      <c r="D6743" s="86">
        <v>0.77919641977399112</v>
      </c>
      <c r="E6743" s="86"/>
      <c r="F6743" s="14"/>
    </row>
    <row r="6744" spans="1:6" x14ac:dyDescent="0.25">
      <c r="A6744" s="86">
        <v>6743</v>
      </c>
      <c r="B6744" s="87">
        <v>42.333067535189912</v>
      </c>
      <c r="C6744" s="14">
        <v>5</v>
      </c>
      <c r="D6744" s="86">
        <v>0.92761256952573978</v>
      </c>
      <c r="E6744" s="86"/>
      <c r="F6744" s="14"/>
    </row>
    <row r="6745" spans="1:6" x14ac:dyDescent="0.25">
      <c r="A6745" s="86">
        <v>6744</v>
      </c>
      <c r="B6745" s="87">
        <v>42.055194166430738</v>
      </c>
      <c r="C6745" s="14">
        <v>4</v>
      </c>
      <c r="D6745" s="86">
        <v>0.88627288750021027</v>
      </c>
      <c r="E6745" s="86"/>
      <c r="F6745" s="14"/>
    </row>
    <row r="6746" spans="1:6" x14ac:dyDescent="0.25">
      <c r="A6746" s="86">
        <v>6745</v>
      </c>
      <c r="B6746" s="87">
        <v>47.097614692000207</v>
      </c>
      <c r="C6746" s="14">
        <v>3</v>
      </c>
      <c r="D6746" s="86">
        <v>0.99459803423289672</v>
      </c>
      <c r="E6746" s="86"/>
      <c r="F6746" s="14"/>
    </row>
    <row r="6747" spans="1:6" x14ac:dyDescent="0.25">
      <c r="A6747" s="86">
        <v>6746</v>
      </c>
      <c r="B6747" s="87">
        <v>36.921073837555014</v>
      </c>
      <c r="C6747" s="14">
        <v>4</v>
      </c>
      <c r="D6747" s="86">
        <v>0.57900772433569203</v>
      </c>
      <c r="E6747" s="86"/>
      <c r="F6747" s="14"/>
    </row>
    <row r="6748" spans="1:6" x14ac:dyDescent="0.25">
      <c r="A6748" s="86">
        <v>6747</v>
      </c>
      <c r="B6748" s="87">
        <v>41.522031319225789</v>
      </c>
      <c r="C6748" s="14">
        <v>4</v>
      </c>
      <c r="D6748" s="86">
        <v>0.84387570200054751</v>
      </c>
      <c r="E6748" s="86"/>
      <c r="F6748" s="14"/>
    </row>
    <row r="6749" spans="1:6" x14ac:dyDescent="0.25">
      <c r="A6749" s="86">
        <v>6748</v>
      </c>
      <c r="B6749" s="87">
        <v>49.136190222605364</v>
      </c>
      <c r="C6749" s="14">
        <v>4</v>
      </c>
      <c r="D6749" s="86">
        <v>0.1589145753031137</v>
      </c>
      <c r="E6749" s="86"/>
      <c r="F6749" s="14"/>
    </row>
    <row r="6750" spans="1:6" x14ac:dyDescent="0.25">
      <c r="A6750" s="86">
        <v>6749</v>
      </c>
      <c r="B6750" s="87">
        <v>49.467075763794128</v>
      </c>
      <c r="C6750" s="14">
        <v>4</v>
      </c>
      <c r="D6750" s="86">
        <v>0.52506998649472647</v>
      </c>
      <c r="E6750" s="86"/>
      <c r="F6750" s="14"/>
    </row>
    <row r="6751" spans="1:6" x14ac:dyDescent="0.25">
      <c r="A6751" s="86">
        <v>6750</v>
      </c>
      <c r="B6751" s="87">
        <v>40.185057054593926</v>
      </c>
      <c r="C6751" s="14">
        <v>2</v>
      </c>
      <c r="D6751" s="86">
        <v>6.6717342836364435E-2</v>
      </c>
      <c r="E6751" s="86"/>
      <c r="F6751" s="14"/>
    </row>
    <row r="6752" spans="1:6" x14ac:dyDescent="0.25">
      <c r="A6752" s="86">
        <v>6751</v>
      </c>
      <c r="B6752" s="87">
        <v>40.82396002956375</v>
      </c>
      <c r="C6752" s="14">
        <v>2</v>
      </c>
      <c r="D6752" s="86">
        <v>0.56410060426517838</v>
      </c>
      <c r="E6752" s="86"/>
      <c r="F6752" s="14"/>
    </row>
    <row r="6753" spans="1:6" x14ac:dyDescent="0.25">
      <c r="A6753" s="86">
        <v>6752</v>
      </c>
      <c r="B6753" s="87">
        <v>45.888299377445946</v>
      </c>
      <c r="C6753" s="14">
        <v>4</v>
      </c>
      <c r="D6753" s="86">
        <v>0.80603183062880068</v>
      </c>
      <c r="E6753" s="86"/>
      <c r="F6753" s="14"/>
    </row>
    <row r="6754" spans="1:6" x14ac:dyDescent="0.25">
      <c r="A6754" s="86">
        <v>6753</v>
      </c>
      <c r="B6754" s="87">
        <v>37.554741533647757</v>
      </c>
      <c r="C6754" s="14">
        <v>3</v>
      </c>
      <c r="D6754" s="86">
        <v>0.89211857109766479</v>
      </c>
      <c r="E6754" s="86"/>
      <c r="F6754" s="14"/>
    </row>
    <row r="6755" spans="1:6" x14ac:dyDescent="0.25">
      <c r="A6755" s="86">
        <v>6754</v>
      </c>
      <c r="B6755" s="87">
        <v>38.936536834051367</v>
      </c>
      <c r="C6755" s="14">
        <v>2</v>
      </c>
      <c r="D6755" s="86">
        <v>0.36248757538108622</v>
      </c>
      <c r="E6755" s="86"/>
      <c r="F6755" s="14"/>
    </row>
    <row r="6756" spans="1:6" x14ac:dyDescent="0.25">
      <c r="A6756" s="86">
        <v>6755</v>
      </c>
      <c r="B6756" s="87">
        <v>40.454887079584296</v>
      </c>
      <c r="C6756" s="14">
        <v>4</v>
      </c>
      <c r="D6756" s="86">
        <v>0.92437811523493396</v>
      </c>
      <c r="E6756" s="86"/>
      <c r="F6756" s="14"/>
    </row>
    <row r="6757" spans="1:6" x14ac:dyDescent="0.25">
      <c r="A6757" s="86">
        <v>6756</v>
      </c>
      <c r="B6757" s="87">
        <v>45.651495378813706</v>
      </c>
      <c r="C6757" s="14">
        <v>2</v>
      </c>
      <c r="D6757" s="86">
        <v>0.10840747788347171</v>
      </c>
      <c r="E6757" s="86"/>
      <c r="F6757" s="14"/>
    </row>
    <row r="6758" spans="1:6" x14ac:dyDescent="0.25">
      <c r="A6758" s="86">
        <v>6757</v>
      </c>
      <c r="B6758" s="87">
        <v>36.998039826692548</v>
      </c>
      <c r="C6758" s="14">
        <v>5</v>
      </c>
      <c r="D6758" s="86">
        <v>8.8028902265405495E-2</v>
      </c>
      <c r="E6758" s="86"/>
      <c r="F6758" s="14"/>
    </row>
    <row r="6759" spans="1:6" x14ac:dyDescent="0.25">
      <c r="A6759" s="86">
        <v>6758</v>
      </c>
      <c r="B6759" s="87">
        <v>43.816993406260735</v>
      </c>
      <c r="C6759" s="14">
        <v>3</v>
      </c>
      <c r="D6759" s="86">
        <v>0.23675154428333112</v>
      </c>
      <c r="E6759" s="86"/>
      <c r="F6759" s="14"/>
    </row>
    <row r="6760" spans="1:6" x14ac:dyDescent="0.25">
      <c r="A6760" s="86">
        <v>6759</v>
      </c>
      <c r="B6760" s="87">
        <v>37.946961123787332</v>
      </c>
      <c r="C6760" s="14">
        <v>4</v>
      </c>
      <c r="D6760" s="86">
        <v>0.66896889448265306</v>
      </c>
      <c r="E6760" s="86"/>
      <c r="F6760" s="14"/>
    </row>
    <row r="6761" spans="1:6" x14ac:dyDescent="0.25">
      <c r="A6761" s="86">
        <v>6760</v>
      </c>
      <c r="B6761" s="87">
        <v>34.120421327650547</v>
      </c>
      <c r="C6761" s="14">
        <v>2</v>
      </c>
      <c r="D6761" s="86">
        <v>0.5233341937608903</v>
      </c>
      <c r="E6761" s="86"/>
      <c r="F6761" s="14"/>
    </row>
    <row r="6762" spans="1:6" x14ac:dyDescent="0.25">
      <c r="A6762" s="86">
        <v>6761</v>
      </c>
      <c r="B6762" s="87">
        <v>42.899591784924269</v>
      </c>
      <c r="C6762" s="14">
        <v>2</v>
      </c>
      <c r="D6762" s="86">
        <v>2.0015691058494323E-2</v>
      </c>
      <c r="E6762" s="86"/>
      <c r="F6762" s="14"/>
    </row>
    <row r="6763" spans="1:6" x14ac:dyDescent="0.25">
      <c r="A6763" s="86">
        <v>6762</v>
      </c>
      <c r="B6763" s="87">
        <v>37.454685747768963</v>
      </c>
      <c r="C6763" s="14">
        <v>2</v>
      </c>
      <c r="D6763" s="86">
        <v>0.70051034170551507</v>
      </c>
      <c r="E6763" s="86"/>
      <c r="F6763" s="14"/>
    </row>
    <row r="6764" spans="1:6" x14ac:dyDescent="0.25">
      <c r="A6764" s="86">
        <v>6763</v>
      </c>
      <c r="B6764" s="87">
        <v>47.030027866974706</v>
      </c>
      <c r="C6764" s="14">
        <v>5</v>
      </c>
      <c r="D6764" s="86">
        <v>0.26194383093793927</v>
      </c>
      <c r="E6764" s="86"/>
      <c r="F6764" s="14"/>
    </row>
    <row r="6765" spans="1:6" x14ac:dyDescent="0.25">
      <c r="A6765" s="86">
        <v>6764</v>
      </c>
      <c r="B6765" s="87">
        <v>47.165417522017378</v>
      </c>
      <c r="C6765" s="14">
        <v>3</v>
      </c>
      <c r="D6765" s="86">
        <v>0.39609324779248722</v>
      </c>
      <c r="E6765" s="86"/>
      <c r="F6765" s="14"/>
    </row>
    <row r="6766" spans="1:6" x14ac:dyDescent="0.25">
      <c r="A6766" s="86">
        <v>6765</v>
      </c>
      <c r="B6766" s="87">
        <v>38.521125129016582</v>
      </c>
      <c r="C6766" s="14">
        <v>2</v>
      </c>
      <c r="D6766" s="86">
        <v>0.2813803539404206</v>
      </c>
      <c r="E6766" s="86"/>
      <c r="F6766" s="14"/>
    </row>
    <row r="6767" spans="1:6" x14ac:dyDescent="0.25">
      <c r="A6767" s="86">
        <v>6766</v>
      </c>
      <c r="B6767" s="87">
        <v>39.966755588800879</v>
      </c>
      <c r="C6767" s="14">
        <v>2</v>
      </c>
      <c r="D6767" s="86">
        <v>0.54889046741421244</v>
      </c>
      <c r="E6767" s="86"/>
      <c r="F6767" s="14"/>
    </row>
    <row r="6768" spans="1:6" x14ac:dyDescent="0.25">
      <c r="A6768" s="86">
        <v>6767</v>
      </c>
      <c r="B6768" s="87">
        <v>40.615560687336256</v>
      </c>
      <c r="C6768" s="14">
        <v>4</v>
      </c>
      <c r="D6768" s="86">
        <v>6.3481022954135824E-2</v>
      </c>
      <c r="E6768" s="86"/>
      <c r="F6768" s="14"/>
    </row>
    <row r="6769" spans="1:6" x14ac:dyDescent="0.25">
      <c r="A6769" s="86">
        <v>6768</v>
      </c>
      <c r="B6769" s="87">
        <v>44.324406184721738</v>
      </c>
      <c r="C6769" s="14">
        <v>5</v>
      </c>
      <c r="D6769" s="86">
        <v>0.58782285280817315</v>
      </c>
      <c r="E6769" s="86"/>
      <c r="F6769" s="14"/>
    </row>
    <row r="6770" spans="1:6" x14ac:dyDescent="0.25">
      <c r="A6770" s="86">
        <v>6769</v>
      </c>
      <c r="B6770" s="87">
        <v>51.97944119060412</v>
      </c>
      <c r="C6770" s="14">
        <v>2</v>
      </c>
      <c r="D6770" s="86">
        <v>0.32422503045408113</v>
      </c>
      <c r="E6770" s="86"/>
      <c r="F6770" s="14"/>
    </row>
    <row r="6771" spans="1:6" x14ac:dyDescent="0.25">
      <c r="A6771" s="86">
        <v>6770</v>
      </c>
      <c r="B6771" s="87">
        <v>39.707435911957873</v>
      </c>
      <c r="C6771" s="14">
        <v>2</v>
      </c>
      <c r="D6771" s="86">
        <v>0.21907831686583457</v>
      </c>
      <c r="E6771" s="86"/>
      <c r="F6771" s="14"/>
    </row>
    <row r="6772" spans="1:6" x14ac:dyDescent="0.25">
      <c r="A6772" s="86">
        <v>6771</v>
      </c>
      <c r="B6772" s="87">
        <v>45.107702812281786</v>
      </c>
      <c r="C6772" s="14">
        <v>1</v>
      </c>
      <c r="D6772" s="86">
        <v>0.18581780338643195</v>
      </c>
      <c r="E6772" s="86"/>
      <c r="F6772" s="14"/>
    </row>
    <row r="6773" spans="1:6" x14ac:dyDescent="0.25">
      <c r="A6773" s="86">
        <v>6772</v>
      </c>
      <c r="B6773" s="87">
        <v>50.065989393595373</v>
      </c>
      <c r="C6773" s="14">
        <v>4</v>
      </c>
      <c r="D6773" s="86">
        <v>0.52220665892109108</v>
      </c>
      <c r="E6773" s="86"/>
      <c r="F6773" s="14"/>
    </row>
    <row r="6774" spans="1:6" x14ac:dyDescent="0.25">
      <c r="A6774" s="86">
        <v>6773</v>
      </c>
      <c r="B6774" s="87">
        <v>38.992163803748554</v>
      </c>
      <c r="C6774" s="14">
        <v>4</v>
      </c>
      <c r="D6774" s="86">
        <v>0.89719139046476692</v>
      </c>
      <c r="E6774" s="86"/>
      <c r="F6774" s="14"/>
    </row>
    <row r="6775" spans="1:6" x14ac:dyDescent="0.25">
      <c r="A6775" s="86">
        <v>6774</v>
      </c>
      <c r="B6775" s="87">
        <v>37.013739978981903</v>
      </c>
      <c r="C6775" s="14">
        <v>5</v>
      </c>
      <c r="D6775" s="86">
        <v>0.9054748457952615</v>
      </c>
      <c r="E6775" s="86"/>
      <c r="F6775" s="14"/>
    </row>
    <row r="6776" spans="1:6" x14ac:dyDescent="0.25">
      <c r="A6776" s="86">
        <v>6775</v>
      </c>
      <c r="B6776" s="87">
        <v>45.331000814592699</v>
      </c>
      <c r="C6776" s="14">
        <v>5</v>
      </c>
      <c r="D6776" s="86">
        <v>0.24102584556069695</v>
      </c>
      <c r="E6776" s="86"/>
      <c r="F6776" s="14"/>
    </row>
    <row r="6777" spans="1:6" x14ac:dyDescent="0.25">
      <c r="A6777" s="86">
        <v>6776</v>
      </c>
      <c r="B6777" s="87">
        <v>48.295441951602697</v>
      </c>
      <c r="C6777" s="14">
        <v>4</v>
      </c>
      <c r="D6777" s="86">
        <v>0.42510504113068626</v>
      </c>
      <c r="E6777" s="86"/>
      <c r="F6777" s="14"/>
    </row>
    <row r="6778" spans="1:6" x14ac:dyDescent="0.25">
      <c r="A6778" s="86">
        <v>6777</v>
      </c>
      <c r="B6778" s="87">
        <v>37.503946254553739</v>
      </c>
      <c r="C6778" s="14">
        <v>2</v>
      </c>
      <c r="D6778" s="86">
        <v>0.64653107173675506</v>
      </c>
      <c r="E6778" s="86"/>
      <c r="F6778" s="14"/>
    </row>
    <row r="6779" spans="1:6" x14ac:dyDescent="0.25">
      <c r="A6779" s="86">
        <v>6778</v>
      </c>
      <c r="B6779" s="87">
        <v>37.626853094814578</v>
      </c>
      <c r="C6779" s="14">
        <v>2</v>
      </c>
      <c r="D6779" s="86">
        <v>0.92149444231036437</v>
      </c>
      <c r="E6779" s="86"/>
      <c r="F6779" s="14"/>
    </row>
    <row r="6780" spans="1:6" x14ac:dyDescent="0.25">
      <c r="A6780" s="86">
        <v>6779</v>
      </c>
      <c r="B6780" s="87">
        <v>39.935895296701347</v>
      </c>
      <c r="C6780" s="14">
        <v>4</v>
      </c>
      <c r="D6780" s="86">
        <v>0.52996326603611721</v>
      </c>
      <c r="E6780" s="86"/>
      <c r="F6780" s="14"/>
    </row>
    <row r="6781" spans="1:6" x14ac:dyDescent="0.25">
      <c r="A6781" s="86">
        <v>6780</v>
      </c>
      <c r="B6781" s="87">
        <v>49.071718416933436</v>
      </c>
      <c r="C6781" s="14">
        <v>4</v>
      </c>
      <c r="D6781" s="86">
        <v>6.2607655885254965E-2</v>
      </c>
      <c r="E6781" s="86"/>
      <c r="F6781" s="14"/>
    </row>
    <row r="6782" spans="1:6" x14ac:dyDescent="0.25">
      <c r="A6782" s="86">
        <v>6781</v>
      </c>
      <c r="B6782" s="87">
        <v>38.900782323587919</v>
      </c>
      <c r="C6782" s="14">
        <v>4</v>
      </c>
      <c r="D6782" s="86">
        <v>0.20024456535444379</v>
      </c>
      <c r="E6782" s="86"/>
      <c r="F6782" s="14"/>
    </row>
    <row r="6783" spans="1:6" x14ac:dyDescent="0.25">
      <c r="A6783" s="86">
        <v>6782</v>
      </c>
      <c r="B6783" s="87">
        <v>45.437286639178637</v>
      </c>
      <c r="C6783" s="14">
        <v>3</v>
      </c>
      <c r="D6783" s="86">
        <v>0.37301890228532297</v>
      </c>
      <c r="E6783" s="86"/>
      <c r="F6783" s="14"/>
    </row>
    <row r="6784" spans="1:6" x14ac:dyDescent="0.25">
      <c r="A6784" s="86">
        <v>6783</v>
      </c>
      <c r="B6784" s="87">
        <v>44.0548490081419</v>
      </c>
      <c r="C6784" s="14">
        <v>1</v>
      </c>
      <c r="D6784" s="86">
        <v>0.60588839336404055</v>
      </c>
      <c r="E6784" s="86"/>
      <c r="F6784" s="14"/>
    </row>
    <row r="6785" spans="1:6" x14ac:dyDescent="0.25">
      <c r="A6785" s="86">
        <v>6784</v>
      </c>
      <c r="B6785" s="87">
        <v>42.153146745811682</v>
      </c>
      <c r="C6785" s="14">
        <v>5</v>
      </c>
      <c r="D6785" s="86">
        <v>0.9233619742960063</v>
      </c>
      <c r="E6785" s="86"/>
      <c r="F6785" s="14"/>
    </row>
    <row r="6786" spans="1:6" x14ac:dyDescent="0.25">
      <c r="A6786" s="86">
        <v>6785</v>
      </c>
      <c r="B6786" s="87">
        <v>36.599453773640562</v>
      </c>
      <c r="C6786" s="14">
        <v>4</v>
      </c>
      <c r="D6786" s="86">
        <v>0.99252461183243668</v>
      </c>
      <c r="E6786" s="86"/>
      <c r="F6786" s="14"/>
    </row>
    <row r="6787" spans="1:6" x14ac:dyDescent="0.25">
      <c r="A6787" s="86">
        <v>6786</v>
      </c>
      <c r="B6787" s="87">
        <v>42.470213651875383</v>
      </c>
      <c r="C6787" s="14">
        <v>5</v>
      </c>
      <c r="D6787" s="86">
        <v>0.82056484802724639</v>
      </c>
      <c r="E6787" s="86"/>
      <c r="F6787" s="14"/>
    </row>
    <row r="6788" spans="1:6" x14ac:dyDescent="0.25">
      <c r="A6788" s="86">
        <v>6787</v>
      </c>
      <c r="B6788" s="87">
        <v>47.011531018477399</v>
      </c>
      <c r="C6788" s="14">
        <v>4</v>
      </c>
      <c r="D6788" s="86">
        <v>0.60584283518044557</v>
      </c>
      <c r="E6788" s="86"/>
      <c r="F6788" s="14"/>
    </row>
    <row r="6789" spans="1:6" x14ac:dyDescent="0.25">
      <c r="A6789" s="86">
        <v>6788</v>
      </c>
      <c r="B6789" s="87">
        <v>44.7004595065373</v>
      </c>
      <c r="C6789" s="14">
        <v>5</v>
      </c>
      <c r="D6789" s="86">
        <v>0.18190376960182153</v>
      </c>
      <c r="E6789" s="86"/>
      <c r="F6789" s="14"/>
    </row>
    <row r="6790" spans="1:6" x14ac:dyDescent="0.25">
      <c r="A6790" s="86">
        <v>6789</v>
      </c>
      <c r="B6790" s="87">
        <v>50.916651156847365</v>
      </c>
      <c r="C6790" s="14">
        <v>4</v>
      </c>
      <c r="D6790" s="86">
        <v>0.47424703257303946</v>
      </c>
      <c r="E6790" s="86"/>
      <c r="F6790" s="14"/>
    </row>
    <row r="6791" spans="1:6" x14ac:dyDescent="0.25">
      <c r="A6791" s="86">
        <v>6790</v>
      </c>
      <c r="B6791" s="87">
        <v>49.975778887863271</v>
      </c>
      <c r="C6791" s="14">
        <v>3</v>
      </c>
      <c r="D6791" s="86">
        <v>0.63247965926905758</v>
      </c>
      <c r="E6791" s="86"/>
      <c r="F6791" s="14"/>
    </row>
    <row r="6792" spans="1:6" x14ac:dyDescent="0.25">
      <c r="A6792" s="86">
        <v>6791</v>
      </c>
      <c r="B6792" s="87">
        <v>42.628067826051847</v>
      </c>
      <c r="C6792" s="14">
        <v>2</v>
      </c>
      <c r="D6792" s="86">
        <v>0.26312859662961252</v>
      </c>
      <c r="E6792" s="86"/>
      <c r="F6792" s="14"/>
    </row>
    <row r="6793" spans="1:6" x14ac:dyDescent="0.25">
      <c r="A6793" s="86">
        <v>6792</v>
      </c>
      <c r="B6793" s="87">
        <v>40.350266767170979</v>
      </c>
      <c r="C6793" s="14">
        <v>2</v>
      </c>
      <c r="D6793" s="86">
        <v>0.17527674506996227</v>
      </c>
      <c r="E6793" s="86"/>
      <c r="F6793" s="14"/>
    </row>
    <row r="6794" spans="1:6" x14ac:dyDescent="0.25">
      <c r="A6794" s="86">
        <v>6793</v>
      </c>
      <c r="B6794" s="87">
        <v>37.085180787806166</v>
      </c>
      <c r="C6794" s="14">
        <v>4</v>
      </c>
      <c r="D6794" s="86">
        <v>0.35476486308153121</v>
      </c>
      <c r="E6794" s="86"/>
      <c r="F6794" s="14"/>
    </row>
    <row r="6795" spans="1:6" x14ac:dyDescent="0.25">
      <c r="A6795" s="86">
        <v>6794</v>
      </c>
      <c r="B6795" s="87">
        <v>54.09028744394891</v>
      </c>
      <c r="C6795" s="14">
        <v>2</v>
      </c>
      <c r="D6795" s="86">
        <v>0.51667069783542452</v>
      </c>
      <c r="E6795" s="86"/>
      <c r="F6795" s="14"/>
    </row>
    <row r="6796" spans="1:6" x14ac:dyDescent="0.25">
      <c r="A6796" s="86">
        <v>6795</v>
      </c>
      <c r="B6796" s="87">
        <v>38.318626133666839</v>
      </c>
      <c r="C6796" s="14">
        <v>4</v>
      </c>
      <c r="D6796" s="86">
        <v>0.23032622742214637</v>
      </c>
      <c r="E6796" s="86"/>
      <c r="F6796" s="14"/>
    </row>
    <row r="6797" spans="1:6" x14ac:dyDescent="0.25">
      <c r="A6797" s="86">
        <v>6796</v>
      </c>
      <c r="B6797" s="87">
        <v>41.610110196750611</v>
      </c>
      <c r="C6797" s="14">
        <v>5</v>
      </c>
      <c r="D6797" s="86">
        <v>0.3499174728368406</v>
      </c>
      <c r="E6797" s="86"/>
      <c r="F6797" s="14"/>
    </row>
    <row r="6798" spans="1:6" x14ac:dyDescent="0.25">
      <c r="A6798" s="86">
        <v>6797</v>
      </c>
      <c r="B6798" s="87">
        <v>42.12791395217937</v>
      </c>
      <c r="C6798" s="14">
        <v>4</v>
      </c>
      <c r="D6798" s="86">
        <v>3.6037786859322019E-3</v>
      </c>
      <c r="E6798" s="86"/>
      <c r="F6798" s="14"/>
    </row>
    <row r="6799" spans="1:6" x14ac:dyDescent="0.25">
      <c r="A6799" s="86">
        <v>6798</v>
      </c>
      <c r="B6799" s="87">
        <v>45.135323029506253</v>
      </c>
      <c r="C6799" s="14">
        <v>4</v>
      </c>
      <c r="D6799" s="86">
        <v>8.4875280604939318E-2</v>
      </c>
      <c r="E6799" s="86"/>
      <c r="F6799" s="14"/>
    </row>
    <row r="6800" spans="1:6" x14ac:dyDescent="0.25">
      <c r="A6800" s="86">
        <v>6799</v>
      </c>
      <c r="B6800" s="87">
        <v>37.538802638999186</v>
      </c>
      <c r="C6800" s="14">
        <v>1</v>
      </c>
      <c r="D6800" s="86">
        <v>0.20229314068289228</v>
      </c>
      <c r="E6800" s="86"/>
      <c r="F6800" s="14"/>
    </row>
    <row r="6801" spans="1:6" x14ac:dyDescent="0.25">
      <c r="A6801" s="86">
        <v>6800</v>
      </c>
      <c r="B6801" s="87">
        <v>52.328823580290191</v>
      </c>
      <c r="C6801" s="14">
        <v>4</v>
      </c>
      <c r="D6801" s="86">
        <v>0.4736328008209626</v>
      </c>
      <c r="E6801" s="86"/>
      <c r="F6801" s="14"/>
    </row>
    <row r="6802" spans="1:6" x14ac:dyDescent="0.25">
      <c r="A6802" s="86">
        <v>6801</v>
      </c>
      <c r="B6802" s="87">
        <v>49.600021151825786</v>
      </c>
      <c r="C6802" s="14">
        <v>5</v>
      </c>
      <c r="D6802" s="86">
        <v>0.44713614711315719</v>
      </c>
      <c r="E6802" s="86"/>
      <c r="F6802" s="14"/>
    </row>
    <row r="6803" spans="1:6" x14ac:dyDescent="0.25">
      <c r="A6803" s="86">
        <v>6802</v>
      </c>
      <c r="B6803" s="87">
        <v>46.707015139298164</v>
      </c>
      <c r="C6803" s="14">
        <v>4</v>
      </c>
      <c r="D6803" s="86">
        <v>0.9173581534385884</v>
      </c>
      <c r="E6803" s="86"/>
      <c r="F6803" s="14"/>
    </row>
    <row r="6804" spans="1:6" x14ac:dyDescent="0.25">
      <c r="A6804" s="86">
        <v>6803</v>
      </c>
      <c r="B6804" s="87">
        <v>45.983279046020471</v>
      </c>
      <c r="C6804" s="14">
        <v>4</v>
      </c>
      <c r="D6804" s="86">
        <v>0.54345359054639863</v>
      </c>
      <c r="E6804" s="86"/>
      <c r="F6804" s="14"/>
    </row>
    <row r="6805" spans="1:6" x14ac:dyDescent="0.25">
      <c r="A6805" s="86">
        <v>6804</v>
      </c>
      <c r="B6805" s="87">
        <v>54.777865438489243</v>
      </c>
      <c r="C6805" s="14">
        <v>2</v>
      </c>
      <c r="D6805" s="86">
        <v>0.56082399664635552</v>
      </c>
      <c r="E6805" s="86"/>
      <c r="F6805" s="14"/>
    </row>
    <row r="6806" spans="1:6" x14ac:dyDescent="0.25">
      <c r="A6806" s="86">
        <v>6805</v>
      </c>
      <c r="B6806" s="87">
        <v>30.961382430512458</v>
      </c>
      <c r="C6806" s="14">
        <v>2</v>
      </c>
      <c r="D6806" s="86">
        <v>6.9881638962174142E-2</v>
      </c>
      <c r="E6806" s="86"/>
      <c r="F6806" s="14"/>
    </row>
    <row r="6807" spans="1:6" x14ac:dyDescent="0.25">
      <c r="A6807" s="86">
        <v>6806</v>
      </c>
      <c r="B6807" s="87">
        <v>41.898954345349921</v>
      </c>
      <c r="C6807" s="14">
        <v>2</v>
      </c>
      <c r="D6807" s="86">
        <v>0.25177799742302887</v>
      </c>
      <c r="E6807" s="86"/>
      <c r="F6807" s="14"/>
    </row>
    <row r="6808" spans="1:6" x14ac:dyDescent="0.25">
      <c r="A6808" s="86">
        <v>6807</v>
      </c>
      <c r="B6808" s="87">
        <v>44.487961753809941</v>
      </c>
      <c r="C6808" s="14">
        <v>3</v>
      </c>
      <c r="D6808" s="86">
        <v>0.72707835040379742</v>
      </c>
      <c r="E6808" s="86"/>
      <c r="F6808" s="14"/>
    </row>
    <row r="6809" spans="1:6" x14ac:dyDescent="0.25">
      <c r="A6809" s="86">
        <v>6808</v>
      </c>
      <c r="B6809" s="87">
        <v>48.956599125056528</v>
      </c>
      <c r="C6809" s="14">
        <v>4</v>
      </c>
      <c r="D6809" s="86">
        <v>0.84946671568889942</v>
      </c>
      <c r="E6809" s="86"/>
      <c r="F6809" s="14"/>
    </row>
    <row r="6810" spans="1:6" x14ac:dyDescent="0.25">
      <c r="A6810" s="86">
        <v>6809</v>
      </c>
      <c r="B6810" s="87">
        <v>43.574038949707756</v>
      </c>
      <c r="C6810" s="14">
        <v>5</v>
      </c>
      <c r="D6810" s="86">
        <v>0.28207044340381016</v>
      </c>
      <c r="E6810" s="86"/>
      <c r="F6810" s="14"/>
    </row>
    <row r="6811" spans="1:6" x14ac:dyDescent="0.25">
      <c r="A6811" s="86">
        <v>6810</v>
      </c>
      <c r="B6811" s="87">
        <v>41.515238530671922</v>
      </c>
      <c r="C6811" s="14">
        <v>1</v>
      </c>
      <c r="D6811" s="86">
        <v>6.1375323258805126E-2</v>
      </c>
      <c r="E6811" s="86"/>
      <c r="F6811" s="14"/>
    </row>
    <row r="6812" spans="1:6" x14ac:dyDescent="0.25">
      <c r="A6812" s="86">
        <v>6811</v>
      </c>
      <c r="B6812" s="87">
        <v>39.935434865008574</v>
      </c>
      <c r="C6812" s="14">
        <v>4</v>
      </c>
      <c r="D6812" s="86">
        <v>6.2064171762091114E-2</v>
      </c>
      <c r="E6812" s="86"/>
      <c r="F6812" s="14"/>
    </row>
    <row r="6813" spans="1:6" x14ac:dyDescent="0.25">
      <c r="A6813" s="86">
        <v>6812</v>
      </c>
      <c r="B6813" s="87">
        <v>40.206543866923312</v>
      </c>
      <c r="C6813" s="14">
        <v>2</v>
      </c>
      <c r="D6813" s="86">
        <v>0.39273939479890263</v>
      </c>
      <c r="E6813" s="86"/>
      <c r="F6813" s="14"/>
    </row>
    <row r="6814" spans="1:6" x14ac:dyDescent="0.25">
      <c r="A6814" s="86">
        <v>6813</v>
      </c>
      <c r="B6814" s="87">
        <v>35.583684615965467</v>
      </c>
      <c r="C6814" s="14">
        <v>2</v>
      </c>
      <c r="D6814" s="86">
        <v>0.29054945431548318</v>
      </c>
      <c r="E6814" s="86"/>
      <c r="F6814" s="14"/>
    </row>
    <row r="6815" spans="1:6" x14ac:dyDescent="0.25">
      <c r="A6815" s="86">
        <v>6814</v>
      </c>
      <c r="B6815" s="87">
        <v>36.821347743505612</v>
      </c>
      <c r="C6815" s="14">
        <v>5</v>
      </c>
      <c r="D6815" s="86">
        <v>0.98116295568659839</v>
      </c>
      <c r="E6815" s="86"/>
      <c r="F6815" s="14"/>
    </row>
    <row r="6816" spans="1:6" x14ac:dyDescent="0.25">
      <c r="A6816" s="86">
        <v>6815</v>
      </c>
      <c r="B6816" s="87">
        <v>45.346791916352231</v>
      </c>
      <c r="C6816" s="14">
        <v>5</v>
      </c>
      <c r="D6816" s="86">
        <v>0.11262626481139315</v>
      </c>
      <c r="E6816" s="86"/>
      <c r="F6816" s="14"/>
    </row>
    <row r="6817" spans="1:6" x14ac:dyDescent="0.25">
      <c r="A6817" s="86">
        <v>6816</v>
      </c>
      <c r="B6817" s="87">
        <v>49.054165169189218</v>
      </c>
      <c r="C6817" s="14">
        <v>2</v>
      </c>
      <c r="D6817" s="86">
        <v>0.58798214510848379</v>
      </c>
      <c r="E6817" s="86"/>
      <c r="F6817" s="14"/>
    </row>
    <row r="6818" spans="1:6" x14ac:dyDescent="0.25">
      <c r="A6818" s="86">
        <v>6817</v>
      </c>
      <c r="B6818" s="87">
        <v>32.392290444811806</v>
      </c>
      <c r="C6818" s="14">
        <v>5</v>
      </c>
      <c r="D6818" s="86">
        <v>3.2291387744050715E-2</v>
      </c>
      <c r="E6818" s="86"/>
      <c r="F6818" s="14"/>
    </row>
    <row r="6819" spans="1:6" x14ac:dyDescent="0.25">
      <c r="A6819" s="86">
        <v>6818</v>
      </c>
      <c r="B6819" s="87">
        <v>40.693697650902322</v>
      </c>
      <c r="C6819" s="14">
        <v>5</v>
      </c>
      <c r="D6819" s="86">
        <v>0.5451602064814014</v>
      </c>
      <c r="E6819" s="86"/>
      <c r="F6819" s="14"/>
    </row>
    <row r="6820" spans="1:6" x14ac:dyDescent="0.25">
      <c r="A6820" s="86">
        <v>6819</v>
      </c>
      <c r="B6820" s="87">
        <v>55.045529729221016</v>
      </c>
      <c r="C6820" s="14">
        <v>2</v>
      </c>
      <c r="D6820" s="86">
        <v>0.96552100032934585</v>
      </c>
      <c r="E6820" s="86"/>
      <c r="F6820" s="14"/>
    </row>
    <row r="6821" spans="1:6" x14ac:dyDescent="0.25">
      <c r="A6821" s="86">
        <v>6820</v>
      </c>
      <c r="B6821" s="87">
        <v>45.789874997688457</v>
      </c>
      <c r="C6821" s="14">
        <v>1</v>
      </c>
      <c r="D6821" s="86">
        <v>0.22931606055979692</v>
      </c>
      <c r="E6821" s="86"/>
      <c r="F6821" s="14"/>
    </row>
    <row r="6822" spans="1:6" x14ac:dyDescent="0.25">
      <c r="A6822" s="86">
        <v>6821</v>
      </c>
      <c r="B6822" s="87">
        <v>41.856202410024707</v>
      </c>
      <c r="C6822" s="14">
        <v>2</v>
      </c>
      <c r="D6822" s="86">
        <v>0.93188256031120453</v>
      </c>
      <c r="E6822" s="86"/>
      <c r="F6822" s="14"/>
    </row>
    <row r="6823" spans="1:6" x14ac:dyDescent="0.25">
      <c r="A6823" s="86">
        <v>6822</v>
      </c>
      <c r="B6823" s="87">
        <v>37.077472820208641</v>
      </c>
      <c r="C6823" s="14">
        <v>4</v>
      </c>
      <c r="D6823" s="86">
        <v>0.93934428252032998</v>
      </c>
      <c r="E6823" s="86"/>
      <c r="F6823" s="14"/>
    </row>
    <row r="6824" spans="1:6" x14ac:dyDescent="0.25">
      <c r="A6824" s="86">
        <v>6823</v>
      </c>
      <c r="B6824" s="87">
        <v>52.211498763761483</v>
      </c>
      <c r="C6824" s="14">
        <v>4</v>
      </c>
      <c r="D6824" s="86">
        <v>0.60680114830874099</v>
      </c>
      <c r="E6824" s="86"/>
      <c r="F6824" s="14"/>
    </row>
    <row r="6825" spans="1:6" x14ac:dyDescent="0.25">
      <c r="A6825" s="86">
        <v>6824</v>
      </c>
      <c r="B6825" s="87">
        <v>48.141794190421933</v>
      </c>
      <c r="C6825" s="14">
        <v>4</v>
      </c>
      <c r="D6825" s="86">
        <v>0.29358763905132412</v>
      </c>
      <c r="E6825" s="86"/>
      <c r="F6825" s="14"/>
    </row>
    <row r="6826" spans="1:6" x14ac:dyDescent="0.25">
      <c r="A6826" s="86">
        <v>6825</v>
      </c>
      <c r="B6826" s="87">
        <v>41.2288500177674</v>
      </c>
      <c r="C6826" s="14">
        <v>2</v>
      </c>
      <c r="D6826" s="86">
        <v>0.73390859269731867</v>
      </c>
      <c r="E6826" s="86"/>
      <c r="F6826" s="14"/>
    </row>
    <row r="6827" spans="1:6" x14ac:dyDescent="0.25">
      <c r="A6827" s="86">
        <v>6826</v>
      </c>
      <c r="B6827" s="87">
        <v>43.383442966267467</v>
      </c>
      <c r="C6827" s="14">
        <v>5</v>
      </c>
      <c r="D6827" s="86">
        <v>0.43534255749032946</v>
      </c>
      <c r="E6827" s="86"/>
      <c r="F6827" s="14"/>
    </row>
    <row r="6828" spans="1:6" x14ac:dyDescent="0.25">
      <c r="A6828" s="86">
        <v>6827</v>
      </c>
      <c r="B6828" s="87">
        <v>48.48347998119425</v>
      </c>
      <c r="C6828" s="14">
        <v>4</v>
      </c>
      <c r="D6828" s="86">
        <v>0.12685347397943081</v>
      </c>
      <c r="E6828" s="86"/>
      <c r="F6828" s="14"/>
    </row>
    <row r="6829" spans="1:6" x14ac:dyDescent="0.25">
      <c r="A6829" s="86">
        <v>6828</v>
      </c>
      <c r="B6829" s="87">
        <v>50.763674148009159</v>
      </c>
      <c r="C6829" s="14">
        <v>5</v>
      </c>
      <c r="D6829" s="86">
        <v>0.34585843612876666</v>
      </c>
      <c r="E6829" s="86"/>
      <c r="F6829" s="14"/>
    </row>
    <row r="6830" spans="1:6" x14ac:dyDescent="0.25">
      <c r="A6830" s="86">
        <v>6829</v>
      </c>
      <c r="B6830" s="87">
        <v>38.792768459068611</v>
      </c>
      <c r="C6830" s="14">
        <v>5</v>
      </c>
      <c r="D6830" s="86">
        <v>0.44296368807838293</v>
      </c>
      <c r="E6830" s="86"/>
      <c r="F6830" s="14"/>
    </row>
    <row r="6831" spans="1:6" x14ac:dyDescent="0.25">
      <c r="A6831" s="86">
        <v>6830</v>
      </c>
      <c r="B6831" s="87">
        <v>40.516954408638412</v>
      </c>
      <c r="C6831" s="14">
        <v>4</v>
      </c>
      <c r="D6831" s="86">
        <v>0.67285912155000616</v>
      </c>
      <c r="E6831" s="86"/>
      <c r="F6831" s="14"/>
    </row>
    <row r="6832" spans="1:6" x14ac:dyDescent="0.25">
      <c r="A6832" s="86">
        <v>6831</v>
      </c>
      <c r="B6832" s="87">
        <v>46.184527486155275</v>
      </c>
      <c r="C6832" s="14">
        <v>4</v>
      </c>
      <c r="D6832" s="86">
        <v>0.43101306206333811</v>
      </c>
      <c r="E6832" s="86"/>
      <c r="F6832" s="14"/>
    </row>
    <row r="6833" spans="1:6" x14ac:dyDescent="0.25">
      <c r="A6833" s="86">
        <v>6832</v>
      </c>
      <c r="B6833" s="87">
        <v>41.656960542575689</v>
      </c>
      <c r="C6833" s="14">
        <v>3</v>
      </c>
      <c r="D6833" s="86">
        <v>0.68437961971423922</v>
      </c>
      <c r="E6833" s="86"/>
      <c r="F6833" s="14"/>
    </row>
    <row r="6834" spans="1:6" x14ac:dyDescent="0.25">
      <c r="A6834" s="86">
        <v>6833</v>
      </c>
      <c r="B6834" s="87">
        <v>42.575499032289372</v>
      </c>
      <c r="C6834" s="14">
        <v>2</v>
      </c>
      <c r="D6834" s="86">
        <v>0.75574939438176669</v>
      </c>
      <c r="E6834" s="86"/>
      <c r="F6834" s="14"/>
    </row>
    <row r="6835" spans="1:6" x14ac:dyDescent="0.25">
      <c r="A6835" s="86">
        <v>6834</v>
      </c>
      <c r="B6835" s="87">
        <v>34.224012774182484</v>
      </c>
      <c r="C6835" s="14">
        <v>4</v>
      </c>
      <c r="D6835" s="86">
        <v>0.65462530416755493</v>
      </c>
      <c r="E6835" s="86"/>
      <c r="F6835" s="14"/>
    </row>
    <row r="6836" spans="1:6" x14ac:dyDescent="0.25">
      <c r="A6836" s="86">
        <v>6835</v>
      </c>
      <c r="B6836" s="87">
        <v>45.851322733476991</v>
      </c>
      <c r="C6836" s="14">
        <v>4</v>
      </c>
      <c r="D6836" s="86">
        <v>3.2043736918727861E-2</v>
      </c>
      <c r="E6836" s="86"/>
      <c r="F6836" s="14"/>
    </row>
    <row r="6837" spans="1:6" x14ac:dyDescent="0.25">
      <c r="A6837" s="86">
        <v>6836</v>
      </c>
      <c r="B6837" s="87">
        <v>45.657225195434876</v>
      </c>
      <c r="C6837" s="14">
        <v>1</v>
      </c>
      <c r="D6837" s="86">
        <v>0.49951646858527599</v>
      </c>
      <c r="E6837" s="86"/>
      <c r="F6837" s="14"/>
    </row>
    <row r="6838" spans="1:6" x14ac:dyDescent="0.25">
      <c r="A6838" s="86">
        <v>6837</v>
      </c>
      <c r="B6838" s="87">
        <v>44.052501374942949</v>
      </c>
      <c r="C6838" s="14">
        <v>5</v>
      </c>
      <c r="D6838" s="86">
        <v>0.23871617338625017</v>
      </c>
      <c r="E6838" s="86"/>
      <c r="F6838" s="14"/>
    </row>
    <row r="6839" spans="1:6" x14ac:dyDescent="0.25">
      <c r="A6839" s="86">
        <v>6838</v>
      </c>
      <c r="B6839" s="87">
        <v>39.765177456836682</v>
      </c>
      <c r="C6839" s="14">
        <v>2</v>
      </c>
      <c r="D6839" s="86">
        <v>0.17686667320904426</v>
      </c>
      <c r="E6839" s="86"/>
      <c r="F6839" s="14"/>
    </row>
    <row r="6840" spans="1:6" x14ac:dyDescent="0.25">
      <c r="A6840" s="86">
        <v>6839</v>
      </c>
      <c r="B6840" s="87">
        <v>39.688882220041705</v>
      </c>
      <c r="C6840" s="14">
        <v>1</v>
      </c>
      <c r="D6840" s="86">
        <v>0.32777390263557671</v>
      </c>
      <c r="E6840" s="86"/>
      <c r="F6840" s="14"/>
    </row>
    <row r="6841" spans="1:6" x14ac:dyDescent="0.25">
      <c r="A6841" s="86">
        <v>6840</v>
      </c>
      <c r="B6841" s="87">
        <v>46.792138159042224</v>
      </c>
      <c r="C6841" s="14">
        <v>4</v>
      </c>
      <c r="D6841" s="86">
        <v>0.7683070960800642</v>
      </c>
      <c r="E6841" s="86"/>
      <c r="F6841" s="14"/>
    </row>
    <row r="6842" spans="1:6" x14ac:dyDescent="0.25">
      <c r="A6842" s="86">
        <v>6841</v>
      </c>
      <c r="B6842" s="87">
        <v>42.658746219211025</v>
      </c>
      <c r="C6842" s="14">
        <v>5</v>
      </c>
      <c r="D6842" s="86">
        <v>0.28701006485191149</v>
      </c>
      <c r="E6842" s="86"/>
      <c r="F6842" s="14"/>
    </row>
    <row r="6843" spans="1:6" x14ac:dyDescent="0.25">
      <c r="A6843" s="86">
        <v>6842</v>
      </c>
      <c r="B6843" s="87">
        <v>46.210340082659968</v>
      </c>
      <c r="C6843" s="14">
        <v>5</v>
      </c>
      <c r="D6843" s="86">
        <v>0.29598064819447967</v>
      </c>
      <c r="E6843" s="86"/>
      <c r="F6843" s="14"/>
    </row>
    <row r="6844" spans="1:6" x14ac:dyDescent="0.25">
      <c r="A6844" s="86">
        <v>6843</v>
      </c>
      <c r="B6844" s="87">
        <v>50.336825547099579</v>
      </c>
      <c r="C6844" s="14">
        <v>4</v>
      </c>
      <c r="D6844" s="86">
        <v>0.44419273675053372</v>
      </c>
      <c r="E6844" s="86"/>
      <c r="F6844" s="14"/>
    </row>
    <row r="6845" spans="1:6" x14ac:dyDescent="0.25">
      <c r="A6845" s="86">
        <v>6844</v>
      </c>
      <c r="B6845" s="87">
        <v>45.711118440856808</v>
      </c>
      <c r="C6845" s="14">
        <v>4</v>
      </c>
      <c r="D6845" s="86">
        <v>0.39330994137293407</v>
      </c>
      <c r="E6845" s="86"/>
      <c r="F6845" s="14"/>
    </row>
    <row r="6846" spans="1:6" x14ac:dyDescent="0.25">
      <c r="A6846" s="86">
        <v>6845</v>
      </c>
      <c r="B6846" s="87">
        <v>49.327468327071983</v>
      </c>
      <c r="C6846" s="14">
        <v>4</v>
      </c>
      <c r="D6846" s="86">
        <v>0.29892003842102344</v>
      </c>
      <c r="E6846" s="86"/>
      <c r="F6846" s="14"/>
    </row>
    <row r="6847" spans="1:6" x14ac:dyDescent="0.25">
      <c r="A6847" s="86">
        <v>6846</v>
      </c>
      <c r="B6847" s="87">
        <v>44.02357944342657</v>
      </c>
      <c r="C6847" s="14">
        <v>4</v>
      </c>
      <c r="D6847" s="86">
        <v>0.63045321287897205</v>
      </c>
      <c r="E6847" s="86"/>
      <c r="F6847" s="14"/>
    </row>
    <row r="6848" spans="1:6" x14ac:dyDescent="0.25">
      <c r="A6848" s="86">
        <v>6847</v>
      </c>
      <c r="B6848" s="87">
        <v>46.883030785800656</v>
      </c>
      <c r="C6848" s="14">
        <v>2</v>
      </c>
      <c r="D6848" s="86">
        <v>0.39319764895491749</v>
      </c>
      <c r="E6848" s="86"/>
      <c r="F6848" s="14"/>
    </row>
    <row r="6849" spans="1:6" x14ac:dyDescent="0.25">
      <c r="A6849" s="86">
        <v>6848</v>
      </c>
      <c r="B6849" s="87">
        <v>48.306173989083618</v>
      </c>
      <c r="C6849" s="14">
        <v>4</v>
      </c>
      <c r="D6849" s="86">
        <v>0.58984408315112069</v>
      </c>
      <c r="E6849" s="86"/>
      <c r="F6849" s="14"/>
    </row>
    <row r="6850" spans="1:6" x14ac:dyDescent="0.25">
      <c r="A6850" s="86">
        <v>6849</v>
      </c>
      <c r="B6850" s="87">
        <v>47.468029146664776</v>
      </c>
      <c r="C6850" s="14">
        <v>2</v>
      </c>
      <c r="D6850" s="86">
        <v>0.75271283476830775</v>
      </c>
      <c r="E6850" s="86"/>
      <c r="F6850" s="14"/>
    </row>
    <row r="6851" spans="1:6" x14ac:dyDescent="0.25">
      <c r="A6851" s="86">
        <v>6850</v>
      </c>
      <c r="B6851" s="87">
        <v>39.991084572073305</v>
      </c>
      <c r="C6851" s="14">
        <v>4</v>
      </c>
      <c r="D6851" s="86">
        <v>0.77205373911790032</v>
      </c>
      <c r="E6851" s="86"/>
      <c r="F6851" s="14"/>
    </row>
    <row r="6852" spans="1:6" x14ac:dyDescent="0.25">
      <c r="A6852" s="86">
        <v>6851</v>
      </c>
      <c r="B6852" s="87">
        <v>46.359377842571121</v>
      </c>
      <c r="C6852" s="14">
        <v>1</v>
      </c>
      <c r="D6852" s="86">
        <v>0.57686018394663685</v>
      </c>
      <c r="E6852" s="86"/>
      <c r="F6852" s="14"/>
    </row>
    <row r="6853" spans="1:6" x14ac:dyDescent="0.25">
      <c r="A6853" s="86">
        <v>6852</v>
      </c>
      <c r="B6853" s="87">
        <v>45.405027998975129</v>
      </c>
      <c r="C6853" s="14">
        <v>2</v>
      </c>
      <c r="D6853" s="86">
        <v>0.20937431145288421</v>
      </c>
      <c r="E6853" s="86"/>
      <c r="F6853" s="14"/>
    </row>
    <row r="6854" spans="1:6" x14ac:dyDescent="0.25">
      <c r="A6854" s="86">
        <v>6853</v>
      </c>
      <c r="B6854" s="87">
        <v>43.272660827249638</v>
      </c>
      <c r="C6854" s="14">
        <v>5</v>
      </c>
      <c r="D6854" s="86">
        <v>0.43406035689736411</v>
      </c>
      <c r="E6854" s="86"/>
      <c r="F6854" s="14"/>
    </row>
    <row r="6855" spans="1:6" x14ac:dyDescent="0.25">
      <c r="A6855" s="86">
        <v>6854</v>
      </c>
      <c r="B6855" s="87">
        <v>41.597786543541588</v>
      </c>
      <c r="C6855" s="14">
        <v>2</v>
      </c>
      <c r="D6855" s="86">
        <v>0.17545739408540895</v>
      </c>
      <c r="E6855" s="86"/>
      <c r="F6855" s="14"/>
    </row>
    <row r="6856" spans="1:6" x14ac:dyDescent="0.25">
      <c r="A6856" s="86">
        <v>6855</v>
      </c>
      <c r="B6856" s="87">
        <v>39.128337897971505</v>
      </c>
      <c r="C6856" s="14">
        <v>2</v>
      </c>
      <c r="D6856" s="86">
        <v>7.2964648170604773E-3</v>
      </c>
      <c r="E6856" s="86"/>
      <c r="F6856" s="14"/>
    </row>
    <row r="6857" spans="1:6" x14ac:dyDescent="0.25">
      <c r="A6857" s="86">
        <v>6856</v>
      </c>
      <c r="B6857" s="87">
        <v>39.146891589887673</v>
      </c>
      <c r="C6857" s="14">
        <v>1</v>
      </c>
      <c r="D6857" s="86">
        <v>0.75125385453885307</v>
      </c>
      <c r="E6857" s="86"/>
      <c r="F6857" s="14"/>
    </row>
    <row r="6858" spans="1:6" x14ac:dyDescent="0.25">
      <c r="A6858" s="86">
        <v>6857</v>
      </c>
      <c r="B6858" s="87">
        <v>48.728736596211093</v>
      </c>
      <c r="C6858" s="14">
        <v>4</v>
      </c>
      <c r="D6858" s="86">
        <v>0.9955295298475858</v>
      </c>
      <c r="E6858" s="86"/>
      <c r="F6858" s="14"/>
    </row>
    <row r="6859" spans="1:6" x14ac:dyDescent="0.25">
      <c r="A6859" s="86">
        <v>6858</v>
      </c>
      <c r="B6859" s="87">
        <v>35.121956893242896</v>
      </c>
      <c r="C6859" s="14">
        <v>5</v>
      </c>
      <c r="D6859" s="86">
        <v>1.5534336514615221E-2</v>
      </c>
      <c r="E6859" s="86"/>
      <c r="F6859" s="14"/>
    </row>
    <row r="6860" spans="1:6" x14ac:dyDescent="0.25">
      <c r="A6860" s="86">
        <v>6859</v>
      </c>
      <c r="B6860" s="87">
        <v>39.308577010495355</v>
      </c>
      <c r="C6860" s="14">
        <v>4</v>
      </c>
      <c r="D6860" s="86">
        <v>0.14973148177780338</v>
      </c>
      <c r="E6860" s="86"/>
      <c r="F6860" s="14"/>
    </row>
    <row r="6861" spans="1:6" x14ac:dyDescent="0.25">
      <c r="A6861" s="86">
        <v>6860</v>
      </c>
      <c r="B6861" s="87">
        <v>43.950257117438014</v>
      </c>
      <c r="C6861" s="14">
        <v>4</v>
      </c>
      <c r="D6861" s="86">
        <v>3.1715906108200964E-2</v>
      </c>
      <c r="E6861" s="86"/>
      <c r="F6861" s="14"/>
    </row>
    <row r="6862" spans="1:6" x14ac:dyDescent="0.25">
      <c r="A6862" s="86">
        <v>6861</v>
      </c>
      <c r="B6862" s="87">
        <v>41.109825583014754</v>
      </c>
      <c r="C6862" s="14">
        <v>4</v>
      </c>
      <c r="D6862" s="86">
        <v>0.35888878651730505</v>
      </c>
      <c r="E6862" s="86"/>
      <c r="F6862" s="14"/>
    </row>
    <row r="6863" spans="1:6" x14ac:dyDescent="0.25">
      <c r="A6863" s="86">
        <v>6862</v>
      </c>
      <c r="B6863" s="87">
        <v>48.785886969533749</v>
      </c>
      <c r="C6863" s="14">
        <v>5</v>
      </c>
      <c r="D6863" s="86">
        <v>4.2010637105142856E-2</v>
      </c>
      <c r="E6863" s="86"/>
      <c r="F6863" s="14"/>
    </row>
    <row r="6864" spans="1:6" x14ac:dyDescent="0.25">
      <c r="A6864" s="86">
        <v>6863</v>
      </c>
      <c r="B6864" s="87">
        <v>41.139782064754399</v>
      </c>
      <c r="C6864" s="14">
        <v>4</v>
      </c>
      <c r="D6864" s="86">
        <v>0.73713163807609239</v>
      </c>
      <c r="E6864" s="86"/>
      <c r="F6864" s="14"/>
    </row>
    <row r="6865" spans="1:6" x14ac:dyDescent="0.25">
      <c r="A6865" s="86">
        <v>6864</v>
      </c>
      <c r="B6865" s="87">
        <v>41.994383076933445</v>
      </c>
      <c r="C6865" s="14">
        <v>4</v>
      </c>
      <c r="D6865" s="86">
        <v>0.62341133639769408</v>
      </c>
      <c r="E6865" s="86"/>
      <c r="F6865" s="14"/>
    </row>
    <row r="6866" spans="1:6" x14ac:dyDescent="0.25">
      <c r="A6866" s="86">
        <v>6865</v>
      </c>
      <c r="B6866" s="87">
        <v>39.961241777171381</v>
      </c>
      <c r="C6866" s="14">
        <v>1</v>
      </c>
      <c r="D6866" s="86">
        <v>0.70766142942775956</v>
      </c>
      <c r="E6866" s="86"/>
      <c r="F6866" s="14"/>
    </row>
    <row r="6867" spans="1:6" x14ac:dyDescent="0.25">
      <c r="A6867" s="86">
        <v>6866</v>
      </c>
      <c r="B6867" s="87">
        <v>42.044678133941488</v>
      </c>
      <c r="C6867" s="14">
        <v>1</v>
      </c>
      <c r="D6867" s="86">
        <v>0.97049241923932639</v>
      </c>
      <c r="E6867" s="86"/>
      <c r="F6867" s="14"/>
    </row>
    <row r="6868" spans="1:6" x14ac:dyDescent="0.25">
      <c r="A6868" s="86">
        <v>6867</v>
      </c>
      <c r="B6868" s="87">
        <v>47.191451807855628</v>
      </c>
      <c r="C6868" s="14">
        <v>1</v>
      </c>
      <c r="D6868" s="86">
        <v>0.25543901584219142</v>
      </c>
      <c r="E6868" s="86"/>
      <c r="F6868" s="14"/>
    </row>
    <row r="6869" spans="1:6" x14ac:dyDescent="0.25">
      <c r="A6869" s="86">
        <v>6868</v>
      </c>
      <c r="B6869" s="87">
        <v>47.562343747238629</v>
      </c>
      <c r="C6869" s="14">
        <v>5</v>
      </c>
      <c r="D6869" s="86">
        <v>0.60053699827891549</v>
      </c>
      <c r="E6869" s="86"/>
      <c r="F6869" s="14"/>
    </row>
    <row r="6870" spans="1:6" x14ac:dyDescent="0.25">
      <c r="A6870" s="86">
        <v>6869</v>
      </c>
      <c r="B6870" s="87">
        <v>49.365985427692067</v>
      </c>
      <c r="C6870" s="14">
        <v>2</v>
      </c>
      <c r="D6870" s="86">
        <v>0.60560902445142251</v>
      </c>
      <c r="E6870" s="86"/>
      <c r="F6870" s="14"/>
    </row>
    <row r="6871" spans="1:6" x14ac:dyDescent="0.25">
      <c r="A6871" s="86">
        <v>6870</v>
      </c>
      <c r="B6871" s="87">
        <v>32.733350957976654</v>
      </c>
      <c r="C6871" s="14">
        <v>2</v>
      </c>
      <c r="D6871" s="86">
        <v>0.94017349031048913</v>
      </c>
      <c r="E6871" s="86"/>
      <c r="F6871" s="14"/>
    </row>
    <row r="6872" spans="1:6" x14ac:dyDescent="0.25">
      <c r="A6872" s="86">
        <v>6871</v>
      </c>
      <c r="B6872" s="87">
        <v>46.230582024116302</v>
      </c>
      <c r="C6872" s="14">
        <v>2</v>
      </c>
      <c r="D6872" s="86">
        <v>0.18571467605681335</v>
      </c>
      <c r="E6872" s="86"/>
      <c r="F6872" s="14"/>
    </row>
    <row r="6873" spans="1:6" x14ac:dyDescent="0.25">
      <c r="A6873" s="86">
        <v>6872</v>
      </c>
      <c r="B6873" s="87">
        <v>40.81975361656805</v>
      </c>
      <c r="C6873" s="14">
        <v>2</v>
      </c>
      <c r="D6873" s="86">
        <v>0.77131977925110906</v>
      </c>
      <c r="E6873" s="86"/>
      <c r="F6873" s="14"/>
    </row>
    <row r="6874" spans="1:6" x14ac:dyDescent="0.25">
      <c r="A6874" s="86">
        <v>6873</v>
      </c>
      <c r="B6874" s="87">
        <v>46.740831289178459</v>
      </c>
      <c r="C6874" s="14">
        <v>5</v>
      </c>
      <c r="D6874" s="86">
        <v>0.73202880731610909</v>
      </c>
      <c r="E6874" s="86"/>
      <c r="F6874" s="14"/>
    </row>
    <row r="6875" spans="1:6" x14ac:dyDescent="0.25">
      <c r="A6875" s="86">
        <v>6874</v>
      </c>
      <c r="B6875" s="87">
        <v>49.217408099473687</v>
      </c>
      <c r="C6875" s="14">
        <v>5</v>
      </c>
      <c r="D6875" s="86">
        <v>0.86562513802081242</v>
      </c>
      <c r="E6875" s="86"/>
      <c r="F6875" s="14"/>
    </row>
    <row r="6876" spans="1:6" x14ac:dyDescent="0.25">
      <c r="A6876" s="86">
        <v>6875</v>
      </c>
      <c r="B6876" s="87">
        <v>42.346567847169354</v>
      </c>
      <c r="C6876" s="14">
        <v>5</v>
      </c>
      <c r="D6876" s="86">
        <v>0.22694692748195744</v>
      </c>
      <c r="E6876" s="86"/>
      <c r="F6876" s="14"/>
    </row>
    <row r="6877" spans="1:6" x14ac:dyDescent="0.25">
      <c r="A6877" s="86">
        <v>6876</v>
      </c>
      <c r="B6877" s="87">
        <v>46.985724106314592</v>
      </c>
      <c r="C6877" s="14">
        <v>3</v>
      </c>
      <c r="D6877" s="86">
        <v>0.66218465460115572</v>
      </c>
      <c r="E6877" s="86"/>
      <c r="F6877" s="14"/>
    </row>
    <row r="6878" spans="1:6" x14ac:dyDescent="0.25">
      <c r="A6878" s="86">
        <v>6877</v>
      </c>
      <c r="B6878" s="87">
        <v>29.385228112339973</v>
      </c>
      <c r="C6878" s="14">
        <v>5</v>
      </c>
      <c r="D6878" s="86">
        <v>0.18768996480749056</v>
      </c>
      <c r="E6878" s="86"/>
      <c r="F6878" s="14"/>
    </row>
    <row r="6879" spans="1:6" x14ac:dyDescent="0.25">
      <c r="A6879" s="86">
        <v>6878</v>
      </c>
      <c r="B6879" s="87">
        <v>41.954535840312019</v>
      </c>
      <c r="C6879" s="14">
        <v>2</v>
      </c>
      <c r="D6879" s="86">
        <v>4.7269931358195239E-2</v>
      </c>
      <c r="E6879" s="86"/>
      <c r="F6879" s="14"/>
    </row>
    <row r="6880" spans="1:6" x14ac:dyDescent="0.25">
      <c r="A6880" s="86">
        <v>6879</v>
      </c>
      <c r="B6880" s="87">
        <v>38.797668361774413</v>
      </c>
      <c r="C6880" s="14">
        <v>5</v>
      </c>
      <c r="D6880" s="86">
        <v>0.62581393539902308</v>
      </c>
      <c r="E6880" s="86"/>
      <c r="F6880" s="14"/>
    </row>
    <row r="6881" spans="1:6" x14ac:dyDescent="0.25">
      <c r="A6881" s="86">
        <v>6880</v>
      </c>
      <c r="B6881" s="87">
        <v>44.855300979514141</v>
      </c>
      <c r="C6881" s="14">
        <v>2</v>
      </c>
      <c r="D6881" s="86">
        <v>0.12781065309498385</v>
      </c>
      <c r="E6881" s="86"/>
      <c r="F6881" s="14"/>
    </row>
    <row r="6882" spans="1:6" x14ac:dyDescent="0.25">
      <c r="A6882" s="86">
        <v>6881</v>
      </c>
      <c r="B6882" s="87">
        <v>47.660660124500282</v>
      </c>
      <c r="C6882" s="14">
        <v>5</v>
      </c>
      <c r="D6882" s="86">
        <v>0.75581050978771203</v>
      </c>
      <c r="E6882" s="86"/>
      <c r="F6882" s="14"/>
    </row>
    <row r="6883" spans="1:6" x14ac:dyDescent="0.25">
      <c r="A6883" s="86">
        <v>6882</v>
      </c>
      <c r="B6883" s="87">
        <v>43.818153012005496</v>
      </c>
      <c r="C6883" s="14">
        <v>5</v>
      </c>
      <c r="D6883" s="86">
        <v>0.35318378299062692</v>
      </c>
      <c r="E6883" s="86"/>
      <c r="F6883" s="14"/>
    </row>
    <row r="6884" spans="1:6" x14ac:dyDescent="0.25">
      <c r="A6884" s="86">
        <v>6883</v>
      </c>
      <c r="B6884" s="87">
        <v>43.638004848951823</v>
      </c>
      <c r="C6884" s="14">
        <v>4</v>
      </c>
      <c r="D6884" s="86">
        <v>0.92681639795862081</v>
      </c>
      <c r="E6884" s="86"/>
      <c r="F6884" s="14"/>
    </row>
    <row r="6885" spans="1:6" x14ac:dyDescent="0.25">
      <c r="A6885" s="86">
        <v>6884</v>
      </c>
      <c r="B6885" s="87">
        <v>40.816388486171491</v>
      </c>
      <c r="C6885" s="14">
        <v>2</v>
      </c>
      <c r="D6885" s="86">
        <v>0.15269956346824565</v>
      </c>
      <c r="E6885" s="86"/>
      <c r="F6885" s="14"/>
    </row>
    <row r="6886" spans="1:6" x14ac:dyDescent="0.25">
      <c r="A6886" s="86">
        <v>6885</v>
      </c>
      <c r="B6886" s="87">
        <v>38.687187492876546</v>
      </c>
      <c r="C6886" s="14">
        <v>3</v>
      </c>
      <c r="D6886" s="86">
        <v>0.70143953719154917</v>
      </c>
      <c r="E6886" s="86"/>
      <c r="F6886" s="14"/>
    </row>
    <row r="6887" spans="1:6" x14ac:dyDescent="0.25">
      <c r="A6887" s="86">
        <v>6886</v>
      </c>
      <c r="B6887" s="87">
        <v>39.467465734895086</v>
      </c>
      <c r="C6887" s="14">
        <v>4</v>
      </c>
      <c r="D6887" s="86">
        <v>0.54142893418459692</v>
      </c>
      <c r="E6887" s="86"/>
      <c r="F6887" s="14"/>
    </row>
    <row r="6888" spans="1:6" x14ac:dyDescent="0.25">
      <c r="A6888" s="86">
        <v>6887</v>
      </c>
      <c r="B6888" s="87">
        <v>51.500455805915408</v>
      </c>
      <c r="C6888" s="14">
        <v>2</v>
      </c>
      <c r="D6888" s="86">
        <v>0.37048584664390838</v>
      </c>
      <c r="E6888" s="86"/>
      <c r="F6888" s="14"/>
    </row>
    <row r="6889" spans="1:6" x14ac:dyDescent="0.25">
      <c r="A6889" s="86">
        <v>6888</v>
      </c>
      <c r="B6889" s="87">
        <v>42.73576905176742</v>
      </c>
      <c r="C6889" s="14">
        <v>2</v>
      </c>
      <c r="D6889" s="86">
        <v>0.99077634455238672</v>
      </c>
      <c r="E6889" s="86"/>
      <c r="F6889" s="14"/>
    </row>
    <row r="6890" spans="1:6" x14ac:dyDescent="0.25">
      <c r="A6890" s="86">
        <v>6889</v>
      </c>
      <c r="B6890" s="87">
        <v>45.834678980434546</v>
      </c>
      <c r="C6890" s="14">
        <v>4</v>
      </c>
      <c r="D6890" s="86">
        <v>0.97485529320493258</v>
      </c>
      <c r="E6890" s="86"/>
      <c r="F6890" s="14"/>
    </row>
    <row r="6891" spans="1:6" x14ac:dyDescent="0.25">
      <c r="A6891" s="86">
        <v>6890</v>
      </c>
      <c r="B6891" s="87">
        <v>44.808257366064936</v>
      </c>
      <c r="C6891" s="14">
        <v>2</v>
      </c>
      <c r="D6891" s="86">
        <v>6.2140767832505328E-2</v>
      </c>
      <c r="E6891" s="86"/>
      <c r="F6891" s="14"/>
    </row>
    <row r="6892" spans="1:6" x14ac:dyDescent="0.25">
      <c r="A6892" s="86">
        <v>6891</v>
      </c>
      <c r="B6892" s="87">
        <v>40.43353100711829</v>
      </c>
      <c r="C6892" s="14">
        <v>2</v>
      </c>
      <c r="D6892" s="86">
        <v>0.61952525019875537</v>
      </c>
      <c r="E6892" s="86"/>
      <c r="F6892" s="14"/>
    </row>
    <row r="6893" spans="1:6" x14ac:dyDescent="0.25">
      <c r="A6893" s="86">
        <v>6892</v>
      </c>
      <c r="B6893" s="87">
        <v>42.482520252058748</v>
      </c>
      <c r="C6893" s="14">
        <v>4</v>
      </c>
      <c r="D6893" s="86">
        <v>0.84702831043008309</v>
      </c>
      <c r="E6893" s="86"/>
      <c r="F6893" s="14"/>
    </row>
    <row r="6894" spans="1:6" x14ac:dyDescent="0.25">
      <c r="A6894" s="86">
        <v>6893</v>
      </c>
      <c r="B6894" s="87">
        <v>44.987905307032634</v>
      </c>
      <c r="C6894" s="14">
        <v>5</v>
      </c>
      <c r="D6894" s="86">
        <v>0.34709823607886936</v>
      </c>
      <c r="E6894" s="86"/>
      <c r="F6894" s="14"/>
    </row>
    <row r="6895" spans="1:6" x14ac:dyDescent="0.25">
      <c r="A6895" s="86">
        <v>6894</v>
      </c>
      <c r="B6895" s="87">
        <v>40.629265635623597</v>
      </c>
      <c r="C6895" s="14">
        <v>2</v>
      </c>
      <c r="D6895" s="86">
        <v>0.86243187582295189</v>
      </c>
      <c r="E6895" s="86"/>
      <c r="F6895" s="14"/>
    </row>
    <row r="6896" spans="1:6" x14ac:dyDescent="0.25">
      <c r="A6896" s="86">
        <v>6895</v>
      </c>
      <c r="B6896" s="87">
        <v>41.488834762611077</v>
      </c>
      <c r="C6896" s="14">
        <v>3</v>
      </c>
      <c r="D6896" s="86">
        <v>0.29700085351701777</v>
      </c>
      <c r="E6896" s="86"/>
      <c r="F6896" s="14"/>
    </row>
    <row r="6897" spans="1:6" x14ac:dyDescent="0.25">
      <c r="A6897" s="86">
        <v>6896</v>
      </c>
      <c r="B6897" s="87">
        <v>37.098254774144152</v>
      </c>
      <c r="C6897" s="14">
        <v>4</v>
      </c>
      <c r="D6897" s="86">
        <v>0.24473375305665779</v>
      </c>
      <c r="E6897" s="86"/>
      <c r="F6897" s="14"/>
    </row>
    <row r="6898" spans="1:6" x14ac:dyDescent="0.25">
      <c r="A6898" s="86">
        <v>6897</v>
      </c>
      <c r="B6898" s="87">
        <v>41.187655592118972</v>
      </c>
      <c r="C6898" s="14">
        <v>2</v>
      </c>
      <c r="D6898" s="86">
        <v>2.1650781374081829E-3</v>
      </c>
      <c r="E6898" s="86"/>
      <c r="F6898" s="14"/>
    </row>
    <row r="6899" spans="1:6" x14ac:dyDescent="0.25">
      <c r="A6899" s="86">
        <v>6898</v>
      </c>
      <c r="B6899" s="87">
        <v>35.560628925275523</v>
      </c>
      <c r="C6899" s="14">
        <v>4</v>
      </c>
      <c r="D6899" s="86">
        <v>0.19223736749934184</v>
      </c>
      <c r="E6899" s="86"/>
      <c r="F6899" s="14"/>
    </row>
    <row r="6900" spans="1:6" x14ac:dyDescent="0.25">
      <c r="A6900" s="86">
        <v>6899</v>
      </c>
      <c r="B6900" s="87">
        <v>47.087451088707894</v>
      </c>
      <c r="C6900" s="14">
        <v>2</v>
      </c>
      <c r="D6900" s="86">
        <v>2.2119507383819403E-2</v>
      </c>
      <c r="E6900" s="86"/>
      <c r="F6900" s="14"/>
    </row>
    <row r="6901" spans="1:6" x14ac:dyDescent="0.25">
      <c r="A6901" s="86">
        <v>6900</v>
      </c>
      <c r="B6901" s="87">
        <v>37.490622157172766</v>
      </c>
      <c r="C6901" s="14">
        <v>2</v>
      </c>
      <c r="D6901" s="86">
        <v>0.72374266989337566</v>
      </c>
      <c r="E6901" s="86"/>
      <c r="F6901" s="14"/>
    </row>
    <row r="6902" spans="1:6" x14ac:dyDescent="0.25">
      <c r="A6902" s="86">
        <v>6901</v>
      </c>
      <c r="B6902" s="87">
        <v>47.594915026245872</v>
      </c>
      <c r="C6902" s="14">
        <v>4</v>
      </c>
      <c r="D6902" s="86">
        <v>0.30083754868519863</v>
      </c>
      <c r="E6902" s="86"/>
      <c r="F6902" s="14"/>
    </row>
    <row r="6903" spans="1:6" x14ac:dyDescent="0.25">
      <c r="A6903" s="86">
        <v>6902</v>
      </c>
      <c r="B6903" s="87">
        <v>40.994279965496389</v>
      </c>
      <c r="C6903" s="14">
        <v>2</v>
      </c>
      <c r="D6903" s="86">
        <v>0.77432604460041765</v>
      </c>
      <c r="E6903" s="86"/>
      <c r="F6903" s="14"/>
    </row>
    <row r="6904" spans="1:6" x14ac:dyDescent="0.25">
      <c r="A6904" s="86">
        <v>6903</v>
      </c>
      <c r="B6904" s="87">
        <v>41.534815404127585</v>
      </c>
      <c r="C6904" s="14">
        <v>4</v>
      </c>
      <c r="D6904" s="86">
        <v>0.84732391338689594</v>
      </c>
      <c r="E6904" s="86"/>
      <c r="F6904" s="14"/>
    </row>
    <row r="6905" spans="1:6" x14ac:dyDescent="0.25">
      <c r="A6905" s="86">
        <v>6904</v>
      </c>
      <c r="B6905" s="87">
        <v>48.851381956745172</v>
      </c>
      <c r="C6905" s="14">
        <v>2</v>
      </c>
      <c r="D6905" s="86">
        <v>0.23084566714003951</v>
      </c>
      <c r="E6905" s="86"/>
      <c r="F6905" s="14"/>
    </row>
    <row r="6906" spans="1:6" x14ac:dyDescent="0.25">
      <c r="A6906" s="86">
        <v>6905</v>
      </c>
      <c r="B6906" s="87">
        <v>45.734185500230524</v>
      </c>
      <c r="C6906" s="14">
        <v>4</v>
      </c>
      <c r="D6906" s="86">
        <v>6.0689208022465913E-2</v>
      </c>
      <c r="E6906" s="86"/>
      <c r="F6906" s="14"/>
    </row>
    <row r="6907" spans="1:6" x14ac:dyDescent="0.25">
      <c r="A6907" s="86">
        <v>6906</v>
      </c>
      <c r="B6907" s="87">
        <v>40.492261627485277</v>
      </c>
      <c r="C6907" s="14">
        <v>4</v>
      </c>
      <c r="D6907" s="86">
        <v>0.86316032543892984</v>
      </c>
      <c r="E6907" s="86"/>
      <c r="F6907" s="14"/>
    </row>
    <row r="6908" spans="1:6" x14ac:dyDescent="0.25">
      <c r="A6908" s="86">
        <v>6907</v>
      </c>
      <c r="B6908" s="87">
        <v>45.411468358332058</v>
      </c>
      <c r="C6908" s="14">
        <v>4</v>
      </c>
      <c r="D6908" s="86">
        <v>9.5056568622457926E-2</v>
      </c>
      <c r="E6908" s="86"/>
      <c r="F6908" s="14"/>
    </row>
    <row r="6909" spans="1:6" x14ac:dyDescent="0.25">
      <c r="A6909" s="86">
        <v>6908</v>
      </c>
      <c r="B6909" s="87">
        <v>38.943983321922133</v>
      </c>
      <c r="C6909" s="14">
        <v>5</v>
      </c>
      <c r="D6909" s="86">
        <v>0.21018596353122432</v>
      </c>
      <c r="E6909" s="86"/>
      <c r="F6909" s="14"/>
    </row>
    <row r="6910" spans="1:6" x14ac:dyDescent="0.25">
      <c r="A6910" s="86">
        <v>6909</v>
      </c>
      <c r="B6910" s="87">
        <v>44.349383182969177</v>
      </c>
      <c r="C6910" s="14">
        <v>4</v>
      </c>
      <c r="D6910" s="86">
        <v>0.86514897344578034</v>
      </c>
      <c r="E6910" s="86"/>
      <c r="F6910" s="14"/>
    </row>
    <row r="6911" spans="1:6" x14ac:dyDescent="0.25">
      <c r="A6911" s="86">
        <v>6910</v>
      </c>
      <c r="B6911" s="87">
        <v>38.960968135477742</v>
      </c>
      <c r="C6911" s="14">
        <v>2</v>
      </c>
      <c r="D6911" s="86">
        <v>0.33935190923121838</v>
      </c>
      <c r="E6911" s="86"/>
      <c r="F6911" s="14"/>
    </row>
    <row r="6912" spans="1:6" x14ac:dyDescent="0.25">
      <c r="A6912" s="86">
        <v>6911</v>
      </c>
      <c r="B6912" s="87">
        <v>41.845203208475141</v>
      </c>
      <c r="C6912" s="14">
        <v>2</v>
      </c>
      <c r="D6912" s="86">
        <v>0.4307767870603828</v>
      </c>
      <c r="E6912" s="86"/>
      <c r="F6912" s="14"/>
    </row>
    <row r="6913" spans="1:6" x14ac:dyDescent="0.25">
      <c r="A6913" s="86">
        <v>6912</v>
      </c>
      <c r="B6913" s="87">
        <v>36.332664871559246</v>
      </c>
      <c r="C6913" s="14">
        <v>1</v>
      </c>
      <c r="D6913" s="86">
        <v>0.95511169668137663</v>
      </c>
      <c r="E6913" s="86"/>
      <c r="F6913" s="14"/>
    </row>
    <row r="6914" spans="1:6" x14ac:dyDescent="0.25">
      <c r="A6914" s="86">
        <v>6913</v>
      </c>
      <c r="B6914" s="87">
        <v>46.960019512305735</v>
      </c>
      <c r="C6914" s="14">
        <v>4</v>
      </c>
      <c r="D6914" s="86">
        <v>0.67865393332651081</v>
      </c>
      <c r="E6914" s="86"/>
      <c r="F6914" s="14"/>
    </row>
    <row r="6915" spans="1:6" x14ac:dyDescent="0.25">
      <c r="A6915" s="86">
        <v>6914</v>
      </c>
      <c r="B6915" s="87">
        <v>39.317615114094224</v>
      </c>
      <c r="C6915" s="14">
        <v>1</v>
      </c>
      <c r="D6915" s="86">
        <v>0.20893142975760959</v>
      </c>
      <c r="E6915" s="86"/>
      <c r="F6915" s="14"/>
    </row>
    <row r="6916" spans="1:6" x14ac:dyDescent="0.25">
      <c r="A6916" s="86">
        <v>6915</v>
      </c>
      <c r="B6916" s="87">
        <v>43.547095169167733</v>
      </c>
      <c r="C6916" s="14">
        <v>4</v>
      </c>
      <c r="D6916" s="86">
        <v>0.55644862272147966</v>
      </c>
      <c r="E6916" s="86"/>
      <c r="F6916" s="14"/>
    </row>
    <row r="6917" spans="1:6" x14ac:dyDescent="0.25">
      <c r="A6917" s="86">
        <v>6916</v>
      </c>
      <c r="B6917" s="87">
        <v>42.506360381928971</v>
      </c>
      <c r="C6917" s="14">
        <v>2</v>
      </c>
      <c r="D6917" s="86">
        <v>3.7043865719608271E-2</v>
      </c>
      <c r="E6917" s="86"/>
      <c r="F6917" s="14"/>
    </row>
    <row r="6918" spans="1:6" x14ac:dyDescent="0.25">
      <c r="A6918" s="86">
        <v>6917</v>
      </c>
      <c r="B6918" s="87">
        <v>39.58818978787167</v>
      </c>
      <c r="C6918" s="14">
        <v>5</v>
      </c>
      <c r="D6918" s="86">
        <v>0.35699401371198813</v>
      </c>
      <c r="E6918" s="86"/>
      <c r="F6918" s="14"/>
    </row>
    <row r="6919" spans="1:6" x14ac:dyDescent="0.25">
      <c r="A6919" s="86">
        <v>6918</v>
      </c>
      <c r="B6919" s="87">
        <v>42.467524958163267</v>
      </c>
      <c r="C6919" s="14">
        <v>5</v>
      </c>
      <c r="D6919" s="86">
        <v>0.59290673218811163</v>
      </c>
      <c r="E6919" s="86"/>
      <c r="F6919" s="14"/>
    </row>
    <row r="6920" spans="1:6" x14ac:dyDescent="0.25">
      <c r="A6920" s="86">
        <v>6919</v>
      </c>
      <c r="B6920" s="87">
        <v>35.242715052270796</v>
      </c>
      <c r="C6920" s="14">
        <v>3</v>
      </c>
      <c r="D6920" s="86">
        <v>0.27117981127880686</v>
      </c>
      <c r="E6920" s="86"/>
      <c r="F6920" s="14"/>
    </row>
    <row r="6921" spans="1:6" x14ac:dyDescent="0.25">
      <c r="A6921" s="86">
        <v>6920</v>
      </c>
      <c r="B6921" s="87">
        <v>39.11179646308301</v>
      </c>
      <c r="C6921" s="14">
        <v>2</v>
      </c>
      <c r="D6921" s="86">
        <v>0.21926218670214004</v>
      </c>
      <c r="E6921" s="86"/>
      <c r="F6921" s="14"/>
    </row>
    <row r="6922" spans="1:6" x14ac:dyDescent="0.25">
      <c r="A6922" s="86">
        <v>6921</v>
      </c>
      <c r="B6922" s="87">
        <v>41.05177139933221</v>
      </c>
      <c r="C6922" s="14">
        <v>4</v>
      </c>
      <c r="D6922" s="86">
        <v>0.45535532786192545</v>
      </c>
      <c r="E6922" s="86"/>
      <c r="F6922" s="14"/>
    </row>
    <row r="6923" spans="1:6" x14ac:dyDescent="0.25">
      <c r="A6923" s="86">
        <v>6922</v>
      </c>
      <c r="B6923" s="87">
        <v>37.510937995073618</v>
      </c>
      <c r="C6923" s="14">
        <v>4</v>
      </c>
      <c r="D6923" s="86">
        <v>0.46289994838070825</v>
      </c>
      <c r="E6923" s="86"/>
      <c r="F6923" s="14"/>
    </row>
    <row r="6924" spans="1:6" x14ac:dyDescent="0.25">
      <c r="A6924" s="86">
        <v>6923</v>
      </c>
      <c r="B6924" s="87">
        <v>46.701984496728983</v>
      </c>
      <c r="C6924" s="14">
        <v>5</v>
      </c>
      <c r="D6924" s="86">
        <v>0.90131874238206178</v>
      </c>
      <c r="E6924" s="86"/>
      <c r="F6924" s="14"/>
    </row>
    <row r="6925" spans="1:6" x14ac:dyDescent="0.25">
      <c r="A6925" s="86">
        <v>6924</v>
      </c>
      <c r="B6925" s="87">
        <v>46.90582499676384</v>
      </c>
      <c r="C6925" s="14">
        <v>3</v>
      </c>
      <c r="D6925" s="86">
        <v>0.93254573048303102</v>
      </c>
      <c r="E6925" s="86"/>
      <c r="F6925" s="14"/>
    </row>
    <row r="6926" spans="1:6" x14ac:dyDescent="0.25">
      <c r="A6926" s="86">
        <v>6925</v>
      </c>
      <c r="B6926" s="87">
        <v>46.822299277089769</v>
      </c>
      <c r="C6926" s="14">
        <v>4</v>
      </c>
      <c r="D6926" s="86">
        <v>0.12378031893361041</v>
      </c>
      <c r="E6926" s="86"/>
      <c r="F6926" s="14"/>
    </row>
    <row r="6927" spans="1:6" x14ac:dyDescent="0.25">
      <c r="A6927" s="86">
        <v>6926</v>
      </c>
      <c r="B6927" s="87">
        <v>48.568017513724044</v>
      </c>
      <c r="C6927" s="14">
        <v>5</v>
      </c>
      <c r="D6927" s="86">
        <v>0.20379116276246889</v>
      </c>
      <c r="E6927" s="86"/>
      <c r="F6927" s="14"/>
    </row>
    <row r="6928" spans="1:6" x14ac:dyDescent="0.25">
      <c r="A6928" s="86">
        <v>6927</v>
      </c>
      <c r="B6928" s="87">
        <v>41.286563140936778</v>
      </c>
      <c r="C6928" s="14">
        <v>2</v>
      </c>
      <c r="D6928" s="86">
        <v>0.64552382960704069</v>
      </c>
      <c r="E6928" s="86"/>
      <c r="F6928" s="14"/>
    </row>
    <row r="6929" spans="1:6" x14ac:dyDescent="0.25">
      <c r="A6929" s="86">
        <v>6928</v>
      </c>
      <c r="B6929" s="87">
        <v>36.38349425670458</v>
      </c>
      <c r="C6929" s="14">
        <v>5</v>
      </c>
      <c r="D6929" s="86">
        <v>0.31224964123153331</v>
      </c>
      <c r="E6929" s="86"/>
      <c r="F6929" s="14"/>
    </row>
    <row r="6930" spans="1:6" x14ac:dyDescent="0.25">
      <c r="A6930" s="86">
        <v>6929</v>
      </c>
      <c r="B6930" s="87">
        <v>38.19566244998714</v>
      </c>
      <c r="C6930" s="14">
        <v>5</v>
      </c>
      <c r="D6930" s="86">
        <v>0.50806173109586816</v>
      </c>
      <c r="E6930" s="86"/>
      <c r="F6930" s="14"/>
    </row>
    <row r="6931" spans="1:6" x14ac:dyDescent="0.25">
      <c r="A6931" s="86">
        <v>6930</v>
      </c>
      <c r="B6931" s="87">
        <v>49.328309609671123</v>
      </c>
      <c r="C6931" s="14">
        <v>2</v>
      </c>
      <c r="D6931" s="86">
        <v>0.19282073545175404</v>
      </c>
      <c r="E6931" s="86"/>
      <c r="F6931" s="14"/>
    </row>
    <row r="6932" spans="1:6" x14ac:dyDescent="0.25">
      <c r="A6932" s="86">
        <v>6931</v>
      </c>
      <c r="B6932" s="87">
        <v>38.285918430454331</v>
      </c>
      <c r="C6932" s="14">
        <v>2</v>
      </c>
      <c r="D6932" s="86">
        <v>0.36939879334725811</v>
      </c>
      <c r="E6932" s="86"/>
      <c r="F6932" s="14"/>
    </row>
    <row r="6933" spans="1:6" x14ac:dyDescent="0.25">
      <c r="A6933" s="86">
        <v>6932</v>
      </c>
      <c r="B6933" s="87">
        <v>42.699372210670845</v>
      </c>
      <c r="C6933" s="14">
        <v>2</v>
      </c>
      <c r="D6933" s="86">
        <v>0.28503396662150171</v>
      </c>
      <c r="E6933" s="86"/>
      <c r="F6933" s="14"/>
    </row>
    <row r="6934" spans="1:6" x14ac:dyDescent="0.25">
      <c r="A6934" s="86">
        <v>6933</v>
      </c>
      <c r="B6934" s="87">
        <v>37.232007338723633</v>
      </c>
      <c r="C6934" s="14">
        <v>5</v>
      </c>
      <c r="D6934" s="86">
        <v>0.62027316684835121</v>
      </c>
      <c r="E6934" s="86"/>
      <c r="F6934" s="14"/>
    </row>
    <row r="6935" spans="1:6" x14ac:dyDescent="0.25">
      <c r="A6935" s="86">
        <v>6934</v>
      </c>
      <c r="B6935" s="87">
        <v>38.031646449206164</v>
      </c>
      <c r="C6935" s="14">
        <v>5</v>
      </c>
      <c r="D6935" s="86">
        <v>0.22248329099842035</v>
      </c>
      <c r="E6935" s="86"/>
      <c r="F6935" s="14"/>
    </row>
    <row r="6936" spans="1:6" x14ac:dyDescent="0.25">
      <c r="A6936" s="86">
        <v>6935</v>
      </c>
      <c r="B6936" s="87">
        <v>44.908676949824439</v>
      </c>
      <c r="C6936" s="14">
        <v>4</v>
      </c>
      <c r="D6936" s="86">
        <v>0.21382406637550921</v>
      </c>
      <c r="E6936" s="86"/>
      <c r="F6936" s="14"/>
    </row>
    <row r="6937" spans="1:6" x14ac:dyDescent="0.25">
      <c r="A6937" s="86">
        <v>6936</v>
      </c>
      <c r="B6937" s="87">
        <v>40.077281932433834</v>
      </c>
      <c r="C6937" s="14">
        <v>2</v>
      </c>
      <c r="D6937" s="86">
        <v>0.34773059539635898</v>
      </c>
      <c r="E6937" s="86"/>
      <c r="F6937" s="14"/>
    </row>
    <row r="6938" spans="1:6" x14ac:dyDescent="0.25">
      <c r="A6938" s="86">
        <v>6937</v>
      </c>
      <c r="B6938" s="87">
        <v>51.025699571589939</v>
      </c>
      <c r="C6938" s="14">
        <v>4</v>
      </c>
      <c r="D6938" s="86">
        <v>0.15490111010220931</v>
      </c>
      <c r="E6938" s="86"/>
      <c r="F6938" s="14"/>
    </row>
    <row r="6939" spans="1:6" x14ac:dyDescent="0.25">
      <c r="A6939" s="86">
        <v>6938</v>
      </c>
      <c r="B6939" s="87">
        <v>39.298521409698878</v>
      </c>
      <c r="C6939" s="14">
        <v>5</v>
      </c>
      <c r="D6939" s="86">
        <v>0.94419746359558498</v>
      </c>
      <c r="E6939" s="86"/>
      <c r="F6939" s="14"/>
    </row>
    <row r="6940" spans="1:6" x14ac:dyDescent="0.25">
      <c r="A6940" s="86">
        <v>6939</v>
      </c>
      <c r="B6940" s="87">
        <v>37.907932432397502</v>
      </c>
      <c r="C6940" s="14">
        <v>4</v>
      </c>
      <c r="D6940" s="86">
        <v>0.91068640844579685</v>
      </c>
      <c r="E6940" s="86"/>
      <c r="F6940" s="14"/>
    </row>
    <row r="6941" spans="1:6" x14ac:dyDescent="0.25">
      <c r="A6941" s="86">
        <v>6940</v>
      </c>
      <c r="B6941" s="87">
        <v>45.316937752766535</v>
      </c>
      <c r="C6941" s="14">
        <v>2</v>
      </c>
      <c r="D6941" s="86">
        <v>0.41615628476806343</v>
      </c>
      <c r="E6941" s="86"/>
      <c r="F6941" s="14"/>
    </row>
    <row r="6942" spans="1:6" x14ac:dyDescent="0.25">
      <c r="A6942" s="86">
        <v>6941</v>
      </c>
      <c r="B6942" s="87">
        <v>47.804940090252785</v>
      </c>
      <c r="C6942" s="14">
        <v>1</v>
      </c>
      <c r="D6942" s="86">
        <v>0.23434432002505934</v>
      </c>
      <c r="E6942" s="86"/>
      <c r="F6942" s="14"/>
    </row>
    <row r="6943" spans="1:6" x14ac:dyDescent="0.25">
      <c r="A6943" s="86">
        <v>6942</v>
      </c>
      <c r="B6943" s="87">
        <v>47.821959009859711</v>
      </c>
      <c r="C6943" s="14">
        <v>5</v>
      </c>
      <c r="D6943" s="86">
        <v>0.85499966375936931</v>
      </c>
      <c r="E6943" s="86"/>
      <c r="F6943" s="14"/>
    </row>
    <row r="6944" spans="1:6" x14ac:dyDescent="0.25">
      <c r="A6944" s="86">
        <v>6943</v>
      </c>
      <c r="B6944" s="87">
        <v>33.842252373113297</v>
      </c>
      <c r="C6944" s="14">
        <v>4</v>
      </c>
      <c r="D6944" s="86">
        <v>0.50131179539329163</v>
      </c>
      <c r="E6944" s="86"/>
      <c r="F6944" s="14"/>
    </row>
    <row r="6945" spans="1:6" x14ac:dyDescent="0.25">
      <c r="A6945" s="86">
        <v>6944</v>
      </c>
      <c r="B6945" s="87">
        <v>43.800719135440886</v>
      </c>
      <c r="C6945" s="14">
        <v>2</v>
      </c>
      <c r="D6945" s="86">
        <v>8.9432015599113068E-2</v>
      </c>
      <c r="E6945" s="86"/>
      <c r="F6945" s="14"/>
    </row>
    <row r="6946" spans="1:6" x14ac:dyDescent="0.25">
      <c r="A6946" s="86">
        <v>6945</v>
      </c>
      <c r="B6946" s="87">
        <v>48.043489181844052</v>
      </c>
      <c r="C6946" s="14">
        <v>5</v>
      </c>
      <c r="D6946" s="86">
        <v>0.5817659292691203</v>
      </c>
      <c r="E6946" s="86"/>
      <c r="F6946" s="14"/>
    </row>
    <row r="6947" spans="1:6" x14ac:dyDescent="0.25">
      <c r="A6947" s="86">
        <v>6946</v>
      </c>
      <c r="B6947" s="87">
        <v>36.189430824713781</v>
      </c>
      <c r="C6947" s="14">
        <v>4</v>
      </c>
      <c r="D6947" s="86">
        <v>0.19818485162362443</v>
      </c>
      <c r="E6947" s="86"/>
      <c r="F6947" s="14"/>
    </row>
    <row r="6948" spans="1:6" x14ac:dyDescent="0.25">
      <c r="A6948" s="86">
        <v>6947</v>
      </c>
      <c r="B6948" s="87">
        <v>43.383056431019213</v>
      </c>
      <c r="C6948" s="14">
        <v>4</v>
      </c>
      <c r="D6948" s="86">
        <v>0.83972102395459147</v>
      </c>
      <c r="E6948" s="86"/>
      <c r="F6948" s="14"/>
    </row>
    <row r="6949" spans="1:6" x14ac:dyDescent="0.25">
      <c r="A6949" s="86">
        <v>6948</v>
      </c>
      <c r="B6949" s="87">
        <v>49.839695743110497</v>
      </c>
      <c r="C6949" s="14">
        <v>5</v>
      </c>
      <c r="D6949" s="86">
        <v>0.91471187995479231</v>
      </c>
      <c r="E6949" s="86"/>
      <c r="F6949" s="14"/>
    </row>
    <row r="6950" spans="1:6" x14ac:dyDescent="0.25">
      <c r="A6950" s="86">
        <v>6949</v>
      </c>
      <c r="B6950" s="87">
        <v>41.842849890934303</v>
      </c>
      <c r="C6950" s="14">
        <v>2</v>
      </c>
      <c r="D6950" s="86">
        <v>0.60234271452283161</v>
      </c>
      <c r="E6950" s="86"/>
      <c r="F6950" s="14"/>
    </row>
    <row r="6951" spans="1:6" x14ac:dyDescent="0.25">
      <c r="A6951" s="86">
        <v>6950</v>
      </c>
      <c r="B6951" s="87">
        <v>36.921073837555014</v>
      </c>
      <c r="C6951" s="14">
        <v>2</v>
      </c>
      <c r="D6951" s="86">
        <v>0.36759062779855511</v>
      </c>
      <c r="E6951" s="86"/>
      <c r="F6951" s="14"/>
    </row>
    <row r="6952" spans="1:6" x14ac:dyDescent="0.25">
      <c r="A6952" s="86">
        <v>6951</v>
      </c>
      <c r="B6952" s="87">
        <v>43.953372136791586</v>
      </c>
      <c r="C6952" s="14">
        <v>2</v>
      </c>
      <c r="D6952" s="86">
        <v>0.28981885153669051</v>
      </c>
      <c r="E6952" s="86"/>
      <c r="F6952" s="14"/>
    </row>
    <row r="6953" spans="1:6" x14ac:dyDescent="0.25">
      <c r="A6953" s="86">
        <v>6952</v>
      </c>
      <c r="B6953" s="87">
        <v>43.820091372588649</v>
      </c>
      <c r="C6953" s="14">
        <v>2</v>
      </c>
      <c r="D6953" s="86">
        <v>0.78683683785766489</v>
      </c>
      <c r="E6953" s="86"/>
      <c r="F6953" s="14"/>
    </row>
    <row r="6954" spans="1:6" x14ac:dyDescent="0.25">
      <c r="A6954" s="86">
        <v>6953</v>
      </c>
      <c r="B6954" s="87">
        <v>44.883188360807253</v>
      </c>
      <c r="C6954" s="14">
        <v>2</v>
      </c>
      <c r="D6954" s="86">
        <v>0.20341233494386612</v>
      </c>
      <c r="E6954" s="86"/>
      <c r="F6954" s="14"/>
    </row>
    <row r="6955" spans="1:6" x14ac:dyDescent="0.25">
      <c r="A6955" s="86">
        <v>6954</v>
      </c>
      <c r="B6955" s="87">
        <v>38.393397966836346</v>
      </c>
      <c r="C6955" s="14">
        <v>5</v>
      </c>
      <c r="D6955" s="86">
        <v>0.53238776497996065</v>
      </c>
      <c r="E6955" s="86"/>
      <c r="F6955" s="14"/>
    </row>
    <row r="6956" spans="1:6" x14ac:dyDescent="0.25">
      <c r="A6956" s="86">
        <v>6955</v>
      </c>
      <c r="B6956" s="87">
        <v>52.558698366163298</v>
      </c>
      <c r="C6956" s="14">
        <v>2</v>
      </c>
      <c r="D6956" s="86">
        <v>0.24588984668221803</v>
      </c>
      <c r="E6956" s="86"/>
      <c r="F6956" s="14"/>
    </row>
    <row r="6957" spans="1:6" x14ac:dyDescent="0.25">
      <c r="A6957" s="86">
        <v>6956</v>
      </c>
      <c r="B6957" s="87">
        <v>46.707015139298164</v>
      </c>
      <c r="C6957" s="14">
        <v>2</v>
      </c>
      <c r="D6957" s="86">
        <v>0.34418508180538698</v>
      </c>
      <c r="E6957" s="86"/>
      <c r="F6957" s="14"/>
    </row>
    <row r="6958" spans="1:6" x14ac:dyDescent="0.25">
      <c r="A6958" s="86">
        <v>6957</v>
      </c>
      <c r="B6958" s="87">
        <v>40.386288441703073</v>
      </c>
      <c r="C6958" s="14">
        <v>3</v>
      </c>
      <c r="D6958" s="86">
        <v>0.11767027966982335</v>
      </c>
      <c r="E6958" s="86"/>
      <c r="F6958" s="14"/>
    </row>
    <row r="6959" spans="1:6" x14ac:dyDescent="0.25">
      <c r="A6959" s="86">
        <v>6958</v>
      </c>
      <c r="B6959" s="87">
        <v>34.245363162306603</v>
      </c>
      <c r="C6959" s="14">
        <v>3</v>
      </c>
      <c r="D6959" s="86">
        <v>8.8292230682790129E-2</v>
      </c>
      <c r="E6959" s="86"/>
      <c r="F6959" s="14"/>
    </row>
    <row r="6960" spans="1:6" x14ac:dyDescent="0.25">
      <c r="A6960" s="86">
        <v>6959</v>
      </c>
      <c r="B6960" s="87">
        <v>32.052867022110149</v>
      </c>
      <c r="C6960" s="14">
        <v>4</v>
      </c>
      <c r="D6960" s="86">
        <v>0.49258556105958184</v>
      </c>
      <c r="E6960" s="86"/>
      <c r="F6960" s="14"/>
    </row>
    <row r="6961" spans="1:6" x14ac:dyDescent="0.25">
      <c r="A6961" s="86">
        <v>6960</v>
      </c>
      <c r="B6961" s="87">
        <v>42.7009012986382</v>
      </c>
      <c r="C6961" s="14">
        <v>1</v>
      </c>
      <c r="D6961" s="86">
        <v>0.29705540522824281</v>
      </c>
      <c r="E6961" s="86"/>
      <c r="F6961" s="14"/>
    </row>
    <row r="6962" spans="1:6" x14ac:dyDescent="0.25">
      <c r="A6962" s="86">
        <v>6961</v>
      </c>
      <c r="B6962" s="87">
        <v>43.615642647971981</v>
      </c>
      <c r="C6962" s="14">
        <v>2</v>
      </c>
      <c r="D6962" s="86">
        <v>0.14103009487318607</v>
      </c>
      <c r="E6962" s="86"/>
      <c r="F6962" s="14"/>
    </row>
    <row r="6963" spans="1:6" x14ac:dyDescent="0.25">
      <c r="A6963" s="86">
        <v>6962</v>
      </c>
      <c r="B6963" s="87">
        <v>44.485960865466041</v>
      </c>
      <c r="C6963" s="14">
        <v>2</v>
      </c>
      <c r="D6963" s="86">
        <v>0.86301970322854771</v>
      </c>
      <c r="E6963" s="86"/>
      <c r="F6963" s="14"/>
    </row>
    <row r="6964" spans="1:6" x14ac:dyDescent="0.25">
      <c r="A6964" s="86">
        <v>6963</v>
      </c>
      <c r="B6964" s="87">
        <v>35.598600329074543</v>
      </c>
      <c r="C6964" s="14">
        <v>2</v>
      </c>
      <c r="D6964" s="86">
        <v>0.65318432394492287</v>
      </c>
      <c r="E6964" s="86"/>
      <c r="F6964" s="14"/>
    </row>
    <row r="6965" spans="1:6" x14ac:dyDescent="0.25">
      <c r="A6965" s="86">
        <v>6964</v>
      </c>
      <c r="B6965" s="87">
        <v>45.595749037936912</v>
      </c>
      <c r="C6965" s="14">
        <v>4</v>
      </c>
      <c r="D6965" s="86">
        <v>0.92650931823443605</v>
      </c>
      <c r="E6965" s="86"/>
      <c r="F6965" s="14"/>
    </row>
    <row r="6966" spans="1:6" x14ac:dyDescent="0.25">
      <c r="A6966" s="86">
        <v>6965</v>
      </c>
      <c r="B6966" s="87">
        <v>42.857504917599726</v>
      </c>
      <c r="C6966" s="14">
        <v>4</v>
      </c>
      <c r="D6966" s="86">
        <v>0.67229689487467104</v>
      </c>
      <c r="E6966" s="86"/>
      <c r="F6966" s="14"/>
    </row>
    <row r="6967" spans="1:6" x14ac:dyDescent="0.25">
      <c r="A6967" s="86">
        <v>6966</v>
      </c>
      <c r="B6967" s="87">
        <v>45.31481180890114</v>
      </c>
      <c r="C6967" s="14">
        <v>2</v>
      </c>
      <c r="D6967" s="86">
        <v>0.28205199897425803</v>
      </c>
      <c r="E6967" s="86"/>
      <c r="F6967" s="14"/>
    </row>
    <row r="6968" spans="1:6" x14ac:dyDescent="0.25">
      <c r="A6968" s="86">
        <v>6967</v>
      </c>
      <c r="B6968" s="87">
        <v>37.861445884453133</v>
      </c>
      <c r="C6968" s="14">
        <v>5</v>
      </c>
      <c r="D6968" s="86">
        <v>0.81820923620769415</v>
      </c>
      <c r="E6968" s="86"/>
      <c r="F6968" s="14"/>
    </row>
    <row r="6969" spans="1:6" x14ac:dyDescent="0.25">
      <c r="A6969" s="86">
        <v>6968</v>
      </c>
      <c r="B6969" s="87">
        <v>50.176731742219999</v>
      </c>
      <c r="C6969" s="14">
        <v>2</v>
      </c>
      <c r="D6969" s="86">
        <v>0.23062023905953211</v>
      </c>
      <c r="E6969" s="86"/>
      <c r="F6969" s="14"/>
    </row>
    <row r="6970" spans="1:6" x14ac:dyDescent="0.25">
      <c r="A6970" s="86">
        <v>6969</v>
      </c>
      <c r="B6970" s="87">
        <v>43.772058683651267</v>
      </c>
      <c r="C6970" s="14">
        <v>4</v>
      </c>
      <c r="D6970" s="86">
        <v>0.55356723644610584</v>
      </c>
      <c r="E6970" s="86"/>
      <c r="F6970" s="14"/>
    </row>
    <row r="6971" spans="1:6" x14ac:dyDescent="0.25">
      <c r="A6971" s="86">
        <v>6970</v>
      </c>
      <c r="B6971" s="87">
        <v>45.400304310867796</v>
      </c>
      <c r="C6971" s="14">
        <v>2</v>
      </c>
      <c r="D6971" s="86">
        <v>0.60805729188752078</v>
      </c>
      <c r="E6971" s="86"/>
      <c r="F6971" s="14"/>
    </row>
    <row r="6972" spans="1:6" x14ac:dyDescent="0.25">
      <c r="A6972" s="86">
        <v>6971</v>
      </c>
      <c r="B6972" s="87">
        <v>33.230890034581535</v>
      </c>
      <c r="C6972" s="14">
        <v>4</v>
      </c>
      <c r="D6972" s="86">
        <v>0.55391910192294724</v>
      </c>
      <c r="E6972" s="86"/>
      <c r="F6972" s="14"/>
    </row>
    <row r="6973" spans="1:6" x14ac:dyDescent="0.25">
      <c r="A6973" s="86">
        <v>6972</v>
      </c>
      <c r="B6973" s="87">
        <v>50.617609298904426</v>
      </c>
      <c r="C6973" s="14">
        <v>5</v>
      </c>
      <c r="D6973" s="86">
        <v>0.6350611609342065</v>
      </c>
      <c r="E6973" s="86"/>
      <c r="F6973" s="14"/>
    </row>
    <row r="6974" spans="1:6" x14ac:dyDescent="0.25">
      <c r="A6974" s="86">
        <v>6973</v>
      </c>
      <c r="B6974" s="87">
        <v>45.77826757155708</v>
      </c>
      <c r="C6974" s="14">
        <v>4</v>
      </c>
      <c r="D6974" s="86">
        <v>0.22824842462708594</v>
      </c>
      <c r="E6974" s="86"/>
      <c r="F6974" s="14"/>
    </row>
    <row r="6975" spans="1:6" x14ac:dyDescent="0.25">
      <c r="A6975" s="86">
        <v>6974</v>
      </c>
      <c r="B6975" s="87">
        <v>42.265469341480639</v>
      </c>
      <c r="C6975" s="14">
        <v>2</v>
      </c>
      <c r="D6975" s="86">
        <v>0.15381442717325056</v>
      </c>
      <c r="E6975" s="86"/>
      <c r="F6975" s="14"/>
    </row>
    <row r="6976" spans="1:6" x14ac:dyDescent="0.25">
      <c r="A6976" s="86">
        <v>6975</v>
      </c>
      <c r="B6976" s="87">
        <v>48.36430206921068</v>
      </c>
      <c r="C6976" s="14">
        <v>5</v>
      </c>
      <c r="D6976" s="86">
        <v>0.71544057689260532</v>
      </c>
      <c r="E6976" s="86"/>
      <c r="F6976" s="14"/>
    </row>
    <row r="6977" spans="1:6" x14ac:dyDescent="0.25">
      <c r="A6977" s="86">
        <v>6976</v>
      </c>
      <c r="B6977" s="87">
        <v>51.84642759046983</v>
      </c>
      <c r="C6977" s="14">
        <v>5</v>
      </c>
      <c r="D6977" s="86">
        <v>3.5288288338430007E-2</v>
      </c>
      <c r="E6977" s="86"/>
      <c r="F6977" s="14"/>
    </row>
    <row r="6978" spans="1:6" x14ac:dyDescent="0.25">
      <c r="A6978" s="86">
        <v>6977</v>
      </c>
      <c r="B6978" s="87">
        <v>43.606007688475074</v>
      </c>
      <c r="C6978" s="14">
        <v>2</v>
      </c>
      <c r="D6978" s="86">
        <v>0.54842700602985661</v>
      </c>
      <c r="E6978" s="86"/>
      <c r="F6978" s="14"/>
    </row>
    <row r="6979" spans="1:6" x14ac:dyDescent="0.25">
      <c r="A6979" s="86">
        <v>6978</v>
      </c>
      <c r="B6979" s="87">
        <v>46.055799879803089</v>
      </c>
      <c r="C6979" s="14">
        <v>3</v>
      </c>
      <c r="D6979" s="86">
        <v>0.24443069461964861</v>
      </c>
      <c r="E6979" s="86"/>
      <c r="F6979" s="14"/>
    </row>
    <row r="6980" spans="1:6" x14ac:dyDescent="0.25">
      <c r="A6980" s="86">
        <v>6979</v>
      </c>
      <c r="B6980" s="87">
        <v>52.472114470554516</v>
      </c>
      <c r="C6980" s="14">
        <v>2</v>
      </c>
      <c r="D6980" s="86">
        <v>7.7197871672627372E-2</v>
      </c>
      <c r="E6980" s="86"/>
      <c r="F6980" s="14"/>
    </row>
    <row r="6981" spans="1:6" x14ac:dyDescent="0.25">
      <c r="A6981" s="86">
        <v>6980</v>
      </c>
      <c r="B6981" s="87">
        <v>43.811178324511275</v>
      </c>
      <c r="C6981" s="14">
        <v>5</v>
      </c>
      <c r="D6981" s="86">
        <v>0.30907030116678347</v>
      </c>
      <c r="E6981" s="86"/>
      <c r="F6981" s="14"/>
    </row>
    <row r="6982" spans="1:6" x14ac:dyDescent="0.25">
      <c r="A6982" s="86">
        <v>6981</v>
      </c>
      <c r="B6982" s="87">
        <v>40.522581907105632</v>
      </c>
      <c r="C6982" s="14">
        <v>2</v>
      </c>
      <c r="D6982" s="86">
        <v>3.0427334230195391E-2</v>
      </c>
      <c r="E6982" s="86"/>
      <c r="F6982" s="14"/>
    </row>
    <row r="6983" spans="1:6" x14ac:dyDescent="0.25">
      <c r="A6983" s="86">
        <v>6982</v>
      </c>
      <c r="B6983" s="87">
        <v>43.681217215969809</v>
      </c>
      <c r="C6983" s="14">
        <v>4</v>
      </c>
      <c r="D6983" s="86">
        <v>0.64361226234528568</v>
      </c>
      <c r="E6983" s="86"/>
      <c r="F6983" s="14"/>
    </row>
    <row r="6984" spans="1:6" x14ac:dyDescent="0.25">
      <c r="A6984" s="86">
        <v>6983</v>
      </c>
      <c r="B6984" s="87">
        <v>45.601007054181537</v>
      </c>
      <c r="C6984" s="14">
        <v>3</v>
      </c>
      <c r="D6984" s="86">
        <v>0.81232541207713349</v>
      </c>
      <c r="E6984" s="86"/>
      <c r="F6984" s="14"/>
    </row>
    <row r="6985" spans="1:6" x14ac:dyDescent="0.25">
      <c r="A6985" s="86">
        <v>6984</v>
      </c>
      <c r="B6985" s="87">
        <v>38.358200521877734</v>
      </c>
      <c r="C6985" s="14">
        <v>4</v>
      </c>
      <c r="D6985" s="86">
        <v>0.63966883899425298</v>
      </c>
      <c r="E6985" s="86"/>
      <c r="F6985" s="14"/>
    </row>
    <row r="6986" spans="1:6" x14ac:dyDescent="0.25">
      <c r="A6986" s="86">
        <v>6985</v>
      </c>
      <c r="B6986" s="87">
        <v>49.061350177333225</v>
      </c>
      <c r="C6986" s="14">
        <v>5</v>
      </c>
      <c r="D6986" s="86">
        <v>0.29232103637182294</v>
      </c>
      <c r="E6986" s="86"/>
      <c r="F6986" s="14"/>
    </row>
    <row r="6987" spans="1:6" x14ac:dyDescent="0.25">
      <c r="A6987" s="86">
        <v>6986</v>
      </c>
      <c r="B6987" s="87">
        <v>38.523410234454786</v>
      </c>
      <c r="C6987" s="14">
        <v>2</v>
      </c>
      <c r="D6987" s="86">
        <v>0.38607252375055112</v>
      </c>
      <c r="E6987" s="86"/>
      <c r="F6987" s="14"/>
    </row>
    <row r="6988" spans="1:6" x14ac:dyDescent="0.25">
      <c r="A6988" s="86">
        <v>6987</v>
      </c>
      <c r="B6988" s="87">
        <v>49.607331215491286</v>
      </c>
      <c r="C6988" s="14">
        <v>2</v>
      </c>
      <c r="D6988" s="86">
        <v>0.5359501573992973</v>
      </c>
      <c r="E6988" s="86"/>
      <c r="F6988" s="14"/>
    </row>
    <row r="6989" spans="1:6" x14ac:dyDescent="0.25">
      <c r="A6989" s="86">
        <v>6988</v>
      </c>
      <c r="B6989" s="87">
        <v>45.31481180890114</v>
      </c>
      <c r="C6989" s="14">
        <v>5</v>
      </c>
      <c r="D6989" s="86">
        <v>0.6411263567731601</v>
      </c>
      <c r="E6989" s="86"/>
      <c r="F6989" s="14"/>
    </row>
    <row r="6990" spans="1:6" x14ac:dyDescent="0.25">
      <c r="A6990" s="86">
        <v>6989</v>
      </c>
      <c r="B6990" s="87">
        <v>45.734634563239524</v>
      </c>
      <c r="C6990" s="14">
        <v>5</v>
      </c>
      <c r="D6990" s="86">
        <v>0.20816609905148831</v>
      </c>
      <c r="E6990" s="86"/>
      <c r="F6990" s="14"/>
    </row>
    <row r="6991" spans="1:6" x14ac:dyDescent="0.25">
      <c r="A6991" s="86">
        <v>6990</v>
      </c>
      <c r="B6991" s="87">
        <v>44.686282757873414</v>
      </c>
      <c r="C6991" s="14">
        <v>4</v>
      </c>
      <c r="D6991" s="86">
        <v>0.82288385086955462</v>
      </c>
      <c r="E6991" s="86"/>
      <c r="F6991" s="14"/>
    </row>
    <row r="6992" spans="1:6" x14ac:dyDescent="0.25">
      <c r="A6992" s="86">
        <v>6991</v>
      </c>
      <c r="B6992" s="87">
        <v>38.572306943358853</v>
      </c>
      <c r="C6992" s="14">
        <v>5</v>
      </c>
      <c r="D6992" s="86">
        <v>0.80245248387909329</v>
      </c>
      <c r="E6992" s="86"/>
      <c r="F6992" s="14"/>
    </row>
    <row r="6993" spans="1:6" x14ac:dyDescent="0.25">
      <c r="A6993" s="86">
        <v>6992</v>
      </c>
      <c r="B6993" s="87">
        <v>50.533230927947443</v>
      </c>
      <c r="C6993" s="14">
        <v>4</v>
      </c>
      <c r="D6993" s="86">
        <v>0.59094713757544481</v>
      </c>
      <c r="E6993" s="86"/>
      <c r="F6993" s="14"/>
    </row>
    <row r="6994" spans="1:6" x14ac:dyDescent="0.25">
      <c r="A6994" s="86">
        <v>6993</v>
      </c>
      <c r="B6994" s="87">
        <v>46.447132712608436</v>
      </c>
      <c r="C6994" s="14">
        <v>1</v>
      </c>
      <c r="D6994" s="86">
        <v>0.91510613031983812</v>
      </c>
      <c r="E6994" s="86"/>
      <c r="F6994" s="14"/>
    </row>
    <row r="6995" spans="1:6" x14ac:dyDescent="0.25">
      <c r="A6995" s="86">
        <v>6994</v>
      </c>
      <c r="B6995" s="87">
        <v>45.839624357875437</v>
      </c>
      <c r="C6995" s="14">
        <v>4</v>
      </c>
      <c r="D6995" s="86">
        <v>0.68990518828564429</v>
      </c>
      <c r="E6995" s="86"/>
      <c r="F6995" s="14"/>
    </row>
    <row r="6996" spans="1:6" x14ac:dyDescent="0.25">
      <c r="A6996" s="86">
        <v>6995</v>
      </c>
      <c r="B6996" s="87">
        <v>39.935895296701347</v>
      </c>
      <c r="C6996" s="14">
        <v>1</v>
      </c>
      <c r="D6996" s="86">
        <v>0.20749336637647486</v>
      </c>
      <c r="E6996" s="86"/>
      <c r="F6996" s="14"/>
    </row>
    <row r="6997" spans="1:6" x14ac:dyDescent="0.25">
      <c r="A6997" s="86">
        <v>6996</v>
      </c>
      <c r="B6997" s="87">
        <v>45.473962013027631</v>
      </c>
      <c r="C6997" s="14">
        <v>4</v>
      </c>
      <c r="D6997" s="86">
        <v>0.97739106344008941</v>
      </c>
      <c r="E6997" s="86"/>
      <c r="F6997" s="14"/>
    </row>
    <row r="6998" spans="1:6" x14ac:dyDescent="0.25">
      <c r="A6998" s="86">
        <v>6997</v>
      </c>
      <c r="B6998" s="87">
        <v>42.999806732375873</v>
      </c>
      <c r="C6998" s="14">
        <v>2</v>
      </c>
      <c r="D6998" s="86">
        <v>0.45646750120958457</v>
      </c>
      <c r="E6998" s="86"/>
      <c r="F6998" s="14"/>
    </row>
    <row r="6999" spans="1:6" x14ac:dyDescent="0.25">
      <c r="A6999" s="86">
        <v>6998</v>
      </c>
      <c r="B6999" s="87">
        <v>41.602953610316035</v>
      </c>
      <c r="C6999" s="14">
        <v>5</v>
      </c>
      <c r="D6999" s="86">
        <v>0.13429957758869304</v>
      </c>
      <c r="E6999" s="86"/>
      <c r="F6999" s="14"/>
    </row>
    <row r="7000" spans="1:6" x14ac:dyDescent="0.25">
      <c r="A7000" s="86">
        <v>6999</v>
      </c>
      <c r="B7000" s="87">
        <v>45.206354565714719</v>
      </c>
      <c r="C7000" s="14">
        <v>5</v>
      </c>
      <c r="D7000" s="86">
        <v>0.75682460562557863</v>
      </c>
      <c r="E7000" s="86"/>
      <c r="F7000" s="14"/>
    </row>
    <row r="7001" spans="1:6" x14ac:dyDescent="0.25">
      <c r="A7001" s="86">
        <v>7000</v>
      </c>
      <c r="B7001" s="87">
        <v>46.171419393765973</v>
      </c>
      <c r="C7001" s="14">
        <v>1</v>
      </c>
      <c r="D7001" s="86">
        <v>8.2262228904791845E-2</v>
      </c>
      <c r="E7001" s="86"/>
      <c r="F7001" s="14"/>
    </row>
  </sheetData>
  <sheetProtection selectLockedCells="1"/>
  <mergeCells count="7">
    <mergeCell ref="M20:N20"/>
    <mergeCell ref="M16:M17"/>
    <mergeCell ref="E6:F6"/>
    <mergeCell ref="O14:O15"/>
    <mergeCell ref="P14:P15"/>
    <mergeCell ref="G1:G6"/>
    <mergeCell ref="M18:M19"/>
  </mergeCells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D05B9-A378-4623-BB69-443E1BD5B253}">
  <dimension ref="A2:I25"/>
  <sheetViews>
    <sheetView workbookViewId="0">
      <selection activeCell="C37" sqref="C37"/>
    </sheetView>
  </sheetViews>
  <sheetFormatPr baseColWidth="10" defaultColWidth="11.42578125" defaultRowHeight="15" x14ac:dyDescent="0.25"/>
  <cols>
    <col min="1" max="1" width="12.42578125" style="2" bestFit="1" customWidth="1"/>
    <col min="2" max="2" width="16.85546875" style="2" bestFit="1" customWidth="1"/>
    <col min="3" max="3" width="13.28515625" style="161" customWidth="1"/>
    <col min="4" max="4" width="11.42578125" style="2"/>
    <col min="5" max="5" width="16.5703125" style="2" customWidth="1"/>
    <col min="6" max="16384" width="11.42578125" style="2"/>
  </cols>
  <sheetData>
    <row r="2" spans="1:9" x14ac:dyDescent="0.25">
      <c r="B2" s="66" t="s">
        <v>17</v>
      </c>
      <c r="C2" s="159">
        <v>0.97</v>
      </c>
    </row>
    <row r="3" spans="1:9" x14ac:dyDescent="0.25">
      <c r="B3" s="66" t="s">
        <v>18</v>
      </c>
      <c r="C3" s="159">
        <f>1-C2</f>
        <v>3.0000000000000027E-2</v>
      </c>
    </row>
    <row r="4" spans="1:9" x14ac:dyDescent="0.25">
      <c r="B4" s="66" t="s">
        <v>19</v>
      </c>
      <c r="C4" s="159">
        <f>C3/2</f>
        <v>1.5000000000000013E-2</v>
      </c>
    </row>
    <row r="5" spans="1:9" ht="18" x14ac:dyDescent="0.35">
      <c r="B5" s="66" t="s">
        <v>20</v>
      </c>
      <c r="C5" s="159">
        <f>1-C4</f>
        <v>0.98499999999999999</v>
      </c>
    </row>
    <row r="6" spans="1:9" ht="18" x14ac:dyDescent="0.35">
      <c r="B6" s="66" t="s">
        <v>21</v>
      </c>
      <c r="C6" s="159">
        <f>_xlfn.NORM.S.INV(C5)</f>
        <v>2.1700903775845601</v>
      </c>
    </row>
    <row r="7" spans="1:9" x14ac:dyDescent="0.25">
      <c r="B7" s="66"/>
      <c r="C7" s="160"/>
    </row>
    <row r="8" spans="1:9" x14ac:dyDescent="0.25">
      <c r="B8" s="66" t="s">
        <v>22</v>
      </c>
      <c r="C8" s="3">
        <v>1</v>
      </c>
      <c r="D8" s="66" t="s">
        <v>23</v>
      </c>
      <c r="E8" s="5">
        <f>(C6*C9/C8)^2</f>
        <v>142.45609046827423</v>
      </c>
      <c r="F8" s="2" t="s">
        <v>101</v>
      </c>
      <c r="G8" s="2">
        <v>143</v>
      </c>
    </row>
    <row r="9" spans="1:9" x14ac:dyDescent="0.25">
      <c r="B9" s="66" t="s">
        <v>24</v>
      </c>
      <c r="C9" s="159">
        <v>5.5</v>
      </c>
    </row>
    <row r="11" spans="1:9" x14ac:dyDescent="0.25">
      <c r="D11" s="66" t="s">
        <v>25</v>
      </c>
      <c r="E11" s="194" t="s">
        <v>102</v>
      </c>
      <c r="F11" s="195"/>
      <c r="G11" s="195"/>
      <c r="H11" s="195"/>
      <c r="I11" s="196"/>
    </row>
    <row r="14" spans="1:9" ht="14.45" customHeight="1" x14ac:dyDescent="0.25">
      <c r="A14"/>
      <c r="B14"/>
      <c r="C14" s="197" t="s">
        <v>8</v>
      </c>
      <c r="D14" s="198" t="s">
        <v>9</v>
      </c>
      <c r="E14" s="199"/>
    </row>
    <row r="15" spans="1:9" ht="15" customHeight="1" thickBot="1" x14ac:dyDescent="0.3">
      <c r="A15"/>
      <c r="B15"/>
      <c r="C15" s="197"/>
      <c r="D15" s="198"/>
      <c r="E15" s="199"/>
    </row>
    <row r="16" spans="1:9" x14ac:dyDescent="0.25">
      <c r="A16" s="189" t="s">
        <v>26</v>
      </c>
      <c r="B16" s="154" t="s">
        <v>27</v>
      </c>
      <c r="C16" s="162"/>
      <c r="D16" s="48">
        <v>1</v>
      </c>
    </row>
    <row r="17" spans="1:5" x14ac:dyDescent="0.25">
      <c r="A17" s="190"/>
      <c r="B17" s="148" t="s">
        <v>28</v>
      </c>
      <c r="C17" s="163"/>
      <c r="D17" s="109">
        <v>0.5</v>
      </c>
    </row>
    <row r="18" spans="1:5" x14ac:dyDescent="0.25">
      <c r="A18" s="190"/>
      <c r="B18" s="149" t="s">
        <v>29</v>
      </c>
      <c r="C18" s="163"/>
      <c r="D18" s="109">
        <v>0.5</v>
      </c>
    </row>
    <row r="19" spans="1:5" ht="18" x14ac:dyDescent="0.25">
      <c r="A19" s="190"/>
      <c r="B19" s="148" t="s">
        <v>30</v>
      </c>
      <c r="C19" s="163"/>
      <c r="D19" s="109">
        <v>0.5</v>
      </c>
    </row>
    <row r="20" spans="1:5" ht="18.75" thickBot="1" x14ac:dyDescent="0.3">
      <c r="A20" s="191"/>
      <c r="B20" s="150" t="s">
        <v>31</v>
      </c>
      <c r="C20" s="164"/>
      <c r="D20" s="110">
        <v>2</v>
      </c>
      <c r="E20" s="64"/>
    </row>
    <row r="21" spans="1:5" x14ac:dyDescent="0.25">
      <c r="A21" s="189" t="s">
        <v>32</v>
      </c>
      <c r="B21" s="151" t="s">
        <v>33</v>
      </c>
      <c r="C21" s="165"/>
      <c r="D21" s="112">
        <v>0.5</v>
      </c>
    </row>
    <row r="22" spans="1:5" x14ac:dyDescent="0.25">
      <c r="A22" s="190"/>
      <c r="B22" s="152" t="s">
        <v>34</v>
      </c>
      <c r="C22" s="166"/>
      <c r="D22" s="52">
        <v>2</v>
      </c>
    </row>
    <row r="23" spans="1:5" ht="30.75" thickBot="1" x14ac:dyDescent="0.3">
      <c r="A23" s="191"/>
      <c r="B23" s="153" t="s">
        <v>35</v>
      </c>
      <c r="C23" s="167"/>
      <c r="D23" s="53">
        <v>3</v>
      </c>
    </row>
    <row r="24" spans="1:5" ht="15.75" thickBot="1" x14ac:dyDescent="0.3">
      <c r="A24" s="192" t="s">
        <v>36</v>
      </c>
      <c r="B24" s="193"/>
      <c r="C24" s="168">
        <f>SUM(C16:C23)</f>
        <v>0</v>
      </c>
      <c r="D24" s="63">
        <f>SUM(D16:D23)</f>
        <v>10</v>
      </c>
    </row>
    <row r="25" spans="1:5" x14ac:dyDescent="0.25">
      <c r="A25" s="64"/>
      <c r="B25" s="65"/>
      <c r="C25" s="169"/>
      <c r="D25" s="64"/>
    </row>
  </sheetData>
  <sheetProtection selectLockedCells="1"/>
  <mergeCells count="7">
    <mergeCell ref="A21:A23"/>
    <mergeCell ref="A24:B24"/>
    <mergeCell ref="A16:A20"/>
    <mergeCell ref="E11:I11"/>
    <mergeCell ref="C14:C15"/>
    <mergeCell ref="D14:D15"/>
    <mergeCell ref="E14:E15"/>
  </mergeCells>
  <pageMargins left="0.7" right="0.7" top="0.75" bottom="0.75" header="0.3" footer="0.3"/>
  <pageSetup orientation="portrait" verticalDpi="599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9E4CE-7949-4E55-A7E1-03DCB0D6FC2F}">
  <dimension ref="A1:J194"/>
  <sheetViews>
    <sheetView topLeftCell="D1" zoomScale="115" zoomScaleNormal="115" workbookViewId="0">
      <selection activeCell="D3" sqref="D3:G4"/>
    </sheetView>
  </sheetViews>
  <sheetFormatPr baseColWidth="10" defaultColWidth="11.42578125" defaultRowHeight="15" x14ac:dyDescent="0.25"/>
  <cols>
    <col min="1" max="1" width="23" style="2" bestFit="1" customWidth="1"/>
    <col min="2" max="2" width="54.7109375" style="2" customWidth="1"/>
    <col min="3" max="3" width="22.140625" style="2" bestFit="1" customWidth="1"/>
    <col min="4" max="4" width="21.28515625" style="2" bestFit="1" customWidth="1"/>
    <col min="5" max="5" width="23.5703125" style="2" bestFit="1" customWidth="1"/>
    <col min="6" max="6" width="31.140625" style="2" bestFit="1" customWidth="1"/>
    <col min="7" max="7" width="38.28515625" style="2" bestFit="1" customWidth="1"/>
    <col min="8" max="16384" width="11.42578125" style="2"/>
  </cols>
  <sheetData>
    <row r="1" spans="1:9" x14ac:dyDescent="0.25">
      <c r="A1" s="66" t="s">
        <v>37</v>
      </c>
      <c r="B1" s="1" t="s">
        <v>103</v>
      </c>
    </row>
    <row r="2" spans="1:9" ht="15.75" thickBot="1" x14ac:dyDescent="0.3">
      <c r="A2" s="66" t="s">
        <v>38</v>
      </c>
      <c r="B2" s="1" t="s">
        <v>104</v>
      </c>
      <c r="H2" s="174"/>
      <c r="I2" s="174"/>
    </row>
    <row r="3" spans="1:9" x14ac:dyDescent="0.25">
      <c r="A3" s="66" t="s">
        <v>39</v>
      </c>
      <c r="B3" s="1" t="s">
        <v>105</v>
      </c>
      <c r="D3" s="223" t="s">
        <v>131</v>
      </c>
      <c r="E3" s="224"/>
      <c r="F3" s="224"/>
      <c r="G3" s="225"/>
      <c r="H3" s="174"/>
      <c r="I3" s="174"/>
    </row>
    <row r="4" spans="1:9" ht="15.75" thickBot="1" x14ac:dyDescent="0.3">
      <c r="D4" s="226"/>
      <c r="E4" s="227"/>
      <c r="F4" s="227"/>
      <c r="G4" s="228"/>
      <c r="H4" s="174"/>
      <c r="I4" s="174"/>
    </row>
    <row r="5" spans="1:9" x14ac:dyDescent="0.25">
      <c r="D5" s="172" t="s">
        <v>127</v>
      </c>
      <c r="E5" s="172" t="s">
        <v>126</v>
      </c>
      <c r="F5" s="172" t="s">
        <v>129</v>
      </c>
      <c r="G5" s="172" t="s">
        <v>128</v>
      </c>
      <c r="H5" s="174"/>
      <c r="I5" s="174"/>
    </row>
    <row r="6" spans="1:9" x14ac:dyDescent="0.25">
      <c r="A6" s="66" t="s">
        <v>40</v>
      </c>
      <c r="B6" s="3">
        <f>MIN(Heures)</f>
        <v>31.855324772885069</v>
      </c>
      <c r="D6" s="172" t="s">
        <v>118</v>
      </c>
      <c r="E6" s="172">
        <v>3</v>
      </c>
      <c r="F6" s="176">
        <f t="shared" ref="F6:F14" si="0">E6/$E$14*100</f>
        <v>2.0979020979020979</v>
      </c>
      <c r="G6" s="176">
        <f>F6</f>
        <v>2.0979020979020979</v>
      </c>
      <c r="H6" s="174"/>
      <c r="I6" s="174"/>
    </row>
    <row r="7" spans="1:9" x14ac:dyDescent="0.25">
      <c r="A7" s="66" t="s">
        <v>41</v>
      </c>
      <c r="B7" s="3">
        <f>MAX(Heures)</f>
        <v>60.817365005612373</v>
      </c>
      <c r="D7" s="172" t="s">
        <v>119</v>
      </c>
      <c r="E7" s="172">
        <v>15</v>
      </c>
      <c r="F7" s="176">
        <f t="shared" si="0"/>
        <v>10.48951048951049</v>
      </c>
      <c r="G7" s="176">
        <f>F7+F6</f>
        <v>12.587412587412588</v>
      </c>
      <c r="H7" s="174"/>
      <c r="I7" s="174"/>
    </row>
    <row r="8" spans="1:9" x14ac:dyDescent="0.25">
      <c r="A8" s="66" t="s">
        <v>42</v>
      </c>
      <c r="B8" s="3">
        <f>B7-B6</f>
        <v>28.962040232727304</v>
      </c>
      <c r="D8" s="172" t="s">
        <v>120</v>
      </c>
      <c r="E8" s="172">
        <v>51</v>
      </c>
      <c r="F8" s="176">
        <f t="shared" si="0"/>
        <v>35.664335664335667</v>
      </c>
      <c r="G8" s="176">
        <f>F8+G7</f>
        <v>48.251748251748253</v>
      </c>
      <c r="H8" s="174"/>
      <c r="I8" s="174"/>
    </row>
    <row r="9" spans="1:9" x14ac:dyDescent="0.25">
      <c r="A9" s="66" t="s">
        <v>43</v>
      </c>
      <c r="B9" s="3">
        <f>COUNT(Heures)</f>
        <v>143</v>
      </c>
      <c r="D9" s="172" t="s">
        <v>121</v>
      </c>
      <c r="E9" s="172">
        <v>41</v>
      </c>
      <c r="F9" s="176">
        <f t="shared" si="0"/>
        <v>28.671328671328673</v>
      </c>
      <c r="G9" s="176">
        <f t="shared" ref="G9:G13" si="1">F9+G8</f>
        <v>76.923076923076934</v>
      </c>
      <c r="H9" s="174"/>
      <c r="I9" s="174"/>
    </row>
    <row r="10" spans="1:9" x14ac:dyDescent="0.25">
      <c r="A10" s="66" t="s">
        <v>44</v>
      </c>
      <c r="B10" s="4">
        <v>8</v>
      </c>
      <c r="D10" s="172" t="s">
        <v>122</v>
      </c>
      <c r="E10" s="172">
        <v>24</v>
      </c>
      <c r="F10" s="176">
        <f t="shared" si="0"/>
        <v>16.783216783216783</v>
      </c>
      <c r="G10" s="176">
        <f t="shared" si="1"/>
        <v>93.706293706293721</v>
      </c>
      <c r="H10" s="174"/>
      <c r="I10" s="174"/>
    </row>
    <row r="11" spans="1:9" x14ac:dyDescent="0.25">
      <c r="A11" s="66" t="s">
        <v>45</v>
      </c>
      <c r="B11" s="5">
        <f>B8/B10</f>
        <v>3.620255029090913</v>
      </c>
      <c r="D11" s="172" t="s">
        <v>123</v>
      </c>
      <c r="E11" s="172">
        <v>6</v>
      </c>
      <c r="F11" s="176">
        <f t="shared" si="0"/>
        <v>4.1958041958041958</v>
      </c>
      <c r="G11" s="176">
        <f t="shared" si="1"/>
        <v>97.902097902097921</v>
      </c>
      <c r="H11" s="174"/>
      <c r="I11" s="174"/>
    </row>
    <row r="12" spans="1:9" x14ac:dyDescent="0.25">
      <c r="A12" s="66" t="s">
        <v>46</v>
      </c>
      <c r="B12" s="4">
        <v>4</v>
      </c>
      <c r="D12" s="172" t="s">
        <v>124</v>
      </c>
      <c r="E12" s="172">
        <v>2</v>
      </c>
      <c r="F12" s="176">
        <f t="shared" si="0"/>
        <v>1.3986013986013985</v>
      </c>
      <c r="G12" s="176">
        <f t="shared" si="1"/>
        <v>99.300699300699321</v>
      </c>
      <c r="H12" s="174"/>
      <c r="I12" s="174"/>
    </row>
    <row r="13" spans="1:9" x14ac:dyDescent="0.25">
      <c r="A13" s="6"/>
      <c r="D13" s="172" t="s">
        <v>125</v>
      </c>
      <c r="E13" s="172">
        <v>1</v>
      </c>
      <c r="F13" s="176">
        <f t="shared" si="0"/>
        <v>0.69930069930069927</v>
      </c>
      <c r="G13" s="176">
        <f t="shared" si="1"/>
        <v>100.00000000000001</v>
      </c>
      <c r="H13" s="174"/>
      <c r="I13" s="174"/>
    </row>
    <row r="14" spans="1:9" x14ac:dyDescent="0.25">
      <c r="D14" s="172" t="s">
        <v>130</v>
      </c>
      <c r="E14" s="172">
        <v>143</v>
      </c>
      <c r="F14" s="176">
        <f t="shared" si="0"/>
        <v>100</v>
      </c>
      <c r="G14" s="158"/>
      <c r="H14" s="174"/>
      <c r="I14" s="174"/>
    </row>
    <row r="15" spans="1:9" x14ac:dyDescent="0.25">
      <c r="D15" s="172" t="s">
        <v>135</v>
      </c>
      <c r="E15" s="172"/>
      <c r="F15" s="158">
        <f>E15/$E$14*100</f>
        <v>0</v>
      </c>
      <c r="G15" s="158"/>
      <c r="H15" s="174"/>
      <c r="I15" s="174"/>
    </row>
    <row r="16" spans="1:9" x14ac:dyDescent="0.25">
      <c r="D16" s="170"/>
      <c r="E16" s="170"/>
      <c r="F16"/>
      <c r="G16" s="174"/>
      <c r="H16" s="174"/>
      <c r="I16" s="174"/>
    </row>
    <row r="17" spans="3:10" x14ac:dyDescent="0.25">
      <c r="D17" s="170"/>
      <c r="E17" s="177"/>
      <c r="F17"/>
      <c r="G17" s="174"/>
      <c r="H17" s="174"/>
      <c r="I17" s="174"/>
    </row>
    <row r="18" spans="3:10" x14ac:dyDescent="0.25">
      <c r="D18" s="170"/>
      <c r="E18" s="170"/>
      <c r="F18"/>
      <c r="G18" s="174"/>
      <c r="H18" s="174"/>
      <c r="I18" s="174"/>
    </row>
    <row r="19" spans="3:10" x14ac:dyDescent="0.25">
      <c r="D19" s="170"/>
      <c r="E19" s="170"/>
      <c r="F19"/>
      <c r="G19" s="174"/>
      <c r="H19" s="174"/>
      <c r="I19" s="174"/>
    </row>
    <row r="20" spans="3:10" x14ac:dyDescent="0.25">
      <c r="D20" s="170"/>
      <c r="E20" s="170"/>
      <c r="F20"/>
      <c r="G20" s="174"/>
      <c r="H20" s="174"/>
      <c r="I20" s="174"/>
    </row>
    <row r="21" spans="3:10" ht="15" customHeight="1" x14ac:dyDescent="0.25">
      <c r="D21" s="174"/>
      <c r="E21" s="174"/>
      <c r="F21" s="174"/>
      <c r="G21" s="174"/>
      <c r="H21" s="174"/>
      <c r="I21" s="174"/>
    </row>
    <row r="22" spans="3:10" ht="15.75" customHeight="1" x14ac:dyDescent="0.25">
      <c r="D22" s="8"/>
      <c r="E22" s="8"/>
      <c r="F22" s="9"/>
      <c r="G22" s="9"/>
    </row>
    <row r="23" spans="3:10" x14ac:dyDescent="0.25">
      <c r="D23" s="8"/>
      <c r="E23" s="8"/>
      <c r="F23" s="9"/>
      <c r="G23" s="9"/>
    </row>
    <row r="24" spans="3:10" x14ac:dyDescent="0.25">
      <c r="D24" s="10"/>
      <c r="E24" s="8"/>
      <c r="F24" s="9"/>
      <c r="G24" s="9"/>
    </row>
    <row r="26" spans="3:10" x14ac:dyDescent="0.25">
      <c r="C26" s="67" t="s">
        <v>47</v>
      </c>
      <c r="D26" s="5">
        <f>AVERAGE(Heures)</f>
        <v>42.619489557886112</v>
      </c>
      <c r="E26" s="221" t="s">
        <v>48</v>
      </c>
      <c r="F26" s="222"/>
    </row>
    <row r="27" spans="3:10" x14ac:dyDescent="0.25">
      <c r="C27" s="66" t="s">
        <v>49</v>
      </c>
      <c r="D27" s="5">
        <f>_xlfn.STDEV.S(Heures)</f>
        <v>4.6245432445897912</v>
      </c>
      <c r="E27" s="221" t="s">
        <v>48</v>
      </c>
      <c r="F27" s="222"/>
    </row>
    <row r="28" spans="3:10" ht="15" customHeight="1" x14ac:dyDescent="0.25">
      <c r="C28" s="66" t="s">
        <v>90</v>
      </c>
      <c r="D28" s="157">
        <f>D26-D27</f>
        <v>37.994946313296325</v>
      </c>
      <c r="E28" s="68" t="s">
        <v>50</v>
      </c>
      <c r="F28" s="203" t="s">
        <v>106</v>
      </c>
      <c r="G28" s="204"/>
      <c r="H28" s="204"/>
      <c r="I28" s="204"/>
      <c r="J28" s="205"/>
    </row>
    <row r="29" spans="3:10" x14ac:dyDescent="0.25">
      <c r="C29" s="66" t="s">
        <v>91</v>
      </c>
      <c r="D29" s="157">
        <f>D26+D27</f>
        <v>47.2440328024759</v>
      </c>
      <c r="E29" s="11"/>
      <c r="F29" s="206"/>
      <c r="G29" s="207"/>
      <c r="H29" s="207"/>
      <c r="I29" s="207"/>
      <c r="J29" s="208"/>
    </row>
    <row r="30" spans="3:10" x14ac:dyDescent="0.25">
      <c r="C30" s="66" t="s">
        <v>43</v>
      </c>
      <c r="D30" s="3">
        <f>COUNT(Heures)</f>
        <v>143</v>
      </c>
      <c r="E30" s="11"/>
      <c r="F30" s="209"/>
      <c r="G30" s="210"/>
      <c r="H30" s="210"/>
      <c r="I30" s="210"/>
      <c r="J30" s="211"/>
    </row>
    <row r="31" spans="3:10" ht="18" x14ac:dyDescent="0.35">
      <c r="C31" s="67" t="s">
        <v>51</v>
      </c>
      <c r="D31" s="159">
        <f>D27/SQRT(D30)</f>
        <v>0.386723733822048</v>
      </c>
    </row>
    <row r="32" spans="3:10" x14ac:dyDescent="0.25">
      <c r="C32" s="67"/>
      <c r="D32" s="12"/>
      <c r="E32" s="170"/>
    </row>
    <row r="33" spans="2:8" x14ac:dyDescent="0.25">
      <c r="C33" s="66" t="s">
        <v>17</v>
      </c>
      <c r="D33" s="159">
        <v>0.92</v>
      </c>
    </row>
    <row r="34" spans="2:8" x14ac:dyDescent="0.25">
      <c r="C34" s="66" t="s">
        <v>18</v>
      </c>
      <c r="D34" s="159">
        <f>1-D33</f>
        <v>7.999999999999996E-2</v>
      </c>
    </row>
    <row r="35" spans="2:8" x14ac:dyDescent="0.25">
      <c r="C35" s="66" t="s">
        <v>19</v>
      </c>
      <c r="D35" s="159">
        <f>D34/2</f>
        <v>3.999999999999998E-2</v>
      </c>
    </row>
    <row r="36" spans="2:8" ht="18" x14ac:dyDescent="0.35">
      <c r="C36" s="66" t="s">
        <v>20</v>
      </c>
      <c r="D36" s="159">
        <f>1-D35</f>
        <v>0.96</v>
      </c>
    </row>
    <row r="37" spans="2:8" ht="18" x14ac:dyDescent="0.35">
      <c r="C37" s="66" t="s">
        <v>21</v>
      </c>
      <c r="D37" s="159">
        <f>_xlfn.NORM.S.INV(D36)</f>
        <v>1.7506860712521695</v>
      </c>
    </row>
    <row r="38" spans="2:8" x14ac:dyDescent="0.25">
      <c r="B38" s="13"/>
      <c r="C38" s="66"/>
      <c r="D38" s="161"/>
    </row>
    <row r="39" spans="2:8" x14ac:dyDescent="0.25">
      <c r="C39" s="66" t="s">
        <v>52</v>
      </c>
      <c r="D39" s="156">
        <f>D37/D31</f>
        <v>4.5269682673723679</v>
      </c>
    </row>
    <row r="40" spans="2:8" x14ac:dyDescent="0.25">
      <c r="C40" s="66"/>
      <c r="D40" s="161"/>
    </row>
    <row r="41" spans="2:8" x14ac:dyDescent="0.25">
      <c r="C41" s="66" t="s">
        <v>53</v>
      </c>
      <c r="D41" s="5">
        <f>D26-D39</f>
        <v>38.092521290513744</v>
      </c>
    </row>
    <row r="42" spans="2:8" x14ac:dyDescent="0.25">
      <c r="C42" s="66" t="s">
        <v>54</v>
      </c>
      <c r="D42" s="5">
        <f>D26+D39</f>
        <v>47.14645782525848</v>
      </c>
    </row>
    <row r="44" spans="2:8" ht="15" customHeight="1" x14ac:dyDescent="0.25">
      <c r="C44" s="66" t="s">
        <v>55</v>
      </c>
      <c r="D44" s="212" t="s">
        <v>132</v>
      </c>
      <c r="E44" s="213"/>
      <c r="F44" s="213"/>
      <c r="G44" s="213"/>
      <c r="H44" s="214"/>
    </row>
    <row r="45" spans="2:8" x14ac:dyDescent="0.25">
      <c r="D45" s="215"/>
      <c r="E45" s="216"/>
      <c r="F45" s="216"/>
      <c r="G45" s="216"/>
      <c r="H45" s="217"/>
    </row>
    <row r="46" spans="2:8" x14ac:dyDescent="0.25">
      <c r="D46" s="215"/>
      <c r="E46" s="216"/>
      <c r="F46" s="216"/>
      <c r="G46" s="216"/>
      <c r="H46" s="217"/>
    </row>
    <row r="47" spans="2:8" x14ac:dyDescent="0.25">
      <c r="D47" s="218"/>
      <c r="E47" s="219"/>
      <c r="F47" s="219"/>
      <c r="G47" s="219"/>
      <c r="H47" s="220"/>
    </row>
    <row r="49" spans="1:8" ht="18.75" x14ac:dyDescent="0.25">
      <c r="A49"/>
      <c r="B49"/>
      <c r="C49" s="113" t="s">
        <v>8</v>
      </c>
      <c r="D49" s="198" t="s">
        <v>9</v>
      </c>
    </row>
    <row r="50" spans="1:8" ht="19.5" thickBot="1" x14ac:dyDescent="0.3">
      <c r="A50"/>
      <c r="B50"/>
      <c r="C50" s="113"/>
      <c r="D50" s="198"/>
      <c r="F50" s="171" t="s">
        <v>107</v>
      </c>
      <c r="G50" t="s">
        <v>109</v>
      </c>
      <c r="H50"/>
    </row>
    <row r="51" spans="1:8" x14ac:dyDescent="0.25">
      <c r="A51" s="114" t="s">
        <v>0</v>
      </c>
      <c r="B51" s="15" t="s">
        <v>56</v>
      </c>
      <c r="C51" s="16"/>
      <c r="D51" s="16">
        <v>1</v>
      </c>
      <c r="F51" s="175" t="s">
        <v>110</v>
      </c>
      <c r="G51" s="173">
        <v>3</v>
      </c>
      <c r="H51"/>
    </row>
    <row r="52" spans="1:8" x14ac:dyDescent="0.25">
      <c r="A52" s="115"/>
      <c r="B52" s="17" t="s">
        <v>57</v>
      </c>
      <c r="C52" s="18"/>
      <c r="D52" s="18">
        <v>2</v>
      </c>
      <c r="F52" s="175" t="s">
        <v>111</v>
      </c>
      <c r="G52" s="173">
        <v>15</v>
      </c>
      <c r="H52"/>
    </row>
    <row r="53" spans="1:8" ht="15.75" thickBot="1" x14ac:dyDescent="0.3">
      <c r="A53" s="115"/>
      <c r="B53" s="19" t="s">
        <v>58</v>
      </c>
      <c r="C53" s="20"/>
      <c r="D53" s="20">
        <v>2</v>
      </c>
      <c r="F53" s="175" t="s">
        <v>112</v>
      </c>
      <c r="G53" s="173">
        <v>51</v>
      </c>
      <c r="H53"/>
    </row>
    <row r="54" spans="1:8" x14ac:dyDescent="0.25">
      <c r="A54" s="116" t="s">
        <v>59</v>
      </c>
      <c r="B54" s="21" t="s">
        <v>60</v>
      </c>
      <c r="C54" s="22"/>
      <c r="D54" s="22">
        <v>1</v>
      </c>
      <c r="F54" s="175" t="s">
        <v>113</v>
      </c>
      <c r="G54" s="173">
        <v>41</v>
      </c>
      <c r="H54"/>
    </row>
    <row r="55" spans="1:8" x14ac:dyDescent="0.25">
      <c r="A55" s="108"/>
      <c r="B55" s="23" t="s">
        <v>61</v>
      </c>
      <c r="C55" s="24"/>
      <c r="D55" s="24">
        <v>1</v>
      </c>
      <c r="F55" s="175" t="s">
        <v>114</v>
      </c>
      <c r="G55" s="173">
        <v>24</v>
      </c>
      <c r="H55"/>
    </row>
    <row r="56" spans="1:8" x14ac:dyDescent="0.25">
      <c r="A56" s="108"/>
      <c r="B56" s="23" t="s">
        <v>62</v>
      </c>
      <c r="C56" s="24"/>
      <c r="D56" s="24">
        <v>1</v>
      </c>
      <c r="F56" s="175" t="s">
        <v>115</v>
      </c>
      <c r="G56" s="173">
        <v>6</v>
      </c>
      <c r="H56"/>
    </row>
    <row r="57" spans="1:8" x14ac:dyDescent="0.25">
      <c r="A57" s="108"/>
      <c r="B57" s="23" t="s">
        <v>63</v>
      </c>
      <c r="C57" s="24"/>
      <c r="D57" s="24">
        <v>1</v>
      </c>
      <c r="F57" s="175" t="s">
        <v>116</v>
      </c>
      <c r="G57" s="173">
        <v>2</v>
      </c>
      <c r="H57"/>
    </row>
    <row r="58" spans="1:8" x14ac:dyDescent="0.25">
      <c r="A58" s="108"/>
      <c r="B58" s="23" t="s">
        <v>64</v>
      </c>
      <c r="C58" s="24"/>
      <c r="D58" s="24">
        <v>1</v>
      </c>
      <c r="F58" s="175" t="s">
        <v>117</v>
      </c>
      <c r="G58" s="173">
        <v>1</v>
      </c>
      <c r="H58"/>
    </row>
    <row r="59" spans="1:8" x14ac:dyDescent="0.25">
      <c r="A59" s="108"/>
      <c r="B59" s="23" t="s">
        <v>65</v>
      </c>
      <c r="C59" s="24"/>
      <c r="D59" s="24">
        <v>1</v>
      </c>
      <c r="F59" s="175" t="s">
        <v>108</v>
      </c>
      <c r="G59" s="173">
        <v>143</v>
      </c>
      <c r="H59"/>
    </row>
    <row r="60" spans="1:8" ht="15.75" thickBot="1" x14ac:dyDescent="0.3">
      <c r="A60" s="108"/>
      <c r="B60" s="23" t="s">
        <v>66</v>
      </c>
      <c r="C60" s="24"/>
      <c r="D60" s="24">
        <v>2</v>
      </c>
      <c r="F60"/>
      <c r="G60"/>
      <c r="H60"/>
    </row>
    <row r="61" spans="1:8" x14ac:dyDescent="0.25">
      <c r="A61" s="117" t="s">
        <v>67</v>
      </c>
      <c r="B61" s="26" t="s">
        <v>68</v>
      </c>
      <c r="C61" s="27"/>
      <c r="D61" s="28">
        <v>4</v>
      </c>
      <c r="F61"/>
      <c r="G61"/>
      <c r="H61"/>
    </row>
    <row r="62" spans="1:8" x14ac:dyDescent="0.25">
      <c r="A62" s="118"/>
      <c r="B62" s="29" t="s">
        <v>69</v>
      </c>
      <c r="C62" s="30"/>
      <c r="D62" s="31">
        <v>2</v>
      </c>
      <c r="F62"/>
      <c r="G62"/>
      <c r="H62"/>
    </row>
    <row r="63" spans="1:8" x14ac:dyDescent="0.25">
      <c r="A63" s="118"/>
      <c r="B63" s="29" t="s">
        <v>70</v>
      </c>
      <c r="C63" s="30"/>
      <c r="D63" s="31">
        <v>2</v>
      </c>
      <c r="F63"/>
      <c r="G63"/>
      <c r="H63"/>
    </row>
    <row r="64" spans="1:8" x14ac:dyDescent="0.25">
      <c r="A64" s="118"/>
      <c r="B64" s="29" t="s">
        <v>71</v>
      </c>
      <c r="C64" s="30"/>
      <c r="D64" s="31">
        <v>1</v>
      </c>
      <c r="F64"/>
      <c r="G64"/>
      <c r="H64"/>
    </row>
    <row r="65" spans="1:8" x14ac:dyDescent="0.25">
      <c r="A65" s="118"/>
      <c r="B65" s="29" t="s">
        <v>72</v>
      </c>
      <c r="C65" s="30"/>
      <c r="D65" s="31">
        <v>2</v>
      </c>
      <c r="F65"/>
      <c r="G65"/>
      <c r="H65"/>
    </row>
    <row r="66" spans="1:8" x14ac:dyDescent="0.25">
      <c r="A66" s="118"/>
      <c r="B66" s="29" t="s">
        <v>73</v>
      </c>
      <c r="C66" s="30"/>
      <c r="D66" s="31">
        <v>2</v>
      </c>
      <c r="F66"/>
      <c r="G66"/>
      <c r="H66"/>
    </row>
    <row r="67" spans="1:8" x14ac:dyDescent="0.25">
      <c r="A67" s="118"/>
      <c r="B67" s="29" t="s">
        <v>74</v>
      </c>
      <c r="C67" s="30"/>
      <c r="D67" s="31">
        <v>2</v>
      </c>
      <c r="F67"/>
      <c r="G67"/>
      <c r="H67"/>
    </row>
    <row r="68" spans="1:8" ht="15.75" thickBot="1" x14ac:dyDescent="0.3">
      <c r="A68" s="119"/>
      <c r="B68" s="29" t="s">
        <v>75</v>
      </c>
      <c r="C68" s="30"/>
      <c r="D68" s="31">
        <v>2</v>
      </c>
      <c r="F68"/>
      <c r="G68"/>
    </row>
    <row r="69" spans="1:8" x14ac:dyDescent="0.25">
      <c r="A69" s="117" t="s">
        <v>76</v>
      </c>
      <c r="B69" s="37" t="s">
        <v>77</v>
      </c>
      <c r="C69" s="38"/>
      <c r="D69" s="38">
        <v>2</v>
      </c>
      <c r="F69"/>
      <c r="G69"/>
    </row>
    <row r="70" spans="1:8" x14ac:dyDescent="0.25">
      <c r="A70" s="118"/>
      <c r="B70" s="40" t="s">
        <v>78</v>
      </c>
      <c r="C70" s="41"/>
      <c r="D70" s="41">
        <v>1</v>
      </c>
      <c r="F70"/>
      <c r="G70"/>
    </row>
    <row r="71" spans="1:8" x14ac:dyDescent="0.25">
      <c r="A71" s="118"/>
      <c r="B71" s="40" t="s">
        <v>79</v>
      </c>
      <c r="C71" s="41"/>
      <c r="D71" s="41">
        <v>1</v>
      </c>
      <c r="F71"/>
      <c r="G71"/>
    </row>
    <row r="72" spans="1:8" x14ac:dyDescent="0.25">
      <c r="A72" s="118"/>
      <c r="B72" s="40" t="s">
        <v>68</v>
      </c>
      <c r="C72" s="41"/>
      <c r="D72" s="41">
        <v>1</v>
      </c>
      <c r="F72"/>
      <c r="G72"/>
    </row>
    <row r="73" spans="1:8" x14ac:dyDescent="0.25">
      <c r="A73" s="118"/>
      <c r="B73" s="40" t="s">
        <v>80</v>
      </c>
      <c r="C73" s="41"/>
      <c r="D73" s="41">
        <v>1</v>
      </c>
      <c r="F73"/>
      <c r="G73"/>
    </row>
    <row r="74" spans="1:8" x14ac:dyDescent="0.25">
      <c r="A74" s="118"/>
      <c r="B74" s="40" t="s">
        <v>81</v>
      </c>
      <c r="C74" s="41"/>
      <c r="D74" s="41">
        <v>1</v>
      </c>
      <c r="F74"/>
      <c r="G74"/>
    </row>
    <row r="75" spans="1:8" x14ac:dyDescent="0.25">
      <c r="A75" s="118"/>
      <c r="B75" s="40" t="s">
        <v>74</v>
      </c>
      <c r="C75" s="41"/>
      <c r="D75" s="41">
        <v>1</v>
      </c>
      <c r="F75"/>
      <c r="G75"/>
    </row>
    <row r="76" spans="1:8" ht="15.75" thickBot="1" x14ac:dyDescent="0.3">
      <c r="A76" s="119"/>
      <c r="B76" s="40" t="s">
        <v>75</v>
      </c>
      <c r="C76" s="41"/>
      <c r="D76" s="41">
        <v>1</v>
      </c>
      <c r="F76"/>
      <c r="G76"/>
    </row>
    <row r="77" spans="1:8" ht="18" x14ac:dyDescent="0.25">
      <c r="A77" s="120" t="s">
        <v>82</v>
      </c>
      <c r="B77" s="46" t="s">
        <v>27</v>
      </c>
      <c r="C77" s="47"/>
      <c r="D77" s="48">
        <v>1</v>
      </c>
      <c r="F77"/>
      <c r="G77"/>
    </row>
    <row r="78" spans="1:8" x14ac:dyDescent="0.25">
      <c r="A78" s="121"/>
      <c r="B78" s="49" t="s">
        <v>28</v>
      </c>
      <c r="C78" s="34"/>
      <c r="D78" s="50">
        <v>0.5</v>
      </c>
      <c r="F78"/>
      <c r="G78"/>
    </row>
    <row r="79" spans="1:8" x14ac:dyDescent="0.25">
      <c r="A79" s="121"/>
      <c r="B79" s="49" t="s">
        <v>29</v>
      </c>
      <c r="C79" s="34"/>
      <c r="D79" s="50">
        <v>0.5</v>
      </c>
      <c r="F79"/>
      <c r="G79"/>
    </row>
    <row r="80" spans="1:8" ht="18" x14ac:dyDescent="0.25">
      <c r="A80" s="121"/>
      <c r="B80" s="49" t="s">
        <v>30</v>
      </c>
      <c r="C80" s="34"/>
      <c r="D80" s="50">
        <v>0.5</v>
      </c>
      <c r="F80"/>
      <c r="G80"/>
    </row>
    <row r="81" spans="1:7" ht="18.75" thickBot="1" x14ac:dyDescent="0.3">
      <c r="A81" s="122"/>
      <c r="B81" s="123" t="s">
        <v>31</v>
      </c>
      <c r="C81" s="124"/>
      <c r="D81" s="125">
        <v>2</v>
      </c>
      <c r="F81"/>
      <c r="G81"/>
    </row>
    <row r="82" spans="1:7" x14ac:dyDescent="0.25">
      <c r="A82" s="117" t="s">
        <v>83</v>
      </c>
      <c r="B82" s="40" t="s">
        <v>84</v>
      </c>
      <c r="C82" s="41"/>
      <c r="D82" s="41">
        <v>1</v>
      </c>
      <c r="F82"/>
      <c r="G82"/>
    </row>
    <row r="83" spans="1:7" x14ac:dyDescent="0.25">
      <c r="A83" s="118"/>
      <c r="B83" s="40" t="s">
        <v>85</v>
      </c>
      <c r="C83" s="41"/>
      <c r="D83" s="41">
        <v>1</v>
      </c>
      <c r="F83"/>
      <c r="G83"/>
    </row>
    <row r="84" spans="1:7" ht="15.75" thickBot="1" x14ac:dyDescent="0.3">
      <c r="A84" s="119"/>
      <c r="B84" s="126" t="s">
        <v>55</v>
      </c>
      <c r="C84" s="127"/>
      <c r="D84" s="127">
        <v>4</v>
      </c>
      <c r="F84"/>
      <c r="G84"/>
    </row>
    <row r="85" spans="1:7" x14ac:dyDescent="0.25">
      <c r="A85" s="117" t="s">
        <v>86</v>
      </c>
      <c r="B85" s="54" t="s">
        <v>87</v>
      </c>
      <c r="C85" s="76"/>
      <c r="D85" s="76">
        <v>2</v>
      </c>
      <c r="F85"/>
      <c r="G85"/>
    </row>
    <row r="86" spans="1:7" ht="15.75" thickBot="1" x14ac:dyDescent="0.3">
      <c r="A86" s="119"/>
      <c r="B86" s="55" t="s">
        <v>88</v>
      </c>
      <c r="C86" s="36"/>
      <c r="D86" s="36">
        <v>2</v>
      </c>
      <c r="F86"/>
      <c r="G86"/>
    </row>
    <row r="87" spans="1:7" x14ac:dyDescent="0.25">
      <c r="A87" s="200" t="s">
        <v>89</v>
      </c>
      <c r="B87" s="56" t="s">
        <v>90</v>
      </c>
      <c r="C87" s="57"/>
      <c r="D87" s="57">
        <v>1</v>
      </c>
      <c r="F87"/>
      <c r="G87"/>
    </row>
    <row r="88" spans="1:7" x14ac:dyDescent="0.25">
      <c r="A88" s="201"/>
      <c r="B88" s="58" t="s">
        <v>91</v>
      </c>
      <c r="C88" s="59"/>
      <c r="D88" s="59">
        <v>1</v>
      </c>
      <c r="F88"/>
      <c r="G88"/>
    </row>
    <row r="89" spans="1:7" ht="15.75" thickBot="1" x14ac:dyDescent="0.3">
      <c r="A89" s="202"/>
      <c r="B89" s="60" t="s">
        <v>55</v>
      </c>
      <c r="C89" s="61"/>
      <c r="D89" s="61">
        <v>6</v>
      </c>
      <c r="F89"/>
      <c r="G89"/>
    </row>
    <row r="90" spans="1:7" ht="15.75" thickBot="1" x14ac:dyDescent="0.3">
      <c r="A90" s="129" t="s">
        <v>36</v>
      </c>
      <c r="B90" s="128"/>
      <c r="C90" s="62">
        <f>SUM(C51:C89)</f>
        <v>0</v>
      </c>
      <c r="D90" s="62">
        <f>SUM(D51:D89)</f>
        <v>61.5</v>
      </c>
      <c r="F90"/>
      <c r="G90"/>
    </row>
    <row r="91" spans="1:7" x14ac:dyDescent="0.25">
      <c r="F91"/>
      <c r="G91"/>
    </row>
    <row r="92" spans="1:7" x14ac:dyDescent="0.25">
      <c r="F92"/>
      <c r="G92"/>
    </row>
    <row r="93" spans="1:7" x14ac:dyDescent="0.25">
      <c r="F93"/>
      <c r="G93"/>
    </row>
    <row r="94" spans="1:7" x14ac:dyDescent="0.25">
      <c r="F94"/>
      <c r="G94"/>
    </row>
    <row r="95" spans="1:7" x14ac:dyDescent="0.25">
      <c r="F95"/>
      <c r="G95"/>
    </row>
    <row r="96" spans="1:7" x14ac:dyDescent="0.25">
      <c r="F96"/>
      <c r="G96"/>
    </row>
    <row r="97" spans="6:7" x14ac:dyDescent="0.25">
      <c r="F97"/>
      <c r="G97"/>
    </row>
    <row r="98" spans="6:7" x14ac:dyDescent="0.25">
      <c r="F98"/>
      <c r="G98"/>
    </row>
    <row r="99" spans="6:7" x14ac:dyDescent="0.25">
      <c r="F99"/>
      <c r="G99"/>
    </row>
    <row r="100" spans="6:7" x14ac:dyDescent="0.25">
      <c r="F100"/>
      <c r="G100"/>
    </row>
    <row r="101" spans="6:7" x14ac:dyDescent="0.25">
      <c r="F101"/>
      <c r="G101"/>
    </row>
    <row r="102" spans="6:7" x14ac:dyDescent="0.25">
      <c r="F102"/>
      <c r="G102"/>
    </row>
    <row r="103" spans="6:7" x14ac:dyDescent="0.25">
      <c r="F103"/>
      <c r="G103"/>
    </row>
    <row r="104" spans="6:7" x14ac:dyDescent="0.25">
      <c r="F104"/>
      <c r="G104"/>
    </row>
    <row r="105" spans="6:7" x14ac:dyDescent="0.25">
      <c r="F105"/>
      <c r="G105"/>
    </row>
    <row r="106" spans="6:7" x14ac:dyDescent="0.25">
      <c r="F106"/>
      <c r="G106"/>
    </row>
    <row r="107" spans="6:7" x14ac:dyDescent="0.25">
      <c r="F107"/>
      <c r="G107"/>
    </row>
    <row r="108" spans="6:7" x14ac:dyDescent="0.25">
      <c r="F108"/>
      <c r="G108"/>
    </row>
    <row r="109" spans="6:7" x14ac:dyDescent="0.25">
      <c r="F109"/>
      <c r="G109"/>
    </row>
    <row r="110" spans="6:7" x14ac:dyDescent="0.25">
      <c r="F110"/>
      <c r="G110"/>
    </row>
    <row r="111" spans="6:7" x14ac:dyDescent="0.25">
      <c r="F111"/>
      <c r="G111"/>
    </row>
    <row r="112" spans="6:7" x14ac:dyDescent="0.25">
      <c r="F112"/>
      <c r="G112"/>
    </row>
    <row r="113" spans="6:7" x14ac:dyDescent="0.25">
      <c r="F113"/>
      <c r="G113"/>
    </row>
    <row r="114" spans="6:7" x14ac:dyDescent="0.25">
      <c r="F114"/>
      <c r="G114"/>
    </row>
    <row r="115" spans="6:7" x14ac:dyDescent="0.25">
      <c r="F115"/>
      <c r="G115"/>
    </row>
    <row r="116" spans="6:7" x14ac:dyDescent="0.25">
      <c r="F116"/>
      <c r="G116"/>
    </row>
    <row r="117" spans="6:7" x14ac:dyDescent="0.25">
      <c r="F117"/>
      <c r="G117"/>
    </row>
    <row r="118" spans="6:7" x14ac:dyDescent="0.25">
      <c r="F118"/>
      <c r="G118"/>
    </row>
    <row r="119" spans="6:7" x14ac:dyDescent="0.25">
      <c r="F119"/>
      <c r="G119"/>
    </row>
    <row r="120" spans="6:7" x14ac:dyDescent="0.25">
      <c r="F120"/>
      <c r="G120"/>
    </row>
    <row r="121" spans="6:7" x14ac:dyDescent="0.25">
      <c r="F121"/>
      <c r="G121"/>
    </row>
    <row r="122" spans="6:7" x14ac:dyDescent="0.25">
      <c r="F122"/>
      <c r="G122"/>
    </row>
    <row r="123" spans="6:7" x14ac:dyDescent="0.25">
      <c r="F123"/>
      <c r="G123"/>
    </row>
    <row r="124" spans="6:7" x14ac:dyDescent="0.25">
      <c r="F124"/>
      <c r="G124"/>
    </row>
    <row r="125" spans="6:7" x14ac:dyDescent="0.25">
      <c r="F125"/>
      <c r="G125"/>
    </row>
    <row r="126" spans="6:7" x14ac:dyDescent="0.25">
      <c r="F126"/>
      <c r="G126"/>
    </row>
    <row r="127" spans="6:7" x14ac:dyDescent="0.25">
      <c r="F127"/>
      <c r="G127"/>
    </row>
    <row r="128" spans="6:7" x14ac:dyDescent="0.25">
      <c r="F128"/>
      <c r="G128"/>
    </row>
    <row r="129" spans="6:7" x14ac:dyDescent="0.25">
      <c r="F129"/>
      <c r="G129"/>
    </row>
    <row r="130" spans="6:7" x14ac:dyDescent="0.25">
      <c r="F130"/>
      <c r="G130"/>
    </row>
    <row r="131" spans="6:7" x14ac:dyDescent="0.25">
      <c r="F131"/>
      <c r="G131"/>
    </row>
    <row r="132" spans="6:7" x14ac:dyDescent="0.25">
      <c r="F132"/>
      <c r="G132"/>
    </row>
    <row r="133" spans="6:7" x14ac:dyDescent="0.25">
      <c r="F133"/>
      <c r="G133"/>
    </row>
    <row r="134" spans="6:7" x14ac:dyDescent="0.25">
      <c r="F134"/>
      <c r="G134"/>
    </row>
    <row r="135" spans="6:7" x14ac:dyDescent="0.25">
      <c r="F135"/>
      <c r="G135"/>
    </row>
    <row r="136" spans="6:7" x14ac:dyDescent="0.25">
      <c r="F136"/>
      <c r="G136"/>
    </row>
    <row r="137" spans="6:7" x14ac:dyDescent="0.25">
      <c r="F137"/>
      <c r="G137"/>
    </row>
    <row r="138" spans="6:7" x14ac:dyDescent="0.25">
      <c r="F138"/>
      <c r="G138"/>
    </row>
    <row r="139" spans="6:7" x14ac:dyDescent="0.25">
      <c r="F139"/>
      <c r="G139"/>
    </row>
    <row r="140" spans="6:7" x14ac:dyDescent="0.25">
      <c r="F140"/>
      <c r="G140"/>
    </row>
    <row r="141" spans="6:7" x14ac:dyDescent="0.25">
      <c r="F141"/>
      <c r="G141"/>
    </row>
    <row r="142" spans="6:7" x14ac:dyDescent="0.25">
      <c r="F142"/>
      <c r="G142"/>
    </row>
    <row r="143" spans="6:7" x14ac:dyDescent="0.25">
      <c r="F143"/>
      <c r="G143"/>
    </row>
    <row r="144" spans="6:7" x14ac:dyDescent="0.25">
      <c r="F144"/>
      <c r="G144"/>
    </row>
    <row r="145" spans="6:7" x14ac:dyDescent="0.25">
      <c r="F145"/>
      <c r="G145"/>
    </row>
    <row r="146" spans="6:7" x14ac:dyDescent="0.25">
      <c r="F146"/>
      <c r="G146"/>
    </row>
    <row r="147" spans="6:7" x14ac:dyDescent="0.25">
      <c r="F147"/>
      <c r="G147"/>
    </row>
    <row r="148" spans="6:7" x14ac:dyDescent="0.25">
      <c r="F148"/>
      <c r="G148"/>
    </row>
    <row r="149" spans="6:7" x14ac:dyDescent="0.25">
      <c r="F149"/>
      <c r="G149"/>
    </row>
    <row r="150" spans="6:7" x14ac:dyDescent="0.25">
      <c r="F150"/>
      <c r="G150"/>
    </row>
    <row r="151" spans="6:7" x14ac:dyDescent="0.25">
      <c r="F151"/>
      <c r="G151"/>
    </row>
    <row r="152" spans="6:7" x14ac:dyDescent="0.25">
      <c r="F152"/>
      <c r="G152"/>
    </row>
    <row r="153" spans="6:7" x14ac:dyDescent="0.25">
      <c r="F153"/>
      <c r="G153"/>
    </row>
    <row r="154" spans="6:7" x14ac:dyDescent="0.25">
      <c r="F154"/>
      <c r="G154"/>
    </row>
    <row r="155" spans="6:7" x14ac:dyDescent="0.25">
      <c r="F155"/>
      <c r="G155"/>
    </row>
    <row r="156" spans="6:7" x14ac:dyDescent="0.25">
      <c r="F156"/>
      <c r="G156"/>
    </row>
    <row r="157" spans="6:7" x14ac:dyDescent="0.25">
      <c r="F157"/>
      <c r="G157"/>
    </row>
    <row r="158" spans="6:7" x14ac:dyDescent="0.25">
      <c r="F158"/>
      <c r="G158"/>
    </row>
    <row r="159" spans="6:7" x14ac:dyDescent="0.25">
      <c r="F159"/>
      <c r="G159"/>
    </row>
    <row r="160" spans="6:7" x14ac:dyDescent="0.25">
      <c r="F160"/>
      <c r="G160"/>
    </row>
    <row r="161" spans="6:7" x14ac:dyDescent="0.25">
      <c r="F161"/>
      <c r="G161"/>
    </row>
    <row r="162" spans="6:7" x14ac:dyDescent="0.25">
      <c r="F162"/>
      <c r="G162"/>
    </row>
    <row r="163" spans="6:7" x14ac:dyDescent="0.25">
      <c r="F163"/>
      <c r="G163"/>
    </row>
    <row r="164" spans="6:7" x14ac:dyDescent="0.25">
      <c r="F164"/>
      <c r="G164"/>
    </row>
    <row r="165" spans="6:7" x14ac:dyDescent="0.25">
      <c r="F165"/>
      <c r="G165"/>
    </row>
    <row r="166" spans="6:7" x14ac:dyDescent="0.25">
      <c r="F166"/>
      <c r="G166"/>
    </row>
    <row r="167" spans="6:7" x14ac:dyDescent="0.25">
      <c r="F167"/>
      <c r="G167"/>
    </row>
    <row r="168" spans="6:7" x14ac:dyDescent="0.25">
      <c r="F168"/>
      <c r="G168"/>
    </row>
    <row r="169" spans="6:7" x14ac:dyDescent="0.25">
      <c r="F169"/>
      <c r="G169"/>
    </row>
    <row r="170" spans="6:7" x14ac:dyDescent="0.25">
      <c r="F170"/>
      <c r="G170"/>
    </row>
    <row r="171" spans="6:7" x14ac:dyDescent="0.25">
      <c r="F171"/>
      <c r="G171"/>
    </row>
    <row r="172" spans="6:7" x14ac:dyDescent="0.25">
      <c r="F172"/>
      <c r="G172"/>
    </row>
    <row r="173" spans="6:7" x14ac:dyDescent="0.25">
      <c r="F173"/>
      <c r="G173"/>
    </row>
    <row r="174" spans="6:7" x14ac:dyDescent="0.25">
      <c r="F174"/>
      <c r="G174"/>
    </row>
    <row r="175" spans="6:7" x14ac:dyDescent="0.25">
      <c r="F175"/>
      <c r="G175"/>
    </row>
    <row r="176" spans="6:7" x14ac:dyDescent="0.25">
      <c r="F176"/>
      <c r="G176"/>
    </row>
    <row r="177" spans="6:7" x14ac:dyDescent="0.25">
      <c r="F177"/>
      <c r="G177"/>
    </row>
    <row r="178" spans="6:7" x14ac:dyDescent="0.25">
      <c r="F178"/>
      <c r="G178"/>
    </row>
    <row r="179" spans="6:7" x14ac:dyDescent="0.25">
      <c r="F179"/>
      <c r="G179"/>
    </row>
    <row r="180" spans="6:7" x14ac:dyDescent="0.25">
      <c r="F180"/>
      <c r="G180"/>
    </row>
    <row r="181" spans="6:7" x14ac:dyDescent="0.25">
      <c r="F181"/>
      <c r="G181"/>
    </row>
    <row r="182" spans="6:7" x14ac:dyDescent="0.25">
      <c r="F182"/>
      <c r="G182"/>
    </row>
    <row r="183" spans="6:7" x14ac:dyDescent="0.25">
      <c r="F183"/>
      <c r="G183"/>
    </row>
    <row r="184" spans="6:7" x14ac:dyDescent="0.25">
      <c r="F184"/>
      <c r="G184"/>
    </row>
    <row r="185" spans="6:7" x14ac:dyDescent="0.25">
      <c r="F185"/>
      <c r="G185"/>
    </row>
    <row r="186" spans="6:7" x14ac:dyDescent="0.25">
      <c r="F186"/>
      <c r="G186"/>
    </row>
    <row r="187" spans="6:7" x14ac:dyDescent="0.25">
      <c r="F187"/>
      <c r="G187"/>
    </row>
    <row r="188" spans="6:7" x14ac:dyDescent="0.25">
      <c r="F188"/>
      <c r="G188"/>
    </row>
    <row r="189" spans="6:7" x14ac:dyDescent="0.25">
      <c r="F189"/>
      <c r="G189"/>
    </row>
    <row r="190" spans="6:7" x14ac:dyDescent="0.25">
      <c r="F190"/>
      <c r="G190"/>
    </row>
    <row r="191" spans="6:7" x14ac:dyDescent="0.25">
      <c r="F191"/>
      <c r="G191"/>
    </row>
    <row r="192" spans="6:7" x14ac:dyDescent="0.25">
      <c r="F192"/>
      <c r="G192"/>
    </row>
    <row r="193" spans="6:7" x14ac:dyDescent="0.25">
      <c r="F193"/>
      <c r="G193"/>
    </row>
    <row r="194" spans="6:7" x14ac:dyDescent="0.25">
      <c r="F194"/>
      <c r="G194"/>
    </row>
  </sheetData>
  <sheetProtection selectLockedCells="1"/>
  <mergeCells count="7">
    <mergeCell ref="E26:F26"/>
    <mergeCell ref="D3:G4"/>
    <mergeCell ref="A87:A89"/>
    <mergeCell ref="F28:J30"/>
    <mergeCell ref="D44:H47"/>
    <mergeCell ref="D49:D50"/>
    <mergeCell ref="E27:F27"/>
  </mergeCells>
  <pageMargins left="0.7" right="0.7" top="0.75" bottom="0.75" header="0.3" footer="0.3"/>
  <pageSetup orientation="portrait" verticalDpi="599" r:id="rId2"/>
  <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84356-A894-41F9-94CB-D4D2F419C881}">
  <dimension ref="A1:I68"/>
  <sheetViews>
    <sheetView tabSelected="1" topLeftCell="C51" zoomScale="85" zoomScaleNormal="85" workbookViewId="0">
      <selection activeCell="K84" sqref="K84"/>
    </sheetView>
  </sheetViews>
  <sheetFormatPr baseColWidth="10" defaultColWidth="11.42578125" defaultRowHeight="15" x14ac:dyDescent="0.25"/>
  <cols>
    <col min="1" max="1" width="18.42578125" style="2" bestFit="1" customWidth="1"/>
    <col min="2" max="2" width="43.5703125" style="2" bestFit="1" customWidth="1"/>
    <col min="3" max="3" width="21.140625" style="2" bestFit="1" customWidth="1"/>
    <col min="4" max="4" width="24.85546875" style="2" customWidth="1"/>
    <col min="5" max="5" width="30.5703125" style="2" customWidth="1"/>
    <col min="6" max="6" width="33.5703125" style="2" bestFit="1" customWidth="1"/>
    <col min="7" max="7" width="30.140625" style="2" bestFit="1" customWidth="1"/>
    <col min="8" max="8" width="41" style="2" bestFit="1" customWidth="1"/>
    <col min="9" max="9" width="50" style="2" bestFit="1" customWidth="1"/>
    <col min="10" max="16384" width="11.42578125" style="2"/>
  </cols>
  <sheetData>
    <row r="1" spans="1:6" x14ac:dyDescent="0.25">
      <c r="A1" s="66" t="s">
        <v>37</v>
      </c>
      <c r="B1" s="1"/>
    </row>
    <row r="2" spans="1:6" x14ac:dyDescent="0.25">
      <c r="A2" s="66" t="s">
        <v>38</v>
      </c>
      <c r="B2" s="1"/>
    </row>
    <row r="3" spans="1:6" x14ac:dyDescent="0.25">
      <c r="C3" s="69"/>
      <c r="D3" s="69"/>
    </row>
    <row r="4" spans="1:6" x14ac:dyDescent="0.25">
      <c r="C4" s="69"/>
      <c r="D4" s="69"/>
    </row>
    <row r="5" spans="1:6" x14ac:dyDescent="0.25">
      <c r="C5" s="7"/>
      <c r="D5" s="7"/>
    </row>
    <row r="6" spans="1:6" x14ac:dyDescent="0.25">
      <c r="C6" s="8"/>
      <c r="D6" s="9"/>
    </row>
    <row r="7" spans="1:6" x14ac:dyDescent="0.25">
      <c r="C7" s="8"/>
      <c r="D7" s="9"/>
    </row>
    <row r="8" spans="1:6" x14ac:dyDescent="0.25">
      <c r="C8" s="8"/>
      <c r="D8" s="9"/>
    </row>
    <row r="9" spans="1:6" x14ac:dyDescent="0.25">
      <c r="C9" s="8"/>
      <c r="D9" s="9"/>
    </row>
    <row r="10" spans="1:6" x14ac:dyDescent="0.25">
      <c r="C10" s="8"/>
      <c r="D10" s="8"/>
      <c r="E10" s="9"/>
      <c r="F10" s="9"/>
    </row>
    <row r="11" spans="1:6" x14ac:dyDescent="0.25">
      <c r="C11" s="10"/>
      <c r="D11" s="8"/>
      <c r="E11" s="9"/>
      <c r="F11" s="9"/>
    </row>
    <row r="17" spans="2:8" x14ac:dyDescent="0.25">
      <c r="C17" s="66" t="s">
        <v>43</v>
      </c>
      <c r="D17" s="3"/>
    </row>
    <row r="18" spans="2:8" x14ac:dyDescent="0.25">
      <c r="C18" s="66" t="s">
        <v>92</v>
      </c>
      <c r="D18" s="3"/>
    </row>
    <row r="19" spans="2:8" x14ac:dyDescent="0.25">
      <c r="C19" s="66"/>
    </row>
    <row r="20" spans="2:8" x14ac:dyDescent="0.25">
      <c r="C20" s="66" t="s">
        <v>17</v>
      </c>
      <c r="D20" s="3"/>
    </row>
    <row r="21" spans="2:8" x14ac:dyDescent="0.25">
      <c r="C21" s="66" t="s">
        <v>18</v>
      </c>
      <c r="D21" s="3"/>
    </row>
    <row r="22" spans="2:8" x14ac:dyDescent="0.25">
      <c r="C22" s="66" t="s">
        <v>19</v>
      </c>
      <c r="D22" s="3"/>
    </row>
    <row r="23" spans="2:8" ht="18" x14ac:dyDescent="0.35">
      <c r="C23" s="66" t="s">
        <v>20</v>
      </c>
      <c r="D23" s="3"/>
    </row>
    <row r="24" spans="2:8" ht="18" x14ac:dyDescent="0.35">
      <c r="C24" s="66" t="s">
        <v>21</v>
      </c>
      <c r="D24" s="3"/>
    </row>
    <row r="25" spans="2:8" x14ac:dyDescent="0.25">
      <c r="C25" s="66"/>
      <c r="D25" s="70"/>
    </row>
    <row r="26" spans="2:8" ht="18" x14ac:dyDescent="0.35">
      <c r="B26" s="13"/>
      <c r="C26" s="67" t="s">
        <v>93</v>
      </c>
      <c r="D26" s="3"/>
    </row>
    <row r="27" spans="2:8" x14ac:dyDescent="0.25">
      <c r="C27" s="66" t="s">
        <v>22</v>
      </c>
      <c r="D27" s="3"/>
    </row>
    <row r="28" spans="2:8" x14ac:dyDescent="0.25">
      <c r="C28" s="66"/>
    </row>
    <row r="29" spans="2:8" x14ac:dyDescent="0.25">
      <c r="C29" s="66" t="s">
        <v>53</v>
      </c>
      <c r="D29" s="3"/>
    </row>
    <row r="30" spans="2:8" x14ac:dyDescent="0.25">
      <c r="C30" s="66" t="s">
        <v>54</v>
      </c>
      <c r="D30" s="3"/>
    </row>
    <row r="32" spans="2:8" x14ac:dyDescent="0.25">
      <c r="C32" s="66" t="s">
        <v>55</v>
      </c>
      <c r="D32" s="130"/>
      <c r="E32" s="131"/>
      <c r="F32" s="131"/>
      <c r="G32" s="131"/>
      <c r="H32" s="132"/>
    </row>
    <row r="33" spans="1:8" x14ac:dyDescent="0.25">
      <c r="D33" s="133"/>
      <c r="E33" s="134"/>
      <c r="F33" s="134"/>
      <c r="G33" s="134"/>
      <c r="H33" s="135"/>
    </row>
    <row r="34" spans="1:8" x14ac:dyDescent="0.25">
      <c r="D34" s="133"/>
      <c r="E34" s="134"/>
      <c r="F34" s="134"/>
      <c r="G34" s="134"/>
      <c r="H34" s="135"/>
    </row>
    <row r="35" spans="1:8" x14ac:dyDescent="0.25">
      <c r="D35" s="136"/>
      <c r="E35" s="137"/>
      <c r="F35" s="137"/>
      <c r="G35" s="137"/>
      <c r="H35" s="138"/>
    </row>
    <row r="38" spans="1:8" x14ac:dyDescent="0.25">
      <c r="A38"/>
      <c r="B38"/>
      <c r="C38" s="232" t="s">
        <v>8</v>
      </c>
      <c r="D38" s="198" t="s">
        <v>9</v>
      </c>
    </row>
    <row r="39" spans="1:8" ht="15.75" thickBot="1" x14ac:dyDescent="0.3">
      <c r="A39"/>
      <c r="B39"/>
      <c r="C39" s="232"/>
      <c r="D39" s="198"/>
    </row>
    <row r="40" spans="1:8" x14ac:dyDescent="0.25">
      <c r="A40" s="233" t="s">
        <v>0</v>
      </c>
      <c r="B40" s="139" t="s">
        <v>56</v>
      </c>
      <c r="C40" s="140"/>
      <c r="D40" s="141">
        <v>1</v>
      </c>
    </row>
    <row r="41" spans="1:8" ht="15.75" thickBot="1" x14ac:dyDescent="0.3">
      <c r="A41" s="234"/>
      <c r="B41" s="142" t="s">
        <v>57</v>
      </c>
      <c r="C41" s="143"/>
      <c r="D41" s="144">
        <v>2</v>
      </c>
      <c r="F41" s="171" t="s">
        <v>107</v>
      </c>
      <c r="G41" t="s">
        <v>133</v>
      </c>
      <c r="H41"/>
    </row>
    <row r="42" spans="1:8" x14ac:dyDescent="0.25">
      <c r="A42" s="200" t="s">
        <v>67</v>
      </c>
      <c r="B42" s="26" t="s">
        <v>68</v>
      </c>
      <c r="C42" s="27"/>
      <c r="D42" s="28">
        <v>4</v>
      </c>
      <c r="F42" s="175">
        <v>1</v>
      </c>
      <c r="G42" s="173">
        <v>17</v>
      </c>
      <c r="H42"/>
    </row>
    <row r="43" spans="1:8" x14ac:dyDescent="0.25">
      <c r="A43" s="201"/>
      <c r="B43" s="29" t="s">
        <v>69</v>
      </c>
      <c r="C43" s="30"/>
      <c r="D43" s="31">
        <v>2</v>
      </c>
      <c r="F43" s="175">
        <v>2</v>
      </c>
      <c r="G43" s="173">
        <v>51</v>
      </c>
      <c r="H43"/>
    </row>
    <row r="44" spans="1:8" x14ac:dyDescent="0.25">
      <c r="A44" s="201"/>
      <c r="B44" s="29" t="s">
        <v>94</v>
      </c>
      <c r="C44" s="30"/>
      <c r="D44" s="31">
        <v>2</v>
      </c>
      <c r="F44" s="175">
        <v>3</v>
      </c>
      <c r="G44" s="173">
        <v>7</v>
      </c>
      <c r="H44"/>
    </row>
    <row r="45" spans="1:8" x14ac:dyDescent="0.25">
      <c r="A45" s="201"/>
      <c r="B45" s="29" t="s">
        <v>71</v>
      </c>
      <c r="C45" s="30"/>
      <c r="D45" s="31">
        <v>1</v>
      </c>
      <c r="F45" s="175">
        <v>4</v>
      </c>
      <c r="G45" s="173">
        <v>36</v>
      </c>
      <c r="H45"/>
    </row>
    <row r="46" spans="1:8" x14ac:dyDescent="0.25">
      <c r="A46" s="201"/>
      <c r="B46" s="29" t="s">
        <v>72</v>
      </c>
      <c r="C46" s="32"/>
      <c r="D46" s="31">
        <v>2</v>
      </c>
      <c r="F46" s="175">
        <v>5</v>
      </c>
      <c r="G46" s="173">
        <v>32</v>
      </c>
      <c r="H46"/>
    </row>
    <row r="47" spans="1:8" x14ac:dyDescent="0.25">
      <c r="A47" s="201"/>
      <c r="B47" s="33" t="s">
        <v>73</v>
      </c>
      <c r="C47" s="34"/>
      <c r="D47" s="35">
        <v>2</v>
      </c>
      <c r="F47" s="175" t="s">
        <v>108</v>
      </c>
      <c r="G47" s="173">
        <v>143</v>
      </c>
      <c r="H47"/>
    </row>
    <row r="48" spans="1:8" ht="15.75" thickBot="1" x14ac:dyDescent="0.3">
      <c r="A48" s="201"/>
      <c r="B48" s="29" t="s">
        <v>74</v>
      </c>
      <c r="C48" s="30"/>
      <c r="D48" s="31">
        <v>2</v>
      </c>
      <c r="F48"/>
      <c r="G48"/>
      <c r="H48"/>
    </row>
    <row r="49" spans="1:9" ht="15.75" thickBot="1" x14ac:dyDescent="0.3">
      <c r="A49" s="229"/>
      <c r="B49" s="29" t="s">
        <v>75</v>
      </c>
      <c r="C49" s="30"/>
      <c r="D49" s="31">
        <v>2</v>
      </c>
      <c r="F49" s="251" t="s">
        <v>137</v>
      </c>
      <c r="G49" s="252"/>
      <c r="H49" s="252"/>
      <c r="I49" s="253"/>
    </row>
    <row r="50" spans="1:9" ht="15.75" thickBot="1" x14ac:dyDescent="0.3">
      <c r="A50" s="235" t="s">
        <v>95</v>
      </c>
      <c r="B50" s="37" t="s">
        <v>96</v>
      </c>
      <c r="C50" s="38"/>
      <c r="D50" s="39">
        <v>1</v>
      </c>
      <c r="F50" s="254"/>
      <c r="G50" s="255"/>
      <c r="H50" s="255"/>
      <c r="I50" s="256"/>
    </row>
    <row r="51" spans="1:9" x14ac:dyDescent="0.25">
      <c r="A51" s="236"/>
      <c r="B51" s="40" t="s">
        <v>97</v>
      </c>
      <c r="C51" s="41"/>
      <c r="D51" s="42">
        <v>1</v>
      </c>
      <c r="F51" s="248" t="s">
        <v>143</v>
      </c>
      <c r="G51" s="248" t="s">
        <v>126</v>
      </c>
      <c r="H51" s="249" t="s">
        <v>129</v>
      </c>
      <c r="I51" s="250" t="s">
        <v>128</v>
      </c>
    </row>
    <row r="52" spans="1:9" x14ac:dyDescent="0.25">
      <c r="A52" s="236"/>
      <c r="B52" s="40" t="s">
        <v>79</v>
      </c>
      <c r="C52" s="41"/>
      <c r="D52" s="42">
        <v>1</v>
      </c>
      <c r="F52" s="243" t="s">
        <v>138</v>
      </c>
      <c r="G52" s="243">
        <v>17</v>
      </c>
      <c r="H52" s="244">
        <f>G52/$G$57*100</f>
        <v>11.888111888111888</v>
      </c>
      <c r="I52" s="245">
        <f>H52</f>
        <v>11.888111888111888</v>
      </c>
    </row>
    <row r="53" spans="1:9" x14ac:dyDescent="0.25">
      <c r="A53" s="236"/>
      <c r="B53" s="40" t="s">
        <v>68</v>
      </c>
      <c r="C53" s="41"/>
      <c r="D53" s="42">
        <v>1</v>
      </c>
      <c r="F53" s="243" t="s">
        <v>139</v>
      </c>
      <c r="G53" s="243">
        <v>51</v>
      </c>
      <c r="H53" s="244">
        <f>G53/$G$57*100</f>
        <v>35.664335664335667</v>
      </c>
      <c r="I53" s="245">
        <f>I52+H53</f>
        <v>47.552447552447553</v>
      </c>
    </row>
    <row r="54" spans="1:9" x14ac:dyDescent="0.25">
      <c r="A54" s="236"/>
      <c r="B54" s="40" t="s">
        <v>80</v>
      </c>
      <c r="C54" s="41"/>
      <c r="D54" s="42">
        <v>1</v>
      </c>
      <c r="F54" s="243" t="s">
        <v>140</v>
      </c>
      <c r="G54" s="243">
        <v>7</v>
      </c>
      <c r="H54" s="244">
        <f>G54/$G$57*100</f>
        <v>4.895104895104895</v>
      </c>
      <c r="I54" s="245">
        <f t="shared" ref="I54:I56" si="0">I53+H54</f>
        <v>52.447552447552447</v>
      </c>
    </row>
    <row r="55" spans="1:9" x14ac:dyDescent="0.25">
      <c r="A55" s="236"/>
      <c r="B55" s="43" t="s">
        <v>81</v>
      </c>
      <c r="C55" s="41"/>
      <c r="D55" s="42">
        <v>1</v>
      </c>
      <c r="F55" s="243" t="s">
        <v>141</v>
      </c>
      <c r="G55" s="243">
        <v>36</v>
      </c>
      <c r="H55" s="244">
        <f>G55/$G$57*100</f>
        <v>25.174825174825177</v>
      </c>
      <c r="I55" s="245">
        <f t="shared" si="0"/>
        <v>77.622377622377627</v>
      </c>
    </row>
    <row r="56" spans="1:9" x14ac:dyDescent="0.25">
      <c r="A56" s="236"/>
      <c r="B56" s="40" t="s">
        <v>74</v>
      </c>
      <c r="C56" s="41"/>
      <c r="D56" s="42">
        <v>1</v>
      </c>
      <c r="F56" s="243" t="s">
        <v>142</v>
      </c>
      <c r="G56" s="243">
        <v>32</v>
      </c>
      <c r="H56" s="244">
        <f>G56/$G$57*100</f>
        <v>22.377622377622377</v>
      </c>
      <c r="I56" s="245">
        <f t="shared" si="0"/>
        <v>100</v>
      </c>
    </row>
    <row r="57" spans="1:9" ht="15.75" thickBot="1" x14ac:dyDescent="0.3">
      <c r="A57" s="237"/>
      <c r="B57" s="145" t="s">
        <v>75</v>
      </c>
      <c r="C57" s="44"/>
      <c r="D57" s="45">
        <v>1</v>
      </c>
      <c r="F57" s="241" t="s">
        <v>134</v>
      </c>
      <c r="G57" s="246">
        <v>143</v>
      </c>
      <c r="H57" s="244">
        <f>G57/$G$57*100</f>
        <v>100</v>
      </c>
      <c r="I57" s="242"/>
    </row>
    <row r="58" spans="1:9" x14ac:dyDescent="0.25">
      <c r="A58" s="238" t="s">
        <v>82</v>
      </c>
      <c r="B58" s="146" t="s">
        <v>27</v>
      </c>
      <c r="C58" s="76"/>
      <c r="D58" s="77">
        <v>1</v>
      </c>
      <c r="F58" s="247" t="s">
        <v>136</v>
      </c>
      <c r="G58" s="247"/>
      <c r="H58" s="247"/>
      <c r="I58" s="247"/>
    </row>
    <row r="59" spans="1:9" x14ac:dyDescent="0.25">
      <c r="A59" s="239"/>
      <c r="B59" s="49" t="s">
        <v>28</v>
      </c>
      <c r="C59" s="34"/>
      <c r="D59" s="50">
        <v>0.5</v>
      </c>
    </row>
    <row r="60" spans="1:9" x14ac:dyDescent="0.25">
      <c r="A60" s="239"/>
      <c r="B60" s="147" t="s">
        <v>29</v>
      </c>
      <c r="C60" s="76"/>
      <c r="D60" s="109">
        <v>0.5</v>
      </c>
    </row>
    <row r="61" spans="1:9" ht="18" x14ac:dyDescent="0.25">
      <c r="A61" s="239"/>
      <c r="B61" s="49" t="s">
        <v>30</v>
      </c>
      <c r="C61" s="34"/>
      <c r="D61" s="50">
        <v>0.5</v>
      </c>
    </row>
    <row r="62" spans="1:9" ht="18.75" thickBot="1" x14ac:dyDescent="0.3">
      <c r="A62" s="240"/>
      <c r="B62" s="123" t="s">
        <v>31</v>
      </c>
      <c r="C62" s="124"/>
      <c r="D62" s="125">
        <v>2</v>
      </c>
    </row>
    <row r="63" spans="1:9" x14ac:dyDescent="0.25">
      <c r="A63" s="200" t="s">
        <v>86</v>
      </c>
      <c r="B63" s="71" t="s">
        <v>87</v>
      </c>
      <c r="C63" s="57"/>
      <c r="D63" s="72">
        <v>2</v>
      </c>
    </row>
    <row r="64" spans="1:9" ht="15.75" thickBot="1" x14ac:dyDescent="0.3">
      <c r="A64" s="229"/>
      <c r="B64" s="73" t="s">
        <v>88</v>
      </c>
      <c r="C64" s="74"/>
      <c r="D64" s="45">
        <v>2</v>
      </c>
    </row>
    <row r="65" spans="1:4" x14ac:dyDescent="0.25">
      <c r="A65" s="200" t="s">
        <v>89</v>
      </c>
      <c r="B65" s="75" t="s">
        <v>90</v>
      </c>
      <c r="C65" s="76"/>
      <c r="D65" s="77">
        <v>1</v>
      </c>
    </row>
    <row r="66" spans="1:4" x14ac:dyDescent="0.25">
      <c r="A66" s="201"/>
      <c r="B66" s="78" t="s">
        <v>91</v>
      </c>
      <c r="C66" s="51"/>
      <c r="D66" s="79">
        <v>1</v>
      </c>
    </row>
    <row r="67" spans="1:4" ht="15.75" thickBot="1" x14ac:dyDescent="0.3">
      <c r="A67" s="202"/>
      <c r="B67" s="80" t="s">
        <v>55</v>
      </c>
      <c r="C67" s="81"/>
      <c r="D67" s="82">
        <v>6</v>
      </c>
    </row>
    <row r="68" spans="1:4" ht="15.75" thickBot="1" x14ac:dyDescent="0.3">
      <c r="A68" s="230" t="s">
        <v>36</v>
      </c>
      <c r="B68" s="231"/>
      <c r="C68" s="83">
        <f>SUM(C40:C67)</f>
        <v>0</v>
      </c>
      <c r="D68" s="84">
        <f>SUM(D40:D67)</f>
        <v>44.5</v>
      </c>
    </row>
  </sheetData>
  <sheetProtection selectLockedCells="1"/>
  <mergeCells count="11">
    <mergeCell ref="F58:I58"/>
    <mergeCell ref="F49:I50"/>
    <mergeCell ref="A63:A64"/>
    <mergeCell ref="A65:A67"/>
    <mergeCell ref="A68:B68"/>
    <mergeCell ref="C38:C39"/>
    <mergeCell ref="D38:D39"/>
    <mergeCell ref="A40:A41"/>
    <mergeCell ref="A42:A49"/>
    <mergeCell ref="A50:A57"/>
    <mergeCell ref="A58:A62"/>
  </mergeCells>
  <pageMargins left="0.7" right="0.7" top="0.75" bottom="0.75" header="0.3" footer="0.3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EDD32-4C7A-4104-9B1E-0CC33CA62FFC}">
  <dimension ref="A2:I24"/>
  <sheetViews>
    <sheetView workbookViewId="0">
      <selection activeCell="E20" sqref="E20"/>
    </sheetView>
  </sheetViews>
  <sheetFormatPr baseColWidth="10" defaultColWidth="11.42578125" defaultRowHeight="15" x14ac:dyDescent="0.25"/>
  <cols>
    <col min="2" max="2" width="16.140625" bestFit="1" customWidth="1"/>
  </cols>
  <sheetData>
    <row r="2" spans="1:9" x14ac:dyDescent="0.25">
      <c r="B2" s="66" t="s">
        <v>17</v>
      </c>
      <c r="C2" s="3"/>
    </row>
    <row r="3" spans="1:9" x14ac:dyDescent="0.25">
      <c r="B3" s="66" t="s">
        <v>18</v>
      </c>
      <c r="C3" s="3"/>
    </row>
    <row r="4" spans="1:9" x14ac:dyDescent="0.25">
      <c r="B4" s="66" t="s">
        <v>19</v>
      </c>
      <c r="C4" s="3"/>
    </row>
    <row r="5" spans="1:9" ht="18" x14ac:dyDescent="0.35">
      <c r="B5" s="66" t="s">
        <v>20</v>
      </c>
      <c r="C5" s="3"/>
    </row>
    <row r="6" spans="1:9" ht="18" x14ac:dyDescent="0.35">
      <c r="B6" s="66" t="s">
        <v>21</v>
      </c>
      <c r="C6" s="3"/>
    </row>
    <row r="7" spans="1:9" x14ac:dyDescent="0.25">
      <c r="B7" s="66"/>
    </row>
    <row r="8" spans="1:9" x14ac:dyDescent="0.25">
      <c r="B8" s="66" t="s">
        <v>22</v>
      </c>
      <c r="C8" s="3"/>
      <c r="D8" s="66" t="s">
        <v>23</v>
      </c>
      <c r="E8" s="3"/>
    </row>
    <row r="11" spans="1:9" x14ac:dyDescent="0.25">
      <c r="D11" s="66" t="s">
        <v>25</v>
      </c>
      <c r="E11" s="194"/>
      <c r="F11" s="195"/>
      <c r="G11" s="195"/>
      <c r="H11" s="195"/>
      <c r="I11" s="196"/>
    </row>
    <row r="14" spans="1:9" x14ac:dyDescent="0.25">
      <c r="C14" s="232" t="s">
        <v>8</v>
      </c>
      <c r="D14" s="198" t="s">
        <v>9</v>
      </c>
    </row>
    <row r="15" spans="1:9" ht="15.75" thickBot="1" x14ac:dyDescent="0.3">
      <c r="C15" s="232"/>
      <c r="D15" s="198"/>
    </row>
    <row r="16" spans="1:9" x14ac:dyDescent="0.25">
      <c r="A16" s="189" t="s">
        <v>26</v>
      </c>
      <c r="B16" s="154" t="s">
        <v>27</v>
      </c>
      <c r="C16" s="47"/>
      <c r="D16" s="48">
        <v>1</v>
      </c>
    </row>
    <row r="17" spans="1:4" x14ac:dyDescent="0.25">
      <c r="A17" s="190"/>
      <c r="B17" s="148" t="s">
        <v>28</v>
      </c>
      <c r="C17" s="76"/>
      <c r="D17" s="109">
        <v>0.5</v>
      </c>
    </row>
    <row r="18" spans="1:4" x14ac:dyDescent="0.25">
      <c r="A18" s="190"/>
      <c r="B18" s="149" t="s">
        <v>29</v>
      </c>
      <c r="C18" s="76"/>
      <c r="D18" s="109">
        <v>0.5</v>
      </c>
    </row>
    <row r="19" spans="1:4" ht="18" x14ac:dyDescent="0.25">
      <c r="A19" s="190"/>
      <c r="B19" s="148" t="s">
        <v>30</v>
      </c>
      <c r="C19" s="76"/>
      <c r="D19" s="109">
        <v>0.5</v>
      </c>
    </row>
    <row r="20" spans="1:4" ht="18.75" thickBot="1" x14ac:dyDescent="0.3">
      <c r="A20" s="191"/>
      <c r="B20" s="150" t="s">
        <v>31</v>
      </c>
      <c r="C20" s="20"/>
      <c r="D20" s="110">
        <v>2</v>
      </c>
    </row>
    <row r="21" spans="1:4" x14ac:dyDescent="0.25">
      <c r="A21" s="189" t="s">
        <v>32</v>
      </c>
      <c r="B21" s="151" t="s">
        <v>98</v>
      </c>
      <c r="C21" s="111"/>
      <c r="D21" s="112">
        <v>0.5</v>
      </c>
    </row>
    <row r="22" spans="1:4" x14ac:dyDescent="0.25">
      <c r="A22" s="190"/>
      <c r="B22" s="152" t="s">
        <v>34</v>
      </c>
      <c r="C22" s="24"/>
      <c r="D22" s="52">
        <v>2</v>
      </c>
    </row>
    <row r="23" spans="1:4" ht="30.75" thickBot="1" x14ac:dyDescent="0.3">
      <c r="A23" s="191"/>
      <c r="B23" s="153" t="s">
        <v>35</v>
      </c>
      <c r="C23" s="25"/>
      <c r="D23" s="53">
        <v>3</v>
      </c>
    </row>
    <row r="24" spans="1:4" ht="15.75" thickBot="1" x14ac:dyDescent="0.3">
      <c r="A24" s="192" t="s">
        <v>36</v>
      </c>
      <c r="B24" s="193"/>
      <c r="C24" s="62">
        <f>SUM(C16:C23)</f>
        <v>0</v>
      </c>
      <c r="D24" s="63">
        <f>SUM(D16:D23)</f>
        <v>10</v>
      </c>
    </row>
  </sheetData>
  <mergeCells count="6">
    <mergeCell ref="C14:C15"/>
    <mergeCell ref="D14:D15"/>
    <mergeCell ref="A21:A23"/>
    <mergeCell ref="A24:B24"/>
    <mergeCell ref="E11:I11"/>
    <mergeCell ref="A16:A20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37E867775C176439FB7FA5654363451" ma:contentTypeVersion="10" ma:contentTypeDescription="Crée un document." ma:contentTypeScope="" ma:versionID="28138d78ef891cc6920f4e4c5efdc591">
  <xsd:schema xmlns:xsd="http://www.w3.org/2001/XMLSchema" xmlns:xs="http://www.w3.org/2001/XMLSchema" xmlns:p="http://schemas.microsoft.com/office/2006/metadata/properties" xmlns:ns2="de09299f-2c35-4560-8319-508cef1d354b" xmlns:ns3="0ba5bab7-d3c0-420b-b217-6671d2644c3c" targetNamespace="http://schemas.microsoft.com/office/2006/metadata/properties" ma:root="true" ma:fieldsID="015b0f294fc556a62a363bed45be389e" ns2:_="" ns3:_="">
    <xsd:import namespace="de09299f-2c35-4560-8319-508cef1d354b"/>
    <xsd:import namespace="0ba5bab7-d3c0-420b-b217-6671d2644c3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e09299f-2c35-4560-8319-508cef1d35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a5bab7-d3c0-420b-b217-6671d2644c3c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FEEC7D3-5786-49AB-9DDB-2BB4E2F9013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FA4FEEA-D94E-4718-B59A-CF1C4CE4E0E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e09299f-2c35-4560-8319-508cef1d354b"/>
    <ds:schemaRef ds:uri="0ba5bab7-d3c0-420b-b217-6671d2644c3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EE5DC2F-8B20-4CB5-86D2-4A79F8391CE9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5</vt:i4>
      </vt:variant>
    </vt:vector>
  </HeadingPairs>
  <TitlesOfParts>
    <vt:vector size="10" baseType="lpstr">
      <vt:lpstr>Base de sondage</vt:lpstr>
      <vt:lpstr>Taille</vt:lpstr>
      <vt:lpstr>Heure</vt:lpstr>
      <vt:lpstr>Appéciation</vt:lpstr>
      <vt:lpstr>Avis</vt:lpstr>
      <vt:lpstr>Appréciation</vt:lpstr>
      <vt:lpstr>Données</vt:lpstr>
      <vt:lpstr>Heures</vt:lpstr>
      <vt:lpstr>Identification</vt:lpstr>
      <vt:lpstr>Taille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Francis Beauchemin Côté</dc:creator>
  <cp:keywords/>
  <dc:description/>
  <cp:lastModifiedBy>Bouchard François</cp:lastModifiedBy>
  <cp:revision/>
  <dcterms:created xsi:type="dcterms:W3CDTF">2020-10-28T15:15:52Z</dcterms:created>
  <dcterms:modified xsi:type="dcterms:W3CDTF">2023-10-27T17:29:01Z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0x010100937E867775C176439FB7FA5654363451</vt:lpwstr>
  </property>
</Properties>
</file>